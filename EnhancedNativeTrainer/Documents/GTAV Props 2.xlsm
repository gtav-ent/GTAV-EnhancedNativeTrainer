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3845" i="1"/>
  <c r="G3846" i="1" s="1"/>
  <c r="G3847" i="1" s="1"/>
  <c r="G3848" i="1" s="1"/>
  <c r="G3849" i="1" s="1"/>
  <c r="G3850" i="1" s="1"/>
  <c r="G3851" i="1" s="1"/>
  <c r="G3852" i="1" s="1"/>
  <c r="G3853" i="1" s="1"/>
  <c r="G3854" i="1" s="1"/>
  <c r="G3855" i="1" s="1"/>
  <c r="G3856" i="1" s="1"/>
  <c r="G3857" i="1" s="1"/>
  <c r="G3858" i="1" s="1"/>
  <c r="G3859" i="1" s="1"/>
  <c r="G3860" i="1" s="1"/>
  <c r="G3861" i="1" s="1"/>
  <c r="G3862" i="1" s="1"/>
  <c r="G3863" i="1" s="1"/>
  <c r="G3864" i="1" s="1"/>
  <c r="G3865" i="1" s="1"/>
  <c r="G3866" i="1" s="1"/>
  <c r="G3867" i="1" s="1"/>
  <c r="G3868" i="1" s="1"/>
  <c r="F3656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146" i="1"/>
  <c r="G3147" i="1" s="1"/>
  <c r="G3148" i="1" s="1"/>
  <c r="G3149" i="1" s="1"/>
  <c r="G3150" i="1" s="1"/>
  <c r="G2964" i="1"/>
  <c r="G2965" i="1" s="1"/>
  <c r="G2966" i="1" s="1"/>
  <c r="G2967" i="1" s="1"/>
  <c r="G2968" i="1" s="1"/>
  <c r="G2969" i="1" s="1"/>
  <c r="G2970" i="1" s="1"/>
  <c r="G2971" i="1" s="1"/>
  <c r="G2972" i="1" s="1"/>
  <c r="G2973" i="1" s="1"/>
  <c r="G2974" i="1" s="1"/>
  <c r="G2938" i="1"/>
  <c r="G2939" i="1" s="1"/>
  <c r="G2940" i="1" s="1"/>
  <c r="G2941" i="1" s="1"/>
  <c r="G2942" i="1" s="1"/>
  <c r="G2943" i="1" s="1"/>
  <c r="G2944" i="1" s="1"/>
  <c r="G2945" i="1" s="1"/>
  <c r="G2946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018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2857" i="1"/>
  <c r="F2858" i="1"/>
  <c r="F2860" i="1"/>
  <c r="F2859" i="1"/>
  <c r="F2861" i="1"/>
  <c r="F2862" i="1"/>
  <c r="F2863" i="1"/>
  <c r="F2864" i="1"/>
  <c r="F2865" i="1"/>
  <c r="F2866" i="1"/>
  <c r="F2867" i="1"/>
  <c r="F2868" i="1"/>
  <c r="F2870" i="1"/>
  <c r="F2869" i="1"/>
  <c r="F2871" i="1"/>
  <c r="F2872" i="1"/>
  <c r="F2873" i="1"/>
  <c r="F2874" i="1"/>
  <c r="F2876" i="1"/>
  <c r="F2875" i="1"/>
  <c r="F2878" i="1"/>
  <c r="F2877" i="1"/>
  <c r="F2879" i="1"/>
  <c r="F2880" i="1"/>
  <c r="F2881" i="1"/>
  <c r="F2882" i="1"/>
  <c r="F2883" i="1"/>
  <c r="F2884" i="1"/>
  <c r="F2886" i="1"/>
  <c r="F2888" i="1"/>
  <c r="F2885" i="1"/>
  <c r="F2887" i="1"/>
  <c r="F2889" i="1"/>
  <c r="F2890" i="1"/>
  <c r="F2892" i="1"/>
  <c r="F2893" i="1"/>
  <c r="F2895" i="1"/>
  <c r="F2894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3001" i="1"/>
  <c r="F3000" i="1"/>
  <c r="F2910" i="1"/>
  <c r="F2911" i="1"/>
  <c r="F2912" i="1"/>
  <c r="F2914" i="1"/>
  <c r="F2915" i="1"/>
  <c r="F2916" i="1"/>
  <c r="F2917" i="1"/>
  <c r="F2913" i="1"/>
  <c r="F2918" i="1"/>
  <c r="F2919" i="1"/>
  <c r="F2920" i="1"/>
  <c r="F2922" i="1"/>
  <c r="F2924" i="1"/>
  <c r="F2925" i="1"/>
  <c r="F2926" i="1"/>
  <c r="F2927" i="1"/>
  <c r="F2928" i="1"/>
  <c r="F2937" i="1"/>
  <c r="F2947" i="1"/>
  <c r="F2948" i="1"/>
  <c r="F2949" i="1"/>
  <c r="F2950" i="1"/>
  <c r="F2955" i="1"/>
  <c r="F2951" i="1"/>
  <c r="F2956" i="1"/>
  <c r="F2957" i="1"/>
  <c r="F2958" i="1"/>
  <c r="F2959" i="1"/>
  <c r="F2961" i="1"/>
  <c r="F2960" i="1"/>
  <c r="F2963" i="1"/>
  <c r="F2962" i="1"/>
  <c r="F2975" i="1"/>
  <c r="F2976" i="1"/>
  <c r="F2977" i="1"/>
  <c r="F2978" i="1"/>
  <c r="F2979" i="1"/>
  <c r="F2980" i="1"/>
  <c r="F2999" i="1"/>
  <c r="F3002" i="1"/>
  <c r="F3006" i="1"/>
  <c r="F3074" i="1"/>
  <c r="F3008" i="1"/>
  <c r="F3009" i="1"/>
  <c r="F3010" i="1"/>
  <c r="F3011" i="1"/>
  <c r="F3012" i="1"/>
  <c r="F3013" i="1"/>
  <c r="F522" i="1"/>
  <c r="F523" i="1"/>
  <c r="F536" i="1"/>
  <c r="F3018" i="1"/>
  <c r="F3019" i="1"/>
  <c r="F3020" i="1"/>
  <c r="F3022" i="1"/>
  <c r="F3041" i="1"/>
  <c r="F3043" i="1"/>
  <c r="F3044" i="1"/>
  <c r="F3046" i="1"/>
  <c r="F3045" i="1"/>
  <c r="F3047" i="1"/>
  <c r="F3048" i="1"/>
  <c r="F3052" i="1"/>
  <c r="F3064" i="1"/>
  <c r="F3073" i="1"/>
  <c r="F3068" i="1"/>
  <c r="F3065" i="1"/>
  <c r="F3070" i="1"/>
  <c r="F3071" i="1"/>
  <c r="F3007" i="1"/>
  <c r="F3090" i="1"/>
  <c r="F3075" i="1"/>
  <c r="F3091" i="1"/>
  <c r="F3076" i="1"/>
  <c r="F3077" i="1"/>
  <c r="F3078" i="1"/>
  <c r="F3079" i="1"/>
  <c r="F3080" i="1"/>
  <c r="F3081" i="1"/>
  <c r="F3083" i="1"/>
  <c r="F3082" i="1"/>
  <c r="F3084" i="1"/>
  <c r="F3085" i="1"/>
  <c r="F3089" i="1"/>
  <c r="F3086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10" i="1"/>
  <c r="F3111" i="1"/>
  <c r="F3112" i="1"/>
  <c r="F3113" i="1"/>
  <c r="F3114" i="1"/>
  <c r="F3115" i="1"/>
  <c r="F3117" i="1"/>
  <c r="F3116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5" i="1"/>
  <c r="F3136" i="1"/>
  <c r="F3137" i="1"/>
  <c r="F3138" i="1"/>
  <c r="F3139" i="1"/>
  <c r="F3141" i="1"/>
  <c r="F3142" i="1"/>
  <c r="F3140" i="1"/>
  <c r="F3143" i="1"/>
  <c r="F3151" i="1"/>
  <c r="F3156" i="1"/>
  <c r="F3152" i="1"/>
  <c r="F3157" i="1"/>
  <c r="F3158" i="1"/>
  <c r="F3159" i="1"/>
  <c r="F3160" i="1"/>
  <c r="F3161" i="1"/>
  <c r="F3162" i="1"/>
  <c r="F3163" i="1"/>
  <c r="F3164" i="1"/>
  <c r="F3165" i="1"/>
  <c r="F3166" i="1"/>
  <c r="F3168" i="1"/>
  <c r="F3167" i="1"/>
  <c r="F3171" i="1"/>
  <c r="F3172" i="1"/>
  <c r="F3173" i="1"/>
  <c r="F3174" i="1"/>
  <c r="F3175" i="1"/>
  <c r="F3176" i="1"/>
  <c r="F3177" i="1"/>
  <c r="F3178" i="1"/>
  <c r="F3179" i="1"/>
  <c r="F3180" i="1"/>
  <c r="F3181" i="1"/>
  <c r="F3183" i="1"/>
  <c r="F3182" i="1"/>
  <c r="F3184" i="1"/>
  <c r="F3185" i="1"/>
  <c r="F3189" i="1"/>
  <c r="F3187" i="1"/>
  <c r="F3186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3" i="1"/>
  <c r="F3224" i="1"/>
  <c r="F3225" i="1"/>
  <c r="F3226" i="1"/>
  <c r="F3227" i="1"/>
  <c r="F3230" i="1"/>
  <c r="F3231" i="1"/>
  <c r="F3242" i="1"/>
  <c r="F3232" i="1"/>
  <c r="F3259" i="1"/>
  <c r="F3244" i="1"/>
  <c r="F3260" i="1"/>
  <c r="F3245" i="1"/>
  <c r="F3246" i="1"/>
  <c r="F3247" i="1"/>
  <c r="F3248" i="1"/>
  <c r="F3249" i="1"/>
  <c r="F3250" i="1"/>
  <c r="F3251" i="1"/>
  <c r="F3252" i="1"/>
  <c r="F3253" i="1"/>
  <c r="F3254" i="1"/>
  <c r="F3255" i="1"/>
  <c r="F3258" i="1"/>
  <c r="F3491" i="1"/>
  <c r="F3490" i="1"/>
  <c r="F3271" i="1"/>
  <c r="F3263" i="1"/>
  <c r="F3272" i="1"/>
  <c r="F3276" i="1"/>
  <c r="F3277" i="1"/>
  <c r="F3278" i="1"/>
  <c r="F3299" i="1"/>
  <c r="F3300" i="1"/>
  <c r="F3301" i="1"/>
  <c r="F3302" i="1"/>
  <c r="F3304" i="1"/>
  <c r="F3303" i="1"/>
  <c r="F3306" i="1"/>
  <c r="F3305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2" i="1"/>
  <c r="F3321" i="1"/>
  <c r="F3348" i="1"/>
  <c r="F3349" i="1"/>
  <c r="F3377" i="1"/>
  <c r="F3379" i="1"/>
  <c r="F3380" i="1"/>
  <c r="F3381" i="1"/>
  <c r="F3382" i="1"/>
  <c r="F3389" i="1"/>
  <c r="F3412" i="1"/>
  <c r="F3425" i="1"/>
  <c r="F3426" i="1"/>
  <c r="F3427" i="1"/>
  <c r="F3428" i="1"/>
  <c r="F3461" i="1"/>
  <c r="F3462" i="1"/>
  <c r="F3467" i="1"/>
  <c r="F3469" i="1"/>
  <c r="F3471" i="1"/>
  <c r="F3470" i="1"/>
  <c r="F3472" i="1"/>
  <c r="F3473" i="1"/>
  <c r="F3475" i="1"/>
  <c r="F3483" i="1"/>
  <c r="F3484" i="1"/>
  <c r="F3485" i="1"/>
  <c r="F3486" i="1"/>
  <c r="F3487" i="1"/>
  <c r="F3488" i="1"/>
  <c r="F3489" i="1"/>
  <c r="F3492" i="1"/>
  <c r="F3493" i="1"/>
  <c r="F3262" i="1"/>
  <c r="F3496" i="1"/>
  <c r="F3497" i="1"/>
  <c r="F3498" i="1"/>
  <c r="F3499" i="1"/>
  <c r="F3500" i="1"/>
  <c r="F3501" i="1"/>
  <c r="F3503" i="1"/>
  <c r="F3502" i="1"/>
  <c r="F3505" i="1"/>
  <c r="F3504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31" i="1"/>
  <c r="F3541" i="1"/>
  <c r="F3542" i="1"/>
  <c r="F3543" i="1"/>
  <c r="F3544" i="1"/>
  <c r="F3554" i="1"/>
  <c r="F3555" i="1"/>
  <c r="F3559" i="1"/>
  <c r="F3560" i="1"/>
  <c r="F3563" i="1"/>
  <c r="F3561" i="1"/>
  <c r="F3564" i="1"/>
  <c r="F3565" i="1"/>
  <c r="F3569" i="1"/>
  <c r="F3575" i="1"/>
  <c r="F3576" i="1"/>
  <c r="F3579" i="1"/>
  <c r="F3581" i="1"/>
  <c r="F3580" i="1"/>
  <c r="F3582" i="1"/>
  <c r="F3583" i="1"/>
  <c r="F3584" i="1"/>
  <c r="F3588" i="1"/>
  <c r="F3585" i="1"/>
  <c r="F3688" i="1"/>
  <c r="F3689" i="1"/>
  <c r="F3594" i="1"/>
  <c r="F3595" i="1"/>
  <c r="F3596" i="1"/>
  <c r="F3597" i="1"/>
  <c r="F3598" i="1"/>
  <c r="F3599" i="1"/>
  <c r="F3603" i="1"/>
  <c r="F3604" i="1"/>
  <c r="F3605" i="1"/>
  <c r="F3606" i="1"/>
  <c r="F3610" i="1"/>
  <c r="F3607" i="1"/>
  <c r="F3632" i="1"/>
  <c r="F3633" i="1"/>
  <c r="F3634" i="1"/>
  <c r="F3635" i="1"/>
  <c r="F3636" i="1"/>
  <c r="F3637" i="1"/>
  <c r="F3639" i="1"/>
  <c r="F3638" i="1"/>
  <c r="F3640" i="1"/>
  <c r="F3641" i="1"/>
  <c r="F3642" i="1"/>
  <c r="F3643" i="1"/>
  <c r="F3644" i="1"/>
  <c r="F3645" i="1"/>
  <c r="F3646" i="1"/>
  <c r="F3657" i="1"/>
  <c r="F3659" i="1"/>
  <c r="F3670" i="1"/>
  <c r="F3671" i="1"/>
  <c r="F3682" i="1"/>
  <c r="F3683" i="1"/>
  <c r="F3684" i="1"/>
  <c r="F3685" i="1"/>
  <c r="F3686" i="1"/>
  <c r="F3687" i="1"/>
  <c r="F3672" i="1"/>
  <c r="F3690" i="1"/>
  <c r="F3692" i="1"/>
  <c r="F3691" i="1"/>
  <c r="F3694" i="1"/>
  <c r="F3695" i="1"/>
  <c r="F3696" i="1"/>
  <c r="F3697" i="1"/>
  <c r="F3698" i="1"/>
  <c r="F3699" i="1"/>
  <c r="F3700" i="1"/>
  <c r="F3701" i="1"/>
  <c r="F3702" i="1"/>
  <c r="F3703" i="1"/>
  <c r="F3704" i="1"/>
  <c r="F3706" i="1"/>
  <c r="F3707" i="1"/>
  <c r="F3708" i="1"/>
  <c r="F3709" i="1"/>
  <c r="F3774" i="1"/>
  <c r="F3710" i="1"/>
  <c r="F3713" i="1"/>
  <c r="F3714" i="1"/>
  <c r="F3715" i="1"/>
  <c r="F3716" i="1"/>
  <c r="F3717" i="1"/>
  <c r="F3718" i="1"/>
  <c r="F3719" i="1"/>
  <c r="F3720" i="1"/>
  <c r="F3721" i="1"/>
  <c r="F3722" i="1"/>
  <c r="F3712" i="1"/>
  <c r="F3723" i="1"/>
  <c r="F3725" i="1"/>
  <c r="F3724" i="1"/>
  <c r="F3726" i="1"/>
  <c r="F3727" i="1"/>
  <c r="F3728" i="1"/>
  <c r="F3729" i="1"/>
  <c r="F3730" i="1"/>
  <c r="F3731" i="1"/>
  <c r="F3733" i="1"/>
  <c r="F3735" i="1"/>
  <c r="F3736" i="1"/>
  <c r="F3739" i="1"/>
  <c r="F3740" i="1"/>
  <c r="F3741" i="1"/>
  <c r="F3742" i="1"/>
  <c r="F3743" i="1"/>
  <c r="F3744" i="1"/>
  <c r="F3745" i="1"/>
  <c r="F3747" i="1"/>
  <c r="F3749" i="1"/>
  <c r="F3751" i="1"/>
  <c r="F3752" i="1"/>
  <c r="F3753" i="1"/>
  <c r="F3754" i="1"/>
  <c r="F3755" i="1"/>
  <c r="F3756" i="1"/>
  <c r="F3757" i="1"/>
  <c r="F3758" i="1"/>
  <c r="F3773" i="1"/>
  <c r="F3759" i="1"/>
  <c r="F3760" i="1"/>
  <c r="F3761" i="1"/>
  <c r="F3762" i="1"/>
  <c r="F3763" i="1"/>
  <c r="F3764" i="1"/>
  <c r="F3765" i="1"/>
  <c r="F3766" i="1"/>
  <c r="F3767" i="1"/>
  <c r="F3768" i="1"/>
  <c r="F3769" i="1"/>
  <c r="F3772" i="1"/>
  <c r="F3711" i="1"/>
  <c r="F3776" i="1"/>
  <c r="F3777" i="1"/>
  <c r="F3778" i="1"/>
  <c r="F3779" i="1"/>
  <c r="F3780" i="1"/>
  <c r="F3781" i="1"/>
  <c r="F3782" i="1"/>
  <c r="F3872" i="1"/>
  <c r="F3783" i="1"/>
  <c r="F3796" i="1"/>
  <c r="F3814" i="1"/>
  <c r="F3815" i="1"/>
  <c r="F3817" i="1"/>
  <c r="F3818" i="1"/>
  <c r="F3819" i="1"/>
  <c r="F3820" i="1"/>
  <c r="F3821" i="1"/>
  <c r="F3822" i="1"/>
  <c r="F3823" i="1"/>
  <c r="F3824" i="1"/>
  <c r="F3826" i="1"/>
  <c r="F3827" i="1"/>
  <c r="F3816" i="1"/>
  <c r="F3825" i="1"/>
  <c r="F3831" i="1"/>
  <c r="F3835" i="1"/>
  <c r="F3842" i="1"/>
  <c r="F3843" i="1"/>
  <c r="F3867" i="1"/>
  <c r="F3868" i="1"/>
  <c r="F3871" i="1"/>
  <c r="F3906" i="1"/>
  <c r="F3873" i="1"/>
  <c r="F3875" i="1"/>
  <c r="F3877" i="1"/>
  <c r="F3879" i="1"/>
  <c r="F3880" i="1"/>
  <c r="F3884" i="1"/>
  <c r="F3886" i="1"/>
  <c r="F3887" i="1"/>
  <c r="F3888" i="1"/>
  <c r="F3889" i="1"/>
  <c r="F3890" i="1"/>
  <c r="F3892" i="1"/>
  <c r="F3893" i="1"/>
  <c r="F3894" i="1"/>
  <c r="F3895" i="1"/>
  <c r="F3896" i="1"/>
  <c r="F3897" i="1"/>
  <c r="F3898" i="1"/>
  <c r="F3899" i="1"/>
  <c r="F3901" i="1"/>
  <c r="F3903" i="1"/>
  <c r="F3905" i="1"/>
  <c r="F3904" i="1"/>
  <c r="F3907" i="1"/>
  <c r="F3908" i="1"/>
  <c r="F3909" i="1"/>
  <c r="F3910" i="1"/>
  <c r="F3911" i="1"/>
  <c r="F3912" i="1"/>
  <c r="F3913" i="1"/>
  <c r="F3914" i="1"/>
  <c r="F3916" i="1"/>
  <c r="F3915" i="1"/>
  <c r="F3917" i="1"/>
  <c r="F3919" i="1"/>
  <c r="F3918" i="1"/>
  <c r="F3920" i="1"/>
  <c r="F3921" i="1"/>
  <c r="F3922" i="1"/>
  <c r="F3923" i="1"/>
  <c r="F3924" i="1"/>
  <c r="F3925" i="1"/>
  <c r="F3926" i="1"/>
  <c r="F3927" i="1"/>
  <c r="F4016" i="1"/>
  <c r="F3928" i="1"/>
  <c r="F3929" i="1"/>
  <c r="F3931" i="1"/>
  <c r="F3930" i="1"/>
  <c r="F3932" i="1"/>
  <c r="F3933" i="1"/>
  <c r="F3934" i="1"/>
  <c r="F3935" i="1"/>
  <c r="F3936" i="1"/>
  <c r="F3937" i="1"/>
  <c r="F401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7" i="1"/>
  <c r="F3956" i="1"/>
  <c r="F3959" i="1"/>
  <c r="F3960" i="1"/>
  <c r="F3961" i="1"/>
  <c r="F3962" i="1"/>
  <c r="F3963" i="1"/>
  <c r="F3964" i="1"/>
  <c r="F4019" i="1"/>
  <c r="F4020" i="1"/>
  <c r="F3966" i="1"/>
  <c r="F3967" i="1"/>
  <c r="F3968" i="1"/>
  <c r="F3969" i="1"/>
  <c r="F3970" i="1"/>
  <c r="F3971" i="1"/>
  <c r="F3979" i="1"/>
  <c r="F3972" i="1"/>
  <c r="F3973" i="1"/>
  <c r="F3974" i="1"/>
  <c r="F3975" i="1"/>
  <c r="F3976" i="1"/>
  <c r="F3977" i="1"/>
  <c r="F3978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1" i="1"/>
  <c r="F4003" i="1"/>
  <c r="F4004" i="1"/>
  <c r="F4005" i="1"/>
  <c r="F4006" i="1"/>
  <c r="F4007" i="1"/>
  <c r="F4009" i="1"/>
  <c r="F4008" i="1"/>
  <c r="F4010" i="1"/>
  <c r="F4011" i="1"/>
  <c r="F4024" i="1"/>
  <c r="F4025" i="1"/>
  <c r="F4026" i="1"/>
  <c r="F4027" i="1"/>
  <c r="F4028" i="1"/>
  <c r="F4029" i="1"/>
  <c r="F4031" i="1"/>
  <c r="F4032" i="1"/>
  <c r="F4033" i="1"/>
  <c r="F4034" i="1"/>
  <c r="F4035" i="1"/>
  <c r="F4036" i="1"/>
  <c r="F4038" i="1"/>
  <c r="F4037" i="1"/>
  <c r="F4039" i="1"/>
  <c r="F4041" i="1"/>
  <c r="F4043" i="1"/>
  <c r="F4044" i="1"/>
  <c r="F4045" i="1"/>
  <c r="F4046" i="1"/>
  <c r="F4047" i="1"/>
  <c r="F4049" i="1"/>
  <c r="F4050" i="1"/>
  <c r="F4051" i="1"/>
  <c r="F4052" i="1"/>
  <c r="F4053" i="1"/>
  <c r="F4054" i="1"/>
  <c r="F4055" i="1"/>
  <c r="F4056" i="1"/>
  <c r="F4059" i="1"/>
  <c r="F4060" i="1"/>
  <c r="F4061" i="1"/>
  <c r="F4062" i="1"/>
  <c r="F4063" i="1"/>
  <c r="F4064" i="1"/>
  <c r="F4065" i="1"/>
  <c r="F4066" i="1"/>
  <c r="F4067" i="1"/>
  <c r="F4069" i="1"/>
  <c r="F4070" i="1"/>
  <c r="F4071" i="1"/>
  <c r="F4072" i="1"/>
  <c r="F4074" i="1"/>
  <c r="F4075" i="1"/>
  <c r="F4076" i="1"/>
  <c r="F4073" i="1"/>
  <c r="F4077" i="1"/>
  <c r="F4078" i="1"/>
  <c r="F4079" i="1"/>
  <c r="F4080" i="1"/>
  <c r="F4081" i="1"/>
  <c r="F4082" i="1"/>
  <c r="F4084" i="1"/>
  <c r="F4085" i="1"/>
  <c r="F4086" i="1"/>
  <c r="F4087" i="1"/>
  <c r="F4088" i="1"/>
  <c r="F4089" i="1"/>
  <c r="F4090" i="1"/>
  <c r="F4091" i="1"/>
  <c r="F4093" i="1"/>
  <c r="F4094" i="1"/>
  <c r="F4092" i="1"/>
  <c r="F4096" i="1"/>
  <c r="F4095" i="1"/>
  <c r="F4097" i="1"/>
  <c r="F4098" i="1"/>
  <c r="F4099" i="1"/>
  <c r="F4100" i="1"/>
  <c r="F4101" i="1"/>
  <c r="F4102" i="1"/>
  <c r="F4103" i="1"/>
  <c r="F4104" i="1"/>
  <c r="F4106" i="1"/>
  <c r="F4107" i="1"/>
  <c r="F4105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2" i="1"/>
  <c r="F4121" i="1"/>
  <c r="F4123" i="1"/>
  <c r="F4124" i="1"/>
  <c r="F4125" i="1"/>
  <c r="F4126" i="1"/>
  <c r="F4127" i="1"/>
  <c r="F4128" i="1"/>
  <c r="F4129" i="1"/>
  <c r="F4130" i="1"/>
  <c r="F4131" i="1"/>
  <c r="F4134" i="1"/>
  <c r="F4136" i="1"/>
  <c r="F4137" i="1"/>
  <c r="F3647" i="1"/>
  <c r="F3648" i="1"/>
  <c r="F3649" i="1"/>
  <c r="F3354" i="1"/>
  <c r="F3445" i="1"/>
  <c r="F3360" i="1"/>
  <c r="F3650" i="1"/>
  <c r="F3651" i="1"/>
  <c r="F3652" i="1"/>
  <c r="F3653" i="1"/>
  <c r="F3654" i="1"/>
  <c r="F3655" i="1"/>
  <c r="F3601" i="1"/>
  <c r="F3600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518" i="1"/>
  <c r="F3658" i="1"/>
  <c r="F3519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264" i="1"/>
  <c r="F3265" i="1"/>
  <c r="F3266" i="1"/>
  <c r="F3459" i="1"/>
  <c r="F3460" i="1"/>
  <c r="F3494" i="1"/>
  <c r="F3273" i="1"/>
  <c r="F2008" i="1"/>
  <c r="F3274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3784" i="1"/>
  <c r="F3785" i="1"/>
  <c r="F3787" i="1"/>
  <c r="F3788" i="1"/>
  <c r="F3786" i="1"/>
  <c r="F194" i="1"/>
  <c r="F3790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267" i="1"/>
  <c r="F3269" i="1"/>
  <c r="F3270" i="1"/>
  <c r="F3268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524" i="1"/>
  <c r="F3794" i="1"/>
  <c r="F3791" i="1"/>
  <c r="F3792" i="1"/>
  <c r="F3793" i="1"/>
  <c r="F2694" i="1"/>
  <c r="F2681" i="1"/>
  <c r="F2682" i="1"/>
  <c r="F277" i="1"/>
  <c r="F2921" i="1"/>
  <c r="F2923" i="1"/>
  <c r="F371" i="1"/>
  <c r="F373" i="1"/>
  <c r="F374" i="1"/>
  <c r="F375" i="1"/>
  <c r="F3014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053" i="1"/>
  <c r="F3054" i="1"/>
  <c r="F3055" i="1"/>
  <c r="F3056" i="1"/>
  <c r="F3021" i="1"/>
  <c r="F3057" i="1"/>
  <c r="F3058" i="1"/>
  <c r="F3059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012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188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3797" i="1"/>
  <c r="F3799" i="1"/>
  <c r="F3800" i="1"/>
  <c r="F3801" i="1"/>
  <c r="F3802" i="1"/>
  <c r="F3803" i="1"/>
  <c r="F3804" i="1"/>
  <c r="F3805" i="1"/>
  <c r="F3806" i="1"/>
  <c r="F3807" i="1"/>
  <c r="F538" i="1"/>
  <c r="F3798" i="1"/>
  <c r="F2107" i="1"/>
  <c r="F2108" i="1"/>
  <c r="F2109" i="1"/>
  <c r="F734" i="1"/>
  <c r="F632" i="1"/>
  <c r="F633" i="1"/>
  <c r="F634" i="1"/>
  <c r="F3025" i="1"/>
  <c r="F3026" i="1"/>
  <c r="F3027" i="1"/>
  <c r="F636" i="1"/>
  <c r="F637" i="1"/>
  <c r="F638" i="1"/>
  <c r="F3049" i="1"/>
  <c r="F3050" i="1"/>
  <c r="F635" i="1"/>
  <c r="F551" i="1"/>
  <c r="F552" i="1"/>
  <c r="F553" i="1"/>
  <c r="F555" i="1"/>
  <c r="F3808" i="1"/>
  <c r="F3809" i="1"/>
  <c r="F3810" i="1"/>
  <c r="F2015" i="1"/>
  <c r="F4013" i="1"/>
  <c r="F4014" i="1"/>
  <c r="F4015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621" i="1"/>
  <c r="F3622" i="1"/>
  <c r="F3623" i="1"/>
  <c r="F3624" i="1"/>
  <c r="F3625" i="1"/>
  <c r="F3626" i="1"/>
  <c r="F3627" i="1"/>
  <c r="F3608" i="1"/>
  <c r="F3629" i="1"/>
  <c r="F3628" i="1"/>
  <c r="F3611" i="1"/>
  <c r="F3612" i="1"/>
  <c r="F3613" i="1"/>
  <c r="F3614" i="1"/>
  <c r="F3615" i="1"/>
  <c r="F3616" i="1"/>
  <c r="F3617" i="1"/>
  <c r="F3618" i="1"/>
  <c r="F3619" i="1"/>
  <c r="F3620" i="1"/>
  <c r="F3609" i="1"/>
  <c r="F959" i="1"/>
  <c r="F960" i="1"/>
  <c r="F961" i="1"/>
  <c r="F962" i="1"/>
  <c r="F963" i="1"/>
  <c r="F456" i="1"/>
  <c r="F3630" i="1"/>
  <c r="F3551" i="1"/>
  <c r="F3552" i="1"/>
  <c r="F3553" i="1"/>
  <c r="F3556" i="1"/>
  <c r="F1521" i="1"/>
  <c r="F2016" i="1"/>
  <c r="F3286" i="1"/>
  <c r="F3287" i="1"/>
  <c r="F3283" i="1"/>
  <c r="F3280" i="1"/>
  <c r="F3281" i="1"/>
  <c r="F3284" i="1"/>
  <c r="F3285" i="1"/>
  <c r="F3282" i="1"/>
  <c r="F3291" i="1"/>
  <c r="F3288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3737" i="1"/>
  <c r="F1619" i="1"/>
  <c r="F1620" i="1"/>
  <c r="F3294" i="1"/>
  <c r="F3293" i="1"/>
  <c r="F2193" i="1"/>
  <c r="F3811" i="1"/>
  <c r="F3812" i="1"/>
  <c r="F3813" i="1"/>
  <c r="F3296" i="1"/>
  <c r="F736" i="1"/>
  <c r="F3521" i="1"/>
  <c r="F2468" i="1"/>
  <c r="F3522" i="1"/>
  <c r="F2371" i="1"/>
  <c r="F2373" i="1"/>
  <c r="F2374" i="1"/>
  <c r="F2375" i="1"/>
  <c r="F2376" i="1"/>
  <c r="F2377" i="1"/>
  <c r="F2378" i="1"/>
  <c r="F3562" i="1"/>
  <c r="F2372" i="1"/>
  <c r="F2382" i="1"/>
  <c r="F3032" i="1"/>
  <c r="F3033" i="1"/>
  <c r="F2363" i="1"/>
  <c r="F2364" i="1"/>
  <c r="F2365" i="1"/>
  <c r="F681" i="1"/>
  <c r="F2194" i="1"/>
  <c r="F2195" i="1"/>
  <c r="F2938" i="1"/>
  <c r="F2939" i="1"/>
  <c r="F2940" i="1"/>
  <c r="F2941" i="1"/>
  <c r="F2942" i="1"/>
  <c r="F2943" i="1"/>
  <c r="F2944" i="1"/>
  <c r="F2945" i="1"/>
  <c r="F3631" i="1"/>
  <c r="F2946" i="1"/>
  <c r="F1717" i="1"/>
  <c r="F1621" i="1"/>
  <c r="F1622" i="1"/>
  <c r="F1623" i="1"/>
  <c r="F36" i="1"/>
  <c r="F1624" i="1"/>
  <c r="F3789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3902" i="1"/>
  <c r="F3900" i="1"/>
  <c r="F631" i="1"/>
  <c r="F3602" i="1"/>
  <c r="F641" i="1"/>
  <c r="F2891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297" i="1"/>
  <c r="F562" i="1"/>
  <c r="F2386" i="1"/>
  <c r="F2581" i="1"/>
  <c r="F2460" i="1"/>
  <c r="F1886" i="1"/>
  <c r="F876" i="1"/>
  <c r="F2583" i="1"/>
  <c r="F2584" i="1"/>
  <c r="F2585" i="1"/>
  <c r="F2586" i="1"/>
  <c r="F1993" i="1"/>
  <c r="F3828" i="1"/>
  <c r="F3830" i="1"/>
  <c r="F202" i="1"/>
  <c r="F3829" i="1"/>
  <c r="F203" i="1"/>
  <c r="F204" i="1"/>
  <c r="F3775" i="1"/>
  <c r="F3275" i="1"/>
  <c r="F1634" i="1"/>
  <c r="F2150" i="1"/>
  <c r="F1417" i="1"/>
  <c r="F2390" i="1"/>
  <c r="F2389" i="1"/>
  <c r="F2388" i="1"/>
  <c r="F3836" i="1"/>
  <c r="F3087" i="1"/>
  <c r="F3088" i="1"/>
  <c r="F399" i="1"/>
  <c r="F400" i="1"/>
  <c r="F401" i="1"/>
  <c r="F426" i="1"/>
  <c r="F428" i="1"/>
  <c r="F2033" i="1"/>
  <c r="F2037" i="1"/>
  <c r="F2039" i="1"/>
  <c r="F2041" i="1"/>
  <c r="F3958" i="1"/>
  <c r="F2035" i="1"/>
  <c r="F3795" i="1"/>
  <c r="F3832" i="1"/>
  <c r="F3833" i="1"/>
  <c r="F3834" i="1"/>
  <c r="F2823" i="1"/>
  <c r="F3837" i="1"/>
  <c r="F3838" i="1"/>
  <c r="F3840" i="1"/>
  <c r="F3841" i="1"/>
  <c r="F3839" i="1"/>
  <c r="F3885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2929" i="1"/>
  <c r="F2930" i="1"/>
  <c r="F2931" i="1"/>
  <c r="F2932" i="1"/>
  <c r="F2933" i="1"/>
  <c r="F2934" i="1"/>
  <c r="F2935" i="1"/>
  <c r="F2936" i="1"/>
  <c r="F2952" i="1"/>
  <c r="F2953" i="1"/>
  <c r="F2592" i="1"/>
  <c r="F2594" i="1"/>
  <c r="F2954" i="1"/>
  <c r="F2595" i="1"/>
  <c r="F1948" i="1"/>
  <c r="F1950" i="1"/>
  <c r="F1952" i="1"/>
  <c r="F31" i="1"/>
  <c r="F3261" i="1"/>
  <c r="F2964" i="1"/>
  <c r="F2965" i="1"/>
  <c r="F2966" i="1"/>
  <c r="F2967" i="1"/>
  <c r="F2968" i="1"/>
  <c r="F2969" i="1"/>
  <c r="F2970" i="1"/>
  <c r="F2971" i="1"/>
  <c r="F2972" i="1"/>
  <c r="F2973" i="1"/>
  <c r="F2974" i="1"/>
  <c r="F2226" i="1"/>
  <c r="F2227" i="1"/>
  <c r="F2228" i="1"/>
  <c r="F2229" i="1"/>
  <c r="F2056" i="1"/>
  <c r="F2230" i="1"/>
  <c r="F654" i="1"/>
  <c r="F3222" i="1"/>
  <c r="F3234" i="1"/>
  <c r="F3235" i="1"/>
  <c r="F3233" i="1"/>
  <c r="F3238" i="1"/>
  <c r="F3236" i="1"/>
  <c r="F3237" i="1"/>
  <c r="F3239" i="1"/>
  <c r="F3240" i="1"/>
  <c r="F3241" i="1"/>
  <c r="F3243" i="1"/>
  <c r="F3228" i="1"/>
  <c r="F2196" i="1"/>
  <c r="F2197" i="1"/>
  <c r="F3229" i="1"/>
  <c r="F2198" i="1"/>
  <c r="F967" i="1"/>
  <c r="F338" i="1"/>
  <c r="F3323" i="1"/>
  <c r="F3324" i="1"/>
  <c r="F2981" i="1"/>
  <c r="F3482" i="1"/>
  <c r="F2982" i="1"/>
  <c r="F2983" i="1"/>
  <c r="F2984" i="1"/>
  <c r="F2988" i="1"/>
  <c r="F2989" i="1"/>
  <c r="F2990" i="1"/>
  <c r="F2991" i="1"/>
  <c r="F2992" i="1"/>
  <c r="F2993" i="1"/>
  <c r="F2985" i="1"/>
  <c r="F2986" i="1"/>
  <c r="F2987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021" i="1"/>
  <c r="F571" i="1"/>
  <c r="F572" i="1"/>
  <c r="F578" i="1"/>
  <c r="F573" i="1"/>
  <c r="F574" i="1"/>
  <c r="F575" i="1"/>
  <c r="F576" i="1"/>
  <c r="F1721" i="1"/>
  <c r="F3468" i="1"/>
  <c r="F3463" i="1"/>
  <c r="F3464" i="1"/>
  <c r="F3465" i="1"/>
  <c r="F3466" i="1"/>
  <c r="F3587" i="1"/>
  <c r="F3660" i="1"/>
  <c r="F2619" i="1"/>
  <c r="F2202" i="1"/>
  <c r="F2203" i="1"/>
  <c r="F2204" i="1"/>
  <c r="F2205" i="1"/>
  <c r="F2206" i="1"/>
  <c r="F2207" i="1"/>
  <c r="F3364" i="1"/>
  <c r="F3290" i="1"/>
  <c r="F3289" i="1"/>
  <c r="F3292" i="1"/>
  <c r="F3295" i="1"/>
  <c r="F3369" i="1"/>
  <c r="F3370" i="1"/>
  <c r="F3371" i="1"/>
  <c r="F3372" i="1"/>
  <c r="F3373" i="1"/>
  <c r="F3383" i="1"/>
  <c r="F3416" i="1"/>
  <c r="F3440" i="1"/>
  <c r="F3329" i="1"/>
  <c r="F3439" i="1"/>
  <c r="F3443" i="1"/>
  <c r="F3441" i="1"/>
  <c r="F3365" i="1"/>
  <c r="F3390" i="1"/>
  <c r="F3336" i="1"/>
  <c r="F3368" i="1"/>
  <c r="F3356" i="1"/>
  <c r="F3378" i="1"/>
  <c r="F3397" i="1"/>
  <c r="F3398" i="1"/>
  <c r="F3384" i="1"/>
  <c r="F3385" i="1"/>
  <c r="F3396" i="1"/>
  <c r="F3395" i="1"/>
  <c r="F3394" i="1"/>
  <c r="F3405" i="1"/>
  <c r="F3429" i="1"/>
  <c r="F3435" i="1"/>
  <c r="F3411" i="1"/>
  <c r="F3410" i="1"/>
  <c r="F3409" i="1"/>
  <c r="F3408" i="1"/>
  <c r="F3457" i="1"/>
  <c r="F3424" i="1"/>
  <c r="F3361" i="1"/>
  <c r="F3438" i="1"/>
  <c r="F3400" i="1"/>
  <c r="F3456" i="1"/>
  <c r="F3337" i="1"/>
  <c r="F3339" i="1"/>
  <c r="F3340" i="1"/>
  <c r="F3338" i="1"/>
  <c r="F3392" i="1"/>
  <c r="F3344" i="1"/>
  <c r="F3387" i="1"/>
  <c r="F3343" i="1"/>
  <c r="F3345" i="1"/>
  <c r="F3347" i="1"/>
  <c r="F3376" i="1"/>
  <c r="F3388" i="1"/>
  <c r="F3355" i="1"/>
  <c r="F3418" i="1"/>
  <c r="F3420" i="1"/>
  <c r="F3399" i="1"/>
  <c r="F3434" i="1"/>
  <c r="F3454" i="1"/>
  <c r="F3455" i="1"/>
  <c r="F3391" i="1"/>
  <c r="F3401" i="1"/>
  <c r="F3406" i="1"/>
  <c r="F3446" i="1"/>
  <c r="F3417" i="1"/>
  <c r="F3402" i="1"/>
  <c r="F3403" i="1"/>
  <c r="F3352" i="1"/>
  <c r="F3350" i="1"/>
  <c r="F3346" i="1"/>
  <c r="F3351" i="1"/>
  <c r="F3353" i="1"/>
  <c r="F3357" i="1"/>
  <c r="F3362" i="1"/>
  <c r="F3363" i="1"/>
  <c r="F3366" i="1"/>
  <c r="F3367" i="1"/>
  <c r="F3386" i="1"/>
  <c r="F3374" i="1"/>
  <c r="F3334" i="1"/>
  <c r="F3407" i="1"/>
  <c r="F3419" i="1"/>
  <c r="F3436" i="1"/>
  <c r="F3447" i="1"/>
  <c r="F3448" i="1"/>
  <c r="F3449" i="1"/>
  <c r="F3341" i="1"/>
  <c r="F3342" i="1"/>
  <c r="F3375" i="1"/>
  <c r="F3437" i="1"/>
  <c r="F3325" i="1"/>
  <c r="F3331" i="1"/>
  <c r="F3326" i="1"/>
  <c r="F3327" i="1"/>
  <c r="F3328" i="1"/>
  <c r="F3330" i="1"/>
  <c r="F3332" i="1"/>
  <c r="F3335" i="1"/>
  <c r="F3358" i="1"/>
  <c r="F3359" i="1"/>
  <c r="F3423" i="1"/>
  <c r="F3404" i="1"/>
  <c r="F3453" i="1"/>
  <c r="F3450" i="1"/>
  <c r="F3451" i="1"/>
  <c r="F3452" i="1"/>
  <c r="F3393" i="1"/>
  <c r="F3414" i="1"/>
  <c r="F3413" i="1"/>
  <c r="F3421" i="1"/>
  <c r="F3422" i="1"/>
  <c r="F3458" i="1"/>
  <c r="F3415" i="1"/>
  <c r="F3333" i="1"/>
  <c r="F3279" i="1"/>
  <c r="F3430" i="1"/>
  <c r="F3431" i="1"/>
  <c r="F3432" i="1"/>
  <c r="F3298" i="1"/>
  <c r="F3661" i="1"/>
  <c r="F3662" i="1"/>
  <c r="F3663" i="1"/>
  <c r="F3664" i="1"/>
  <c r="F3665" i="1"/>
  <c r="F3433" i="1"/>
  <c r="F3666" i="1"/>
  <c r="F464" i="1"/>
  <c r="F465" i="1"/>
  <c r="F466" i="1"/>
  <c r="F467" i="1"/>
  <c r="F3444" i="1"/>
  <c r="F468" i="1"/>
  <c r="F971" i="1"/>
  <c r="F972" i="1"/>
  <c r="F2490" i="1"/>
  <c r="F4022" i="1"/>
  <c r="F4023" i="1"/>
  <c r="F3869" i="1"/>
  <c r="F3870" i="1"/>
  <c r="F3586" i="1"/>
  <c r="F212" i="1"/>
  <c r="F2057" i="1"/>
  <c r="F2058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196" i="1"/>
  <c r="F3746" i="1"/>
  <c r="F3748" i="1"/>
  <c r="F1725" i="1"/>
  <c r="F3750" i="1"/>
  <c r="F3732" i="1"/>
  <c r="F3891" i="1"/>
  <c r="F3878" i="1"/>
  <c r="F771" i="1"/>
  <c r="F772" i="1"/>
  <c r="F730" i="1"/>
  <c r="F3876" i="1"/>
  <c r="F3882" i="1"/>
  <c r="F3883" i="1"/>
  <c r="F2631" i="1"/>
  <c r="F3881" i="1"/>
  <c r="F1732" i="1"/>
  <c r="F1923" i="1"/>
  <c r="F1924" i="1"/>
  <c r="F1925" i="1"/>
  <c r="F2231" i="1"/>
  <c r="F2994" i="1"/>
  <c r="F2232" i="1"/>
  <c r="F2995" i="1"/>
  <c r="F2996" i="1"/>
  <c r="F2997" i="1"/>
  <c r="F975" i="1"/>
  <c r="F285" i="1"/>
  <c r="F974" i="1"/>
  <c r="F3479" i="1"/>
  <c r="F3480" i="1"/>
  <c r="F3476" i="1"/>
  <c r="F3478" i="1"/>
  <c r="F3481" i="1"/>
  <c r="F3477" i="1"/>
  <c r="F3442" i="1"/>
  <c r="F3474" i="1"/>
  <c r="F2849" i="1"/>
  <c r="F2635" i="1"/>
  <c r="F587" i="1"/>
  <c r="F3256" i="1"/>
  <c r="F3257" i="1"/>
  <c r="F3523" i="1"/>
  <c r="F2168" i="1"/>
  <c r="F4030" i="1"/>
  <c r="F219" i="1"/>
  <c r="F228" i="1"/>
  <c r="F238" i="1"/>
  <c r="F229" i="1"/>
  <c r="F376" i="1"/>
  <c r="F377" i="1"/>
  <c r="F378" i="1"/>
  <c r="F3004" i="1"/>
  <c r="F3024" i="1"/>
  <c r="F2614" i="1"/>
  <c r="F2615" i="1"/>
  <c r="F2616" i="1"/>
  <c r="F4058" i="1"/>
  <c r="F2545" i="1"/>
  <c r="F2546" i="1"/>
  <c r="F2547" i="1"/>
  <c r="F218" i="1"/>
  <c r="F2527" i="1"/>
  <c r="F2542" i="1"/>
  <c r="F2543" i="1"/>
  <c r="F4057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537" i="1"/>
  <c r="F3540" i="1"/>
  <c r="F1850" i="1"/>
  <c r="F3550" i="1"/>
  <c r="F3566" i="1"/>
  <c r="F3567" i="1"/>
  <c r="F3568" i="1"/>
  <c r="F3570" i="1"/>
  <c r="F3573" i="1"/>
  <c r="F3574" i="1"/>
  <c r="F3539" i="1"/>
  <c r="F3520" i="1"/>
  <c r="F1882" i="1"/>
  <c r="F3589" i="1"/>
  <c r="F3545" i="1"/>
  <c r="F3546" i="1"/>
  <c r="F3547" i="1"/>
  <c r="F3548" i="1"/>
  <c r="F3549" i="1"/>
  <c r="F3557" i="1"/>
  <c r="F3558" i="1"/>
  <c r="F3034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145" i="1"/>
  <c r="F3146" i="1"/>
  <c r="F3147" i="1"/>
  <c r="F3148" i="1"/>
  <c r="F3149" i="1"/>
  <c r="F3150" i="1"/>
  <c r="F3535" i="1"/>
  <c r="F3532" i="1"/>
  <c r="F3528" i="1"/>
  <c r="F3529" i="1"/>
  <c r="F3525" i="1"/>
  <c r="F3526" i="1"/>
  <c r="F3527" i="1"/>
  <c r="F3533" i="1"/>
  <c r="F3536" i="1"/>
  <c r="F3534" i="1"/>
  <c r="F2589" i="1"/>
  <c r="F2265" i="1"/>
  <c r="F3669" i="1"/>
  <c r="F3667" i="1"/>
  <c r="F3668" i="1"/>
  <c r="F1" i="1"/>
  <c r="F32" i="1"/>
  <c r="F3681" i="1"/>
  <c r="F3674" i="1"/>
  <c r="F3679" i="1"/>
  <c r="F3676" i="1"/>
  <c r="F3678" i="1"/>
  <c r="F3675" i="1"/>
  <c r="F3677" i="1"/>
  <c r="F3673" i="1"/>
  <c r="F3680" i="1"/>
  <c r="F2853" i="1"/>
  <c r="F3495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069" i="1"/>
  <c r="F3072" i="1"/>
  <c r="F3771" i="1"/>
  <c r="F3770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169" i="1"/>
  <c r="F3170" i="1"/>
  <c r="F3017" i="1"/>
  <c r="F2780" i="1"/>
  <c r="F2781" i="1"/>
  <c r="F2782" i="1"/>
  <c r="F705" i="1"/>
  <c r="F803" i="1"/>
  <c r="F2334" i="1"/>
  <c r="F1513" i="1"/>
  <c r="F1514" i="1"/>
  <c r="F1515" i="1"/>
  <c r="F3134" i="1"/>
  <c r="F2735" i="1"/>
  <c r="F804" i="1"/>
  <c r="F96" i="1"/>
  <c r="F3705" i="1"/>
  <c r="F1801" i="1"/>
  <c r="F222" i="1"/>
  <c r="F3144" i="1"/>
  <c r="F3035" i="1"/>
  <c r="F3036" i="1"/>
  <c r="F3037" i="1"/>
  <c r="F3038" i="1"/>
  <c r="F3039" i="1"/>
  <c r="F3040" i="1"/>
  <c r="F44" i="1"/>
  <c r="F3153" i="1"/>
  <c r="F3154" i="1"/>
  <c r="F3155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135" i="1"/>
  <c r="F3874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693" i="1"/>
  <c r="F3538" i="1"/>
  <c r="F919" i="1"/>
  <c r="F2660" i="1"/>
  <c r="F126" i="1"/>
  <c r="F128" i="1"/>
  <c r="F132" i="1"/>
  <c r="F129" i="1"/>
  <c r="F130" i="1"/>
  <c r="F131" i="1"/>
  <c r="F2663" i="1"/>
  <c r="F3734" i="1"/>
  <c r="F3190" i="1"/>
  <c r="F2808" i="1"/>
  <c r="F737" i="1"/>
  <c r="F2809" i="1"/>
  <c r="F2818" i="1"/>
  <c r="F2716" i="1"/>
  <c r="F2719" i="1"/>
  <c r="F1446" i="1"/>
  <c r="F2422" i="1"/>
  <c r="F2423" i="1"/>
  <c r="F2424" i="1"/>
  <c r="F3042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571" i="1"/>
  <c r="F3572" i="1"/>
  <c r="F3060" i="1"/>
  <c r="F3061" i="1"/>
  <c r="F3062" i="1"/>
  <c r="F3063" i="1"/>
  <c r="F1440" i="1"/>
  <c r="F3965" i="1"/>
  <c r="F4132" i="1"/>
  <c r="F4133" i="1"/>
  <c r="F760" i="1"/>
  <c r="F3066" i="1"/>
  <c r="F2717" i="1"/>
  <c r="F2720" i="1"/>
  <c r="F2151" i="1"/>
  <c r="F2152" i="1"/>
  <c r="F2755" i="1"/>
  <c r="F2998" i="1"/>
  <c r="F2850" i="1"/>
  <c r="F2714" i="1"/>
  <c r="F3191" i="1"/>
  <c r="F3192" i="1"/>
  <c r="F3193" i="1"/>
  <c r="F3194" i="1"/>
  <c r="F3195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3738" i="1"/>
  <c r="F2662" i="1"/>
  <c r="F4042" i="1"/>
  <c r="F2909" i="1"/>
  <c r="F1788" i="1"/>
  <c r="F3109" i="1"/>
  <c r="F4068" i="1"/>
  <c r="F2183" i="1"/>
  <c r="F2184" i="1"/>
  <c r="F726" i="1"/>
  <c r="F4040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023" i="1"/>
  <c r="F2461" i="1"/>
  <c r="F2396" i="1"/>
  <c r="F2754" i="1"/>
  <c r="F1450" i="1"/>
  <c r="F1451" i="1"/>
  <c r="F4048" i="1"/>
  <c r="F746" i="1"/>
  <c r="F747" i="1"/>
  <c r="F748" i="1"/>
  <c r="F1474" i="1"/>
  <c r="F471" i="1"/>
  <c r="F472" i="1"/>
  <c r="F473" i="1"/>
  <c r="F469" i="1"/>
  <c r="F470" i="1"/>
  <c r="F3015" i="1"/>
  <c r="F3016" i="1"/>
  <c r="F2627" i="1"/>
  <c r="F2537" i="1"/>
  <c r="F3028" i="1"/>
  <c r="F867" i="1"/>
  <c r="F2758" i="1"/>
  <c r="F3029" i="1"/>
  <c r="F3051" i="1"/>
  <c r="F761" i="1"/>
  <c r="F2628" i="1"/>
  <c r="F2609" i="1"/>
  <c r="F2555" i="1"/>
  <c r="F2610" i="1"/>
  <c r="F4083" i="1"/>
  <c r="F1909" i="1"/>
  <c r="F3591" i="1"/>
  <c r="F1852" i="1"/>
  <c r="F1881" i="1"/>
  <c r="F1902" i="1"/>
  <c r="F3577" i="1"/>
  <c r="F3578" i="1"/>
  <c r="F3530" i="1"/>
  <c r="F2272" i="1"/>
  <c r="F1926" i="1"/>
  <c r="F3592" i="1"/>
  <c r="F3590" i="1"/>
  <c r="F3593" i="1"/>
  <c r="F2274" i="1"/>
  <c r="F2556" i="1"/>
  <c r="F2267" i="1"/>
  <c r="F2611" i="1"/>
  <c r="F2612" i="1"/>
  <c r="F2613" i="1"/>
  <c r="F2276" i="1"/>
  <c r="F3030" i="1"/>
  <c r="F3031" i="1"/>
  <c r="F738" i="1"/>
  <c r="F3003" i="1"/>
  <c r="F3005" i="1"/>
  <c r="F884" i="1"/>
  <c r="F3067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018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2871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906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8" i="1"/>
  <c r="G2890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7" i="1"/>
  <c r="G3001" i="1"/>
  <c r="G2908" i="1"/>
  <c r="G2910" i="1"/>
  <c r="G2911" i="1"/>
  <c r="G2912" i="1"/>
  <c r="G2913" i="1"/>
  <c r="G2914" i="1"/>
  <c r="G2915" i="1"/>
  <c r="G2916" i="1"/>
  <c r="G2917" i="1"/>
  <c r="G2918" i="1"/>
  <c r="G2919" i="1"/>
  <c r="G2920" i="1"/>
  <c r="G2926" i="1"/>
  <c r="G2927" i="1"/>
  <c r="G2928" i="1"/>
  <c r="G2947" i="1"/>
  <c r="G2948" i="1"/>
  <c r="G2949" i="1"/>
  <c r="G2950" i="1"/>
  <c r="G2951" i="1"/>
  <c r="G2955" i="1"/>
  <c r="G2956" i="1"/>
  <c r="G2957" i="1"/>
  <c r="G2958" i="1"/>
  <c r="G2959" i="1"/>
  <c r="G2960" i="1"/>
  <c r="G2961" i="1"/>
  <c r="G2962" i="1"/>
  <c r="G2963" i="1"/>
  <c r="G2975" i="1"/>
  <c r="G2976" i="1"/>
  <c r="G2977" i="1"/>
  <c r="G2978" i="1"/>
  <c r="G2979" i="1"/>
  <c r="G2980" i="1"/>
  <c r="G2981" i="1" s="1"/>
  <c r="G2982" i="1" s="1"/>
  <c r="G2983" i="1" s="1"/>
  <c r="G2984" i="1" s="1"/>
  <c r="G2999" i="1"/>
  <c r="G3000" i="1"/>
  <c r="G3006" i="1"/>
  <c r="G3007" i="1"/>
  <c r="G3074" i="1"/>
  <c r="G3008" i="1"/>
  <c r="G3009" i="1"/>
  <c r="G3010" i="1"/>
  <c r="G3011" i="1"/>
  <c r="G3012" i="1"/>
  <c r="G3013" i="1"/>
  <c r="G522" i="1"/>
  <c r="G523" i="1"/>
  <c r="G536" i="1"/>
  <c r="G3018" i="1"/>
  <c r="G3019" i="1"/>
  <c r="G3020" i="1"/>
  <c r="G3041" i="1"/>
  <c r="G3043" i="1"/>
  <c r="G3044" i="1"/>
  <c r="G3045" i="1"/>
  <c r="G3046" i="1"/>
  <c r="G3047" i="1"/>
  <c r="G3048" i="1"/>
  <c r="G3052" i="1"/>
  <c r="G3064" i="1"/>
  <c r="G3065" i="1"/>
  <c r="G3068" i="1"/>
  <c r="G3070" i="1"/>
  <c r="G3071" i="1"/>
  <c r="G3073" i="1"/>
  <c r="G3091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9" i="1"/>
  <c r="G3090" i="1"/>
  <c r="G3092" i="1"/>
  <c r="G3093" i="1"/>
  <c r="G3094" i="1"/>
  <c r="G3095" i="1"/>
  <c r="G3096" i="1"/>
  <c r="G3097" i="1"/>
  <c r="G3098" i="1"/>
  <c r="G3099" i="1"/>
  <c r="G3100" i="1"/>
  <c r="G3101" i="1"/>
  <c r="G3102" i="1"/>
  <c r="G3130" i="1"/>
  <c r="G3103" i="1"/>
  <c r="G3104" i="1"/>
  <c r="G3105" i="1"/>
  <c r="G3106" i="1"/>
  <c r="G3107" i="1"/>
  <c r="G3108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76" i="1"/>
  <c r="G3131" i="1"/>
  <c r="G3132" i="1"/>
  <c r="G3133" i="1"/>
  <c r="G3135" i="1"/>
  <c r="G3136" i="1"/>
  <c r="G3137" i="1"/>
  <c r="G3138" i="1"/>
  <c r="G3139" i="1"/>
  <c r="G3140" i="1"/>
  <c r="G3141" i="1"/>
  <c r="G3142" i="1"/>
  <c r="G3143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71" i="1"/>
  <c r="G3172" i="1"/>
  <c r="G3173" i="1"/>
  <c r="G3174" i="1"/>
  <c r="G3175" i="1"/>
  <c r="G3177" i="1"/>
  <c r="G3178" i="1"/>
  <c r="G3179" i="1"/>
  <c r="G3180" i="1"/>
  <c r="G3181" i="1"/>
  <c r="G3182" i="1"/>
  <c r="G3183" i="1"/>
  <c r="G3184" i="1"/>
  <c r="G3185" i="1"/>
  <c r="G3186" i="1"/>
  <c r="G3196" i="1"/>
  <c r="G3187" i="1"/>
  <c r="G3189" i="1"/>
  <c r="G3197" i="1"/>
  <c r="G3206" i="1"/>
  <c r="G3207" i="1"/>
  <c r="G3208" i="1"/>
  <c r="G3209" i="1"/>
  <c r="G3210" i="1"/>
  <c r="G3211" i="1"/>
  <c r="G3212" i="1"/>
  <c r="G3198" i="1"/>
  <c r="G3199" i="1"/>
  <c r="G3200" i="1"/>
  <c r="G3201" i="1"/>
  <c r="G3202" i="1"/>
  <c r="G3203" i="1"/>
  <c r="G3204" i="1"/>
  <c r="G3205" i="1"/>
  <c r="G3213" i="1"/>
  <c r="G3214" i="1"/>
  <c r="G3215" i="1"/>
  <c r="G3216" i="1"/>
  <c r="G3217" i="1"/>
  <c r="G3218" i="1"/>
  <c r="G3219" i="1"/>
  <c r="G3242" i="1"/>
  <c r="G3220" i="1"/>
  <c r="G3221" i="1"/>
  <c r="G3223" i="1"/>
  <c r="G3224" i="1"/>
  <c r="G3225" i="1"/>
  <c r="G3226" i="1"/>
  <c r="G3227" i="1"/>
  <c r="G3230" i="1"/>
  <c r="G3231" i="1"/>
  <c r="G3232" i="1"/>
  <c r="G3260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8" i="1"/>
  <c r="G3259" i="1"/>
  <c r="G3262" i="1"/>
  <c r="G3491" i="1"/>
  <c r="G3263" i="1"/>
  <c r="G3272" i="1"/>
  <c r="G3276" i="1"/>
  <c r="G3277" i="1"/>
  <c r="G327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22" i="1"/>
  <c r="G3314" i="1"/>
  <c r="G3315" i="1"/>
  <c r="G3316" i="1"/>
  <c r="G3317" i="1"/>
  <c r="G3318" i="1"/>
  <c r="G3319" i="1"/>
  <c r="G3320" i="1"/>
  <c r="G3321" i="1"/>
  <c r="G3348" i="1"/>
  <c r="G3349" i="1"/>
  <c r="G3377" i="1"/>
  <c r="G3379" i="1"/>
  <c r="G3380" i="1"/>
  <c r="G3381" i="1"/>
  <c r="G3382" i="1"/>
  <c r="G3389" i="1"/>
  <c r="G3412" i="1"/>
  <c r="G3425" i="1"/>
  <c r="G3426" i="1"/>
  <c r="G3427" i="1"/>
  <c r="G3428" i="1"/>
  <c r="G3461" i="1"/>
  <c r="G3462" i="1"/>
  <c r="G3467" i="1"/>
  <c r="G3469" i="1"/>
  <c r="G3470" i="1"/>
  <c r="G3471" i="1"/>
  <c r="G3472" i="1"/>
  <c r="G3473" i="1"/>
  <c r="G3475" i="1"/>
  <c r="G3483" i="1"/>
  <c r="G3492" i="1"/>
  <c r="G3493" i="1"/>
  <c r="G3484" i="1"/>
  <c r="G3485" i="1"/>
  <c r="G3486" i="1"/>
  <c r="G3487" i="1"/>
  <c r="G3488" i="1"/>
  <c r="G3489" i="1"/>
  <c r="G3490" i="1"/>
  <c r="G3496" i="1"/>
  <c r="G3497" i="1"/>
  <c r="G3498" i="1"/>
  <c r="G3517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88" i="1"/>
  <c r="G3531" i="1"/>
  <c r="G3541" i="1"/>
  <c r="G3542" i="1"/>
  <c r="G3543" i="1"/>
  <c r="G3544" i="1"/>
  <c r="G3554" i="1"/>
  <c r="G3555" i="1"/>
  <c r="G3559" i="1"/>
  <c r="G3560" i="1"/>
  <c r="G3561" i="1"/>
  <c r="G3563" i="1"/>
  <c r="G3564" i="1"/>
  <c r="G3565" i="1"/>
  <c r="G3569" i="1"/>
  <c r="G3575" i="1"/>
  <c r="G3576" i="1"/>
  <c r="G3579" i="1"/>
  <c r="G3581" i="1"/>
  <c r="G3582" i="1"/>
  <c r="G3583" i="1"/>
  <c r="G3584" i="1"/>
  <c r="G3585" i="1"/>
  <c r="G3689" i="1"/>
  <c r="G3594" i="1"/>
  <c r="G3595" i="1"/>
  <c r="G3596" i="1"/>
  <c r="G3597" i="1"/>
  <c r="G3598" i="1"/>
  <c r="G3599" i="1"/>
  <c r="G3610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57" i="1"/>
  <c r="G3659" i="1"/>
  <c r="G3670" i="1"/>
  <c r="G3671" i="1"/>
  <c r="G3672" i="1"/>
  <c r="G3682" i="1"/>
  <c r="G3683" i="1"/>
  <c r="G3684" i="1"/>
  <c r="G3685" i="1"/>
  <c r="G3686" i="1"/>
  <c r="G3687" i="1"/>
  <c r="G3688" i="1"/>
  <c r="G3690" i="1"/>
  <c r="G3691" i="1"/>
  <c r="G3692" i="1"/>
  <c r="G3694" i="1"/>
  <c r="G3695" i="1"/>
  <c r="G3696" i="1"/>
  <c r="G3697" i="1"/>
  <c r="G3698" i="1"/>
  <c r="G3699" i="1"/>
  <c r="G3700" i="1"/>
  <c r="G3701" i="1"/>
  <c r="G3702" i="1"/>
  <c r="G3703" i="1"/>
  <c r="G3704" i="1"/>
  <c r="G3706" i="1"/>
  <c r="G3707" i="1"/>
  <c r="G3708" i="1"/>
  <c r="G3709" i="1"/>
  <c r="G3710" i="1"/>
  <c r="G3711" i="1"/>
  <c r="G3774" i="1"/>
  <c r="G3712" i="1"/>
  <c r="G3713" i="1"/>
  <c r="G3722" i="1"/>
  <c r="G3714" i="1"/>
  <c r="G3715" i="1"/>
  <c r="G3716" i="1"/>
  <c r="G3717" i="1"/>
  <c r="G3718" i="1"/>
  <c r="G3719" i="1"/>
  <c r="G3720" i="1"/>
  <c r="G3721" i="1"/>
  <c r="G3723" i="1"/>
  <c r="G3724" i="1"/>
  <c r="G3725" i="1"/>
  <c r="G3726" i="1"/>
  <c r="G3727" i="1"/>
  <c r="G3728" i="1"/>
  <c r="G3729" i="1"/>
  <c r="G3730" i="1"/>
  <c r="G3731" i="1"/>
  <c r="G3733" i="1"/>
  <c r="G3735" i="1"/>
  <c r="G3736" i="1"/>
  <c r="G3739" i="1"/>
  <c r="G3740" i="1"/>
  <c r="G3741" i="1"/>
  <c r="G3742" i="1"/>
  <c r="G3743" i="1"/>
  <c r="G3744" i="1"/>
  <c r="G3745" i="1"/>
  <c r="G3747" i="1"/>
  <c r="G3749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2" i="1"/>
  <c r="G3773" i="1"/>
  <c r="G3872" i="1"/>
  <c r="G3776" i="1"/>
  <c r="G3777" i="1"/>
  <c r="G3778" i="1"/>
  <c r="G3779" i="1"/>
  <c r="G3780" i="1"/>
  <c r="G3781" i="1"/>
  <c r="G3782" i="1"/>
  <c r="G3783" i="1"/>
  <c r="G3784" i="1" s="1"/>
  <c r="G3785" i="1" s="1"/>
  <c r="G3786" i="1" s="1"/>
  <c r="G3787" i="1" s="1"/>
  <c r="G3788" i="1" s="1"/>
  <c r="G3789" i="1" s="1"/>
  <c r="G3796" i="1"/>
  <c r="G3814" i="1"/>
  <c r="G3815" i="1"/>
  <c r="G3816" i="1"/>
  <c r="G3817" i="1"/>
  <c r="G3826" i="1"/>
  <c r="G3827" i="1"/>
  <c r="G3818" i="1"/>
  <c r="G3819" i="1"/>
  <c r="G3820" i="1"/>
  <c r="G3821" i="1"/>
  <c r="G3822" i="1"/>
  <c r="G3823" i="1"/>
  <c r="G3824" i="1"/>
  <c r="G3825" i="1"/>
  <c r="G3831" i="1"/>
  <c r="G3842" i="1"/>
  <c r="G3843" i="1"/>
  <c r="G3871" i="1"/>
  <c r="G3906" i="1"/>
  <c r="G3873" i="1"/>
  <c r="G3875" i="1"/>
  <c r="G3877" i="1"/>
  <c r="G3879" i="1"/>
  <c r="G3880" i="1"/>
  <c r="G3884" i="1"/>
  <c r="G3886" i="1"/>
  <c r="G3887" i="1"/>
  <c r="G3888" i="1"/>
  <c r="G3898" i="1"/>
  <c r="G3899" i="1"/>
  <c r="G3889" i="1"/>
  <c r="G3890" i="1"/>
  <c r="G3892" i="1"/>
  <c r="G3893" i="1"/>
  <c r="G3894" i="1"/>
  <c r="G3895" i="1"/>
  <c r="G3896" i="1"/>
  <c r="G3897" i="1"/>
  <c r="G3901" i="1"/>
  <c r="G3903" i="1"/>
  <c r="G3904" i="1"/>
  <c r="G3905" i="1"/>
  <c r="G4010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4017" i="1"/>
  <c r="G3938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9" i="1"/>
  <c r="G3960" i="1"/>
  <c r="G3961" i="1"/>
  <c r="G3962" i="1"/>
  <c r="G3963" i="1"/>
  <c r="G3964" i="1"/>
  <c r="G4019" i="1"/>
  <c r="G4020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1" i="1"/>
  <c r="G4082" i="1"/>
  <c r="G4024" i="1"/>
  <c r="G4025" i="1"/>
  <c r="G4026" i="1"/>
  <c r="G4027" i="1"/>
  <c r="G4028" i="1"/>
  <c r="G4029" i="1"/>
  <c r="G4031" i="1"/>
  <c r="G4032" i="1"/>
  <c r="G4033" i="1"/>
  <c r="G4038" i="1"/>
  <c r="G4039" i="1"/>
  <c r="G4043" i="1"/>
  <c r="G4044" i="1"/>
  <c r="G4045" i="1"/>
  <c r="G4046" i="1"/>
  <c r="G4047" i="1"/>
  <c r="G4049" i="1"/>
  <c r="G4050" i="1"/>
  <c r="G4051" i="1"/>
  <c r="G4052" i="1"/>
  <c r="G4053" i="1"/>
  <c r="G4054" i="1"/>
  <c r="G4055" i="1"/>
  <c r="G4056" i="1"/>
  <c r="G4059" i="1"/>
  <c r="G4060" i="1"/>
  <c r="G4061" i="1"/>
  <c r="G4062" i="1"/>
  <c r="G4063" i="1"/>
  <c r="G4064" i="1"/>
  <c r="G4065" i="1"/>
  <c r="G4066" i="1"/>
  <c r="G4067" i="1"/>
  <c r="G4069" i="1"/>
  <c r="G4070" i="1"/>
  <c r="G4071" i="1"/>
  <c r="G4072" i="1"/>
  <c r="G4074" i="1"/>
  <c r="G4075" i="1"/>
  <c r="G4076" i="1"/>
  <c r="G4077" i="1"/>
  <c r="G4078" i="1"/>
  <c r="G4079" i="1"/>
  <c r="G4080" i="1"/>
  <c r="G4081" i="1"/>
  <c r="G4137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4" i="1"/>
  <c r="G4136" i="1"/>
  <c r="G3647" i="1"/>
  <c r="G3648" i="1"/>
  <c r="G3649" i="1"/>
  <c r="G3354" i="1"/>
  <c r="G3445" i="1"/>
  <c r="G3360" i="1"/>
  <c r="G3650" i="1"/>
  <c r="G3651" i="1"/>
  <c r="G3652" i="1"/>
  <c r="G3653" i="1"/>
  <c r="G3654" i="1"/>
  <c r="G3655" i="1"/>
  <c r="G3601" i="1"/>
  <c r="G3600" i="1"/>
  <c r="G42" i="1"/>
  <c r="G62" i="1"/>
  <c r="G82" i="1"/>
  <c r="G83" i="1"/>
  <c r="G63" i="1"/>
  <c r="G64" i="1"/>
  <c r="G65" i="1"/>
  <c r="G43" i="1"/>
  <c r="G103" i="1"/>
  <c r="G492" i="1"/>
  <c r="G3658" i="1"/>
  <c r="G3518" i="1"/>
  <c r="G3519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264" i="1"/>
  <c r="G3265" i="1"/>
  <c r="G3266" i="1"/>
  <c r="G3459" i="1"/>
  <c r="G3460" i="1"/>
  <c r="G3494" i="1"/>
  <c r="G3273" i="1"/>
  <c r="G3274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3790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524" i="1"/>
  <c r="G3794" i="1"/>
  <c r="G3791" i="1"/>
  <c r="G3792" i="1"/>
  <c r="G3793" i="1"/>
  <c r="G2694" i="1"/>
  <c r="G2681" i="1"/>
  <c r="G2682" i="1"/>
  <c r="G3014" i="1"/>
  <c r="G1943" i="1"/>
  <c r="G524" i="1"/>
  <c r="G525" i="1"/>
  <c r="G535" i="1"/>
  <c r="G532" i="1"/>
  <c r="G533" i="1"/>
  <c r="G534" i="1"/>
  <c r="G530" i="1"/>
  <c r="G531" i="1"/>
  <c r="G3053" i="1"/>
  <c r="G3054" i="1"/>
  <c r="G3055" i="1"/>
  <c r="G3056" i="1"/>
  <c r="G3021" i="1"/>
  <c r="G3057" i="1"/>
  <c r="G3058" i="1"/>
  <c r="G3059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012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188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3799" i="1"/>
  <c r="G3800" i="1"/>
  <c r="G3801" i="1"/>
  <c r="G3802" i="1"/>
  <c r="G3803" i="1"/>
  <c r="G3804" i="1"/>
  <c r="G3805" i="1"/>
  <c r="G3806" i="1"/>
  <c r="G3797" i="1"/>
  <c r="G3807" i="1"/>
  <c r="G3798" i="1"/>
  <c r="G2107" i="1"/>
  <c r="G2108" i="1"/>
  <c r="G2109" i="1"/>
  <c r="G734" i="1"/>
  <c r="G632" i="1"/>
  <c r="G633" i="1"/>
  <c r="G634" i="1"/>
  <c r="G3025" i="1"/>
  <c r="G3026" i="1"/>
  <c r="G3027" i="1"/>
  <c r="G636" i="1"/>
  <c r="G637" i="1"/>
  <c r="G638" i="1"/>
  <c r="G3049" i="1"/>
  <c r="G3050" i="1"/>
  <c r="G635" i="1"/>
  <c r="G555" i="1"/>
  <c r="G3808" i="1"/>
  <c r="G3809" i="1"/>
  <c r="G3810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621" i="1"/>
  <c r="G3629" i="1"/>
  <c r="G3622" i="1"/>
  <c r="G3623" i="1"/>
  <c r="G3624" i="1"/>
  <c r="G3625" i="1"/>
  <c r="G3626" i="1"/>
  <c r="G3627" i="1"/>
  <c r="G3608" i="1"/>
  <c r="G3628" i="1"/>
  <c r="G3611" i="1"/>
  <c r="G3612" i="1"/>
  <c r="G3613" i="1"/>
  <c r="G3614" i="1"/>
  <c r="G3615" i="1"/>
  <c r="G3616" i="1"/>
  <c r="G3617" i="1"/>
  <c r="G3618" i="1"/>
  <c r="G3619" i="1"/>
  <c r="G3620" i="1"/>
  <c r="G3609" i="1"/>
  <c r="G959" i="1"/>
  <c r="G960" i="1"/>
  <c r="G961" i="1"/>
  <c r="G962" i="1"/>
  <c r="G963" i="1"/>
  <c r="G456" i="1"/>
  <c r="G3630" i="1"/>
  <c r="G3551" i="1"/>
  <c r="G3552" i="1"/>
  <c r="G3553" i="1"/>
  <c r="G3556" i="1"/>
  <c r="G1521" i="1"/>
  <c r="G2016" i="1"/>
  <c r="G3286" i="1"/>
  <c r="G3287" i="1"/>
  <c r="G3283" i="1"/>
  <c r="G3280" i="1"/>
  <c r="G3281" i="1"/>
  <c r="G3284" i="1"/>
  <c r="G3285" i="1"/>
  <c r="G3282" i="1"/>
  <c r="G3291" i="1"/>
  <c r="G3288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3737" i="1"/>
  <c r="G1619" i="1"/>
  <c r="G1620" i="1"/>
  <c r="G3294" i="1"/>
  <c r="G3293" i="1"/>
  <c r="G2193" i="1"/>
  <c r="G3811" i="1"/>
  <c r="G3812" i="1"/>
  <c r="G3813" i="1"/>
  <c r="G3296" i="1"/>
  <c r="G736" i="1"/>
  <c r="G2468" i="1"/>
  <c r="G3521" i="1"/>
  <c r="G3522" i="1"/>
  <c r="G3562" i="1"/>
  <c r="G2373" i="1"/>
  <c r="G2374" i="1"/>
  <c r="G2375" i="1"/>
  <c r="G2376" i="1"/>
  <c r="G2377" i="1"/>
  <c r="G2378" i="1"/>
  <c r="G2371" i="1"/>
  <c r="G2372" i="1"/>
  <c r="G2382" i="1"/>
  <c r="G3032" i="1"/>
  <c r="G3033" i="1"/>
  <c r="G2363" i="1"/>
  <c r="G2364" i="1"/>
  <c r="G2365" i="1"/>
  <c r="G681" i="1"/>
  <c r="G2194" i="1"/>
  <c r="G2195" i="1"/>
  <c r="G3631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3902" i="1"/>
  <c r="G3900" i="1"/>
  <c r="G631" i="1"/>
  <c r="G3602" i="1"/>
  <c r="G641" i="1"/>
  <c r="G2891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297" i="1"/>
  <c r="G562" i="1"/>
  <c r="G2386" i="1"/>
  <c r="G2581" i="1"/>
  <c r="G1886" i="1"/>
  <c r="G1993" i="1"/>
  <c r="G3828" i="1"/>
  <c r="G3830" i="1"/>
  <c r="G3829" i="1"/>
  <c r="G202" i="1"/>
  <c r="G203" i="1"/>
  <c r="G204" i="1"/>
  <c r="G3775" i="1"/>
  <c r="G3275" i="1"/>
  <c r="G1634" i="1"/>
  <c r="G2150" i="1"/>
  <c r="G1417" i="1"/>
  <c r="G2390" i="1"/>
  <c r="G2389" i="1"/>
  <c r="G2388" i="1"/>
  <c r="G3087" i="1"/>
  <c r="G3088" i="1"/>
  <c r="G399" i="1"/>
  <c r="G400" i="1"/>
  <c r="G401" i="1"/>
  <c r="G3832" i="1"/>
  <c r="G3795" i="1"/>
  <c r="G3833" i="1"/>
  <c r="G3834" i="1"/>
  <c r="G2823" i="1"/>
  <c r="G3885" i="1"/>
  <c r="G29" i="1"/>
  <c r="G30" i="1"/>
  <c r="G1896" i="1"/>
  <c r="G205" i="1"/>
  <c r="G206" i="1"/>
  <c r="G207" i="1"/>
  <c r="G208" i="1"/>
  <c r="G209" i="1"/>
  <c r="G1900" i="1"/>
  <c r="G2929" i="1"/>
  <c r="G2930" i="1"/>
  <c r="G2931" i="1"/>
  <c r="G2932" i="1"/>
  <c r="G2933" i="1"/>
  <c r="G2934" i="1"/>
  <c r="G2935" i="1"/>
  <c r="G2936" i="1"/>
  <c r="G2952" i="1"/>
  <c r="G2953" i="1"/>
  <c r="G2954" i="1"/>
  <c r="G1948" i="1"/>
  <c r="G1950" i="1"/>
  <c r="G1952" i="1"/>
  <c r="G31" i="1"/>
  <c r="G3261" i="1"/>
  <c r="G2226" i="1"/>
  <c r="G2227" i="1"/>
  <c r="G2228" i="1"/>
  <c r="G2229" i="1"/>
  <c r="G2230" i="1"/>
  <c r="G2056" i="1"/>
  <c r="G654" i="1"/>
  <c r="G3222" i="1"/>
  <c r="G3234" i="1"/>
  <c r="G3235" i="1"/>
  <c r="G3233" i="1"/>
  <c r="G3238" i="1"/>
  <c r="G3236" i="1"/>
  <c r="G3237" i="1"/>
  <c r="G3239" i="1"/>
  <c r="G3240" i="1"/>
  <c r="G3241" i="1"/>
  <c r="G3243" i="1"/>
  <c r="G3228" i="1"/>
  <c r="G3229" i="1"/>
  <c r="G2196" i="1"/>
  <c r="G2197" i="1"/>
  <c r="G2198" i="1"/>
  <c r="G967" i="1"/>
  <c r="G3323" i="1"/>
  <c r="G3324" i="1"/>
  <c r="G3482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468" i="1"/>
  <c r="G3587" i="1"/>
  <c r="G3660" i="1"/>
  <c r="G2619" i="1"/>
  <c r="G2202" i="1"/>
  <c r="G2203" i="1"/>
  <c r="G2204" i="1"/>
  <c r="G2205" i="1"/>
  <c r="G2206" i="1"/>
  <c r="G2207" i="1"/>
  <c r="G3364" i="1"/>
  <c r="G3290" i="1"/>
  <c r="G3289" i="1"/>
  <c r="G3292" i="1"/>
  <c r="G3295" i="1"/>
  <c r="G3369" i="1"/>
  <c r="G3370" i="1"/>
  <c r="G3371" i="1"/>
  <c r="G3372" i="1"/>
  <c r="G3373" i="1"/>
  <c r="G3383" i="1"/>
  <c r="G3416" i="1"/>
  <c r="G3440" i="1"/>
  <c r="G3329" i="1"/>
  <c r="G3333" i="1"/>
  <c r="G3439" i="1"/>
  <c r="G3443" i="1"/>
  <c r="G3441" i="1"/>
  <c r="G3365" i="1"/>
  <c r="G3390" i="1"/>
  <c r="G3336" i="1"/>
  <c r="G3368" i="1"/>
  <c r="G3356" i="1"/>
  <c r="G3378" i="1"/>
  <c r="G3397" i="1"/>
  <c r="G3398" i="1"/>
  <c r="G3384" i="1"/>
  <c r="G3385" i="1"/>
  <c r="G3396" i="1"/>
  <c r="G3395" i="1"/>
  <c r="G3394" i="1"/>
  <c r="G3405" i="1"/>
  <c r="G3429" i="1"/>
  <c r="G3435" i="1"/>
  <c r="G3411" i="1"/>
  <c r="G3410" i="1"/>
  <c r="G3409" i="1"/>
  <c r="G3408" i="1"/>
  <c r="G3457" i="1"/>
  <c r="G3424" i="1"/>
  <c r="G3361" i="1"/>
  <c r="G3438" i="1"/>
  <c r="G3456" i="1"/>
  <c r="G3337" i="1"/>
  <c r="G3339" i="1"/>
  <c r="G3340" i="1"/>
  <c r="G3338" i="1"/>
  <c r="G3392" i="1"/>
  <c r="G3344" i="1"/>
  <c r="G3387" i="1"/>
  <c r="G3343" i="1"/>
  <c r="G3345" i="1"/>
  <c r="G3347" i="1"/>
  <c r="G3376" i="1"/>
  <c r="G3388" i="1"/>
  <c r="G3355" i="1"/>
  <c r="G3418" i="1"/>
  <c r="G3420" i="1"/>
  <c r="G3399" i="1"/>
  <c r="G3434" i="1"/>
  <c r="G3454" i="1"/>
  <c r="G3455" i="1"/>
  <c r="G3391" i="1"/>
  <c r="G3406" i="1"/>
  <c r="G3446" i="1"/>
  <c r="G3417" i="1"/>
  <c r="G3352" i="1"/>
  <c r="G3350" i="1"/>
  <c r="G3346" i="1"/>
  <c r="G3351" i="1"/>
  <c r="G3353" i="1"/>
  <c r="G3357" i="1"/>
  <c r="G3362" i="1"/>
  <c r="G3363" i="1"/>
  <c r="G3366" i="1"/>
  <c r="G3367" i="1"/>
  <c r="G3386" i="1"/>
  <c r="G3374" i="1"/>
  <c r="G3334" i="1"/>
  <c r="G3407" i="1"/>
  <c r="G3419" i="1"/>
  <c r="G3436" i="1"/>
  <c r="G3447" i="1"/>
  <c r="G3448" i="1"/>
  <c r="G3449" i="1"/>
  <c r="G3341" i="1"/>
  <c r="G3342" i="1"/>
  <c r="G3375" i="1"/>
  <c r="G3437" i="1"/>
  <c r="G3325" i="1"/>
  <c r="G3331" i="1"/>
  <c r="G3326" i="1"/>
  <c r="G3327" i="1"/>
  <c r="G3328" i="1"/>
  <c r="G3330" i="1"/>
  <c r="G3332" i="1"/>
  <c r="G3335" i="1"/>
  <c r="G3358" i="1"/>
  <c r="G3359" i="1"/>
  <c r="G3423" i="1"/>
  <c r="G3404" i="1"/>
  <c r="G3453" i="1"/>
  <c r="G3450" i="1"/>
  <c r="G3451" i="1"/>
  <c r="G3452" i="1"/>
  <c r="G3393" i="1"/>
  <c r="G3414" i="1"/>
  <c r="G3413" i="1"/>
  <c r="G3421" i="1"/>
  <c r="G3422" i="1"/>
  <c r="G3458" i="1"/>
  <c r="G3415" i="1"/>
  <c r="G3279" i="1"/>
  <c r="G3298" i="1"/>
  <c r="G3430" i="1"/>
  <c r="G3431" i="1"/>
  <c r="G3432" i="1"/>
  <c r="G3433" i="1"/>
  <c r="G3661" i="1"/>
  <c r="G3662" i="1"/>
  <c r="G3663" i="1"/>
  <c r="G3664" i="1"/>
  <c r="G3665" i="1"/>
  <c r="G3666" i="1"/>
  <c r="G3444" i="1"/>
  <c r="G971" i="1"/>
  <c r="G972" i="1"/>
  <c r="G2490" i="1"/>
  <c r="G4022" i="1"/>
  <c r="G4023" i="1"/>
  <c r="G3586" i="1"/>
  <c r="G212" i="1"/>
  <c r="G2057" i="1"/>
  <c r="G2058" i="1"/>
  <c r="G196" i="1"/>
  <c r="G1725" i="1"/>
  <c r="G3746" i="1"/>
  <c r="G3748" i="1"/>
  <c r="G3750" i="1"/>
  <c r="G3732" i="1"/>
  <c r="G3878" i="1"/>
  <c r="G3891" i="1"/>
  <c r="G771" i="1"/>
  <c r="G772" i="1"/>
  <c r="G730" i="1"/>
  <c r="G3876" i="1"/>
  <c r="G3881" i="1"/>
  <c r="G2631" i="1"/>
  <c r="G1732" i="1"/>
  <c r="G1923" i="1"/>
  <c r="G1924" i="1"/>
  <c r="G1925" i="1"/>
  <c r="G2994" i="1"/>
  <c r="G2995" i="1"/>
  <c r="G2996" i="1"/>
  <c r="G2997" i="1"/>
  <c r="G975" i="1"/>
  <c r="G974" i="1"/>
  <c r="G3478" i="1"/>
  <c r="G3477" i="1"/>
  <c r="G3481" i="1"/>
  <c r="G3442" i="1"/>
  <c r="G3474" i="1"/>
  <c r="G2849" i="1"/>
  <c r="G2635" i="1"/>
  <c r="G587" i="1"/>
  <c r="G3256" i="1"/>
  <c r="G3257" i="1"/>
  <c r="G3523" i="1"/>
  <c r="G2168" i="1"/>
  <c r="G4030" i="1"/>
  <c r="G219" i="1"/>
  <c r="G228" i="1"/>
  <c r="G238" i="1"/>
  <c r="G229" i="1"/>
  <c r="G376" i="1"/>
  <c r="G377" i="1"/>
  <c r="G378" i="1"/>
  <c r="G3024" i="1"/>
  <c r="G2614" i="1"/>
  <c r="G2615" i="1"/>
  <c r="G2616" i="1"/>
  <c r="G4058" i="1"/>
  <c r="G2545" i="1"/>
  <c r="G2546" i="1"/>
  <c r="G2547" i="1"/>
  <c r="G218" i="1"/>
  <c r="G2527" i="1"/>
  <c r="G2542" i="1"/>
  <c r="G2543" i="1"/>
  <c r="G4057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537" i="1"/>
  <c r="G3540" i="1"/>
  <c r="G1850" i="1"/>
  <c r="G3550" i="1"/>
  <c r="G3566" i="1"/>
  <c r="G3567" i="1"/>
  <c r="G3568" i="1"/>
  <c r="G3570" i="1"/>
  <c r="G3573" i="1"/>
  <c r="G3574" i="1"/>
  <c r="G3539" i="1"/>
  <c r="G3520" i="1"/>
  <c r="G1882" i="1"/>
  <c r="G3589" i="1"/>
  <c r="G3545" i="1"/>
  <c r="G3546" i="1"/>
  <c r="G3547" i="1"/>
  <c r="G3548" i="1"/>
  <c r="G3549" i="1"/>
  <c r="G3557" i="1"/>
  <c r="G3558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535" i="1"/>
  <c r="G3532" i="1"/>
  <c r="G3528" i="1"/>
  <c r="G3529" i="1"/>
  <c r="G3525" i="1"/>
  <c r="G3526" i="1"/>
  <c r="G3527" i="1"/>
  <c r="G3533" i="1"/>
  <c r="G3536" i="1"/>
  <c r="G3534" i="1"/>
  <c r="G2265" i="1"/>
  <c r="G3669" i="1"/>
  <c r="G3667" i="1"/>
  <c r="G3668" i="1"/>
  <c r="G1" i="1"/>
  <c r="G32" i="1"/>
  <c r="G3681" i="1"/>
  <c r="G3673" i="1"/>
  <c r="G3674" i="1"/>
  <c r="G3679" i="1"/>
  <c r="G3676" i="1"/>
  <c r="G3678" i="1"/>
  <c r="G3675" i="1"/>
  <c r="G3677" i="1"/>
  <c r="G3680" i="1"/>
  <c r="G2853" i="1"/>
  <c r="G3495" i="1"/>
  <c r="G1918" i="1"/>
  <c r="G216" i="1"/>
  <c r="G976" i="1"/>
  <c r="G977" i="1"/>
  <c r="G978" i="1"/>
  <c r="G981" i="1"/>
  <c r="G3069" i="1"/>
  <c r="G3072" i="1"/>
  <c r="G3770" i="1"/>
  <c r="G3771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017" i="1"/>
  <c r="G2780" i="1"/>
  <c r="G2781" i="1"/>
  <c r="G2782" i="1"/>
  <c r="G705" i="1"/>
  <c r="G2334" i="1"/>
  <c r="G1513" i="1"/>
  <c r="G1514" i="1"/>
  <c r="G1515" i="1"/>
  <c r="G3134" i="1"/>
  <c r="G2735" i="1"/>
  <c r="G96" i="1"/>
  <c r="G3705" i="1"/>
  <c r="G1801" i="1"/>
  <c r="G222" i="1"/>
  <c r="G3144" i="1"/>
  <c r="G44" i="1"/>
  <c r="G3153" i="1"/>
  <c r="G3154" i="1"/>
  <c r="G3155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135" i="1"/>
  <c r="G3874" i="1"/>
  <c r="G733" i="1"/>
  <c r="G2429" i="1"/>
  <c r="G2427" i="1"/>
  <c r="G2428" i="1"/>
  <c r="G2425" i="1"/>
  <c r="G2426" i="1"/>
  <c r="G797" i="1"/>
  <c r="G798" i="1"/>
  <c r="G3693" i="1"/>
  <c r="G3538" i="1"/>
  <c r="G919" i="1"/>
  <c r="G2660" i="1"/>
  <c r="G126" i="1"/>
  <c r="G2663" i="1"/>
  <c r="G3734" i="1"/>
  <c r="G3190" i="1"/>
  <c r="G2808" i="1"/>
  <c r="G737" i="1"/>
  <c r="G2809" i="1"/>
  <c r="G2818" i="1"/>
  <c r="G2716" i="1"/>
  <c r="G2719" i="1"/>
  <c r="G1446" i="1"/>
  <c r="G2422" i="1"/>
  <c r="G2423" i="1"/>
  <c r="G2424" i="1"/>
  <c r="G3042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571" i="1"/>
  <c r="G3572" i="1"/>
  <c r="G3060" i="1"/>
  <c r="G3061" i="1"/>
  <c r="G3062" i="1"/>
  <c r="G3063" i="1"/>
  <c r="G1440" i="1"/>
  <c r="G3965" i="1"/>
  <c r="G4132" i="1"/>
  <c r="G4133" i="1"/>
  <c r="G3066" i="1"/>
  <c r="G2717" i="1"/>
  <c r="G2720" i="1"/>
  <c r="G2151" i="1"/>
  <c r="G2152" i="1"/>
  <c r="G2755" i="1"/>
  <c r="G2998" i="1"/>
  <c r="G2850" i="1"/>
  <c r="G2714" i="1"/>
  <c r="G3191" i="1"/>
  <c r="G3192" i="1"/>
  <c r="G3193" i="1"/>
  <c r="G3194" i="1"/>
  <c r="G3195" i="1"/>
  <c r="G793" i="1"/>
  <c r="G832" i="1"/>
  <c r="G790" i="1"/>
  <c r="G2839" i="1"/>
  <c r="G588" i="1"/>
  <c r="G2848" i="1"/>
  <c r="G1428" i="1"/>
  <c r="G1429" i="1"/>
  <c r="G3738" i="1"/>
  <c r="G2662" i="1"/>
  <c r="G4042" i="1"/>
  <c r="G2909" i="1"/>
  <c r="G1788" i="1"/>
  <c r="G3109" i="1"/>
  <c r="G4068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048" i="1"/>
  <c r="G1474" i="1"/>
  <c r="G471" i="1"/>
  <c r="G472" i="1"/>
  <c r="G473" i="1"/>
  <c r="G469" i="1"/>
  <c r="G470" i="1"/>
  <c r="G3015" i="1"/>
  <c r="G3016" i="1"/>
  <c r="G2627" i="1"/>
  <c r="G2537" i="1"/>
  <c r="G3028" i="1"/>
  <c r="G867" i="1"/>
  <c r="G2758" i="1"/>
  <c r="G3029" i="1"/>
  <c r="G3051" i="1"/>
  <c r="G2628" i="1"/>
  <c r="G4083" i="1"/>
  <c r="G1909" i="1"/>
  <c r="G3591" i="1"/>
  <c r="G1852" i="1"/>
  <c r="G1881" i="1"/>
  <c r="G1902" i="1"/>
  <c r="G3577" i="1"/>
  <c r="G3578" i="1"/>
  <c r="G3530" i="1"/>
  <c r="G2272" i="1"/>
  <c r="G1926" i="1"/>
  <c r="G3592" i="1"/>
  <c r="G3590" i="1"/>
  <c r="G3593" i="1"/>
  <c r="G2274" i="1"/>
  <c r="G2267" i="1"/>
  <c r="G2276" i="1"/>
  <c r="G3030" i="1"/>
  <c r="G3031" i="1"/>
  <c r="G738" i="1"/>
  <c r="G3067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690" i="1"/>
  <c r="E3691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692" i="1"/>
  <c r="E3594" i="1"/>
  <c r="E505" i="1"/>
  <c r="E2907" i="1"/>
  <c r="E3098" i="1"/>
  <c r="E3099" i="1"/>
  <c r="E1799" i="1"/>
  <c r="E1798" i="1"/>
  <c r="E1484" i="1"/>
  <c r="E3141" i="1"/>
  <c r="E1845" i="1"/>
  <c r="E121" i="1"/>
  <c r="E2857" i="1"/>
  <c r="E4024" i="1"/>
  <c r="E2882" i="1"/>
  <c r="E2885" i="1"/>
  <c r="E2887" i="1"/>
  <c r="E2889" i="1"/>
  <c r="E350" i="1"/>
  <c r="E351" i="1"/>
  <c r="E3100" i="1"/>
  <c r="E2646" i="1"/>
  <c r="E2075" i="1"/>
  <c r="E3873" i="1"/>
  <c r="E2076" i="1"/>
  <c r="E4097" i="1"/>
  <c r="E1319" i="1"/>
  <c r="E1320" i="1"/>
  <c r="E1321" i="1"/>
  <c r="E1322" i="1"/>
  <c r="E2757" i="1"/>
  <c r="E165" i="1"/>
  <c r="E2908" i="1"/>
  <c r="E2873" i="1"/>
  <c r="E2874" i="1"/>
  <c r="E2875" i="1"/>
  <c r="E105" i="1"/>
  <c r="E788" i="1"/>
  <c r="E3008" i="1"/>
  <c r="E166" i="1"/>
  <c r="E3177" i="1"/>
  <c r="E1328" i="1"/>
  <c r="E1329" i="1"/>
  <c r="E168" i="1"/>
  <c r="E169" i="1"/>
  <c r="E171" i="1"/>
  <c r="E172" i="1"/>
  <c r="E177" i="1"/>
  <c r="E3694" i="1"/>
  <c r="E3695" i="1"/>
  <c r="E3696" i="1"/>
  <c r="E3697" i="1"/>
  <c r="E3698" i="1"/>
  <c r="E3699" i="1"/>
  <c r="E3700" i="1"/>
  <c r="E3701" i="1"/>
  <c r="E3702" i="1"/>
  <c r="E3703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262" i="1"/>
  <c r="E3263" i="1"/>
  <c r="E889" i="1"/>
  <c r="E890" i="1"/>
  <c r="E891" i="1"/>
  <c r="E892" i="1"/>
  <c r="E893" i="1"/>
  <c r="E894" i="1"/>
  <c r="E3101" i="1"/>
  <c r="E2277" i="1"/>
  <c r="E655" i="1"/>
  <c r="E656" i="1"/>
  <c r="E2647" i="1"/>
  <c r="E2005" i="1"/>
  <c r="E2007" i="1"/>
  <c r="E2004" i="1"/>
  <c r="E107" i="1"/>
  <c r="E108" i="1"/>
  <c r="E3707" i="1"/>
  <c r="E3708" i="1"/>
  <c r="E243" i="1"/>
  <c r="E3709" i="1"/>
  <c r="E3710" i="1"/>
  <c r="E244" i="1"/>
  <c r="E249" i="1"/>
  <c r="E278" i="1"/>
  <c r="E286" i="1"/>
  <c r="E287" i="1"/>
  <c r="E288" i="1"/>
  <c r="E253" i="1"/>
  <c r="E279" i="1"/>
  <c r="E280" i="1"/>
  <c r="E265" i="1"/>
  <c r="E262" i="1"/>
  <c r="E3711" i="1"/>
  <c r="E3712" i="1"/>
  <c r="E241" i="1"/>
  <c r="E242" i="1"/>
  <c r="E245" i="1"/>
  <c r="E247" i="1"/>
  <c r="E246" i="1"/>
  <c r="E1771" i="1"/>
  <c r="E1769" i="1"/>
  <c r="E1783" i="1"/>
  <c r="E3636" i="1"/>
  <c r="E3595" i="1"/>
  <c r="E3596" i="1"/>
  <c r="E3597" i="1"/>
  <c r="E3598" i="1"/>
  <c r="E3783" i="1"/>
  <c r="E3776" i="1"/>
  <c r="E3777" i="1"/>
  <c r="E3778" i="1"/>
  <c r="E3780" i="1"/>
  <c r="E3782" i="1"/>
  <c r="E3781" i="1"/>
  <c r="E3779" i="1"/>
  <c r="E4025" i="1"/>
  <c r="E3599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496" i="1"/>
  <c r="E4100" i="1"/>
  <c r="E619" i="1"/>
  <c r="E620" i="1"/>
  <c r="E2258" i="1"/>
  <c r="E617" i="1"/>
  <c r="E616" i="1"/>
  <c r="E618" i="1"/>
  <c r="E4102" i="1"/>
  <c r="E4103" i="1"/>
  <c r="E4104" i="1"/>
  <c r="E4105" i="1"/>
  <c r="E4101" i="1"/>
  <c r="E3271" i="1"/>
  <c r="E4107" i="1"/>
  <c r="E4108" i="1"/>
  <c r="E3909" i="1"/>
  <c r="E1487" i="1"/>
  <c r="E2649" i="1"/>
  <c r="E3723" i="1"/>
  <c r="E3724" i="1"/>
  <c r="E3713" i="1"/>
  <c r="E3714" i="1"/>
  <c r="E3715" i="1"/>
  <c r="E3716" i="1"/>
  <c r="E3717" i="1"/>
  <c r="E3718" i="1"/>
  <c r="E3719" i="1"/>
  <c r="E3720" i="1"/>
  <c r="E3721" i="1"/>
  <c r="E3722" i="1"/>
  <c r="E4026" i="1"/>
  <c r="E1800" i="1"/>
  <c r="E1802" i="1"/>
  <c r="E2650" i="1"/>
  <c r="E2651" i="1"/>
  <c r="E4084" i="1"/>
  <c r="E4085" i="1"/>
  <c r="E4090" i="1"/>
  <c r="E4091" i="1"/>
  <c r="E4092" i="1"/>
  <c r="E4087" i="1"/>
  <c r="E4088" i="1"/>
  <c r="E4089" i="1"/>
  <c r="E4086" i="1"/>
  <c r="E4118" i="1"/>
  <c r="E4120" i="1"/>
  <c r="E4121" i="1"/>
  <c r="E474" i="1"/>
  <c r="E475" i="1"/>
  <c r="E477" i="1"/>
  <c r="E479" i="1"/>
  <c r="E481" i="1"/>
  <c r="E482" i="1"/>
  <c r="E483" i="1"/>
  <c r="E476" i="1"/>
  <c r="E478" i="1"/>
  <c r="E480" i="1"/>
  <c r="E1953" i="1"/>
  <c r="E3725" i="1"/>
  <c r="E413" i="1"/>
  <c r="E414" i="1"/>
  <c r="E415" i="1"/>
  <c r="E2333" i="1"/>
  <c r="E3009" i="1"/>
  <c r="E3010" i="1"/>
  <c r="E2078" i="1"/>
  <c r="E1469" i="1"/>
  <c r="E3706" i="1"/>
  <c r="E266" i="1"/>
  <c r="E267" i="1"/>
  <c r="E268" i="1"/>
  <c r="E269" i="1"/>
  <c r="E270" i="1"/>
  <c r="E271" i="1"/>
  <c r="E272" i="1"/>
  <c r="E273" i="1"/>
  <c r="E274" i="1"/>
  <c r="E275" i="1"/>
  <c r="E3913" i="1"/>
  <c r="E3914" i="1"/>
  <c r="E3915" i="1"/>
  <c r="E3916" i="1"/>
  <c r="E660" i="1"/>
  <c r="E661" i="1"/>
  <c r="E662" i="1"/>
  <c r="E663" i="1"/>
  <c r="E664" i="1"/>
  <c r="E665" i="1"/>
  <c r="E1512" i="1"/>
  <c r="E2079" i="1"/>
  <c r="E2914" i="1"/>
  <c r="E2915" i="1"/>
  <c r="E2916" i="1"/>
  <c r="E2917" i="1"/>
  <c r="E2918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248" i="1"/>
  <c r="E2688" i="1"/>
  <c r="E2690" i="1"/>
  <c r="E2689" i="1"/>
  <c r="E2691" i="1"/>
  <c r="E2692" i="1"/>
  <c r="E2693" i="1"/>
  <c r="E4111" i="1"/>
  <c r="E4112" i="1"/>
  <c r="E3011" i="1"/>
  <c r="E3012" i="1"/>
  <c r="E3013" i="1"/>
  <c r="E3498" i="1"/>
  <c r="E895" i="1"/>
  <c r="E901" i="1"/>
  <c r="E896" i="1"/>
  <c r="E897" i="1"/>
  <c r="E898" i="1"/>
  <c r="E899" i="1"/>
  <c r="E900" i="1"/>
  <c r="E2919" i="1"/>
  <c r="E3133" i="1"/>
  <c r="E3726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531" i="1"/>
  <c r="E2" i="1"/>
  <c r="E2766" i="1"/>
  <c r="E2767" i="1"/>
  <c r="E3104" i="1"/>
  <c r="E2876" i="1"/>
  <c r="E2877" i="1"/>
  <c r="E2878" i="1"/>
  <c r="E2879" i="1"/>
  <c r="E2880" i="1"/>
  <c r="E2883" i="1"/>
  <c r="E2886" i="1"/>
  <c r="E2888" i="1"/>
  <c r="E2890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3875" i="1"/>
  <c r="E676" i="1"/>
  <c r="E2100" i="1"/>
  <c r="E2101" i="1"/>
  <c r="E2337" i="1"/>
  <c r="E2338" i="1"/>
  <c r="E1824" i="1"/>
  <c r="E1825" i="1"/>
  <c r="E1817" i="1"/>
  <c r="E3138" i="1"/>
  <c r="E3136" i="1"/>
  <c r="E3137" i="1"/>
  <c r="E3139" i="1"/>
  <c r="E3140" i="1"/>
  <c r="E1710" i="1"/>
  <c r="E2538" i="1"/>
  <c r="E3113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272" i="1"/>
  <c r="E903" i="1"/>
  <c r="E924" i="1"/>
  <c r="E934" i="1"/>
  <c r="E941" i="1"/>
  <c r="E939" i="1"/>
  <c r="E940" i="1"/>
  <c r="E933" i="1"/>
  <c r="E932" i="1"/>
  <c r="E4038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039" i="1"/>
  <c r="E2540" i="1"/>
  <c r="E2541" i="1"/>
  <c r="E3018" i="1"/>
  <c r="E2340" i="1"/>
  <c r="E2341" i="1"/>
  <c r="E3920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002" i="1"/>
  <c r="E2763" i="1"/>
  <c r="E2526" i="1"/>
  <c r="E4109" i="1"/>
  <c r="E2528" i="1"/>
  <c r="E2529" i="1"/>
  <c r="E434" i="1"/>
  <c r="E365" i="1"/>
  <c r="E2765" i="1"/>
  <c r="E1805" i="1"/>
  <c r="E2270" i="1"/>
  <c r="E1803" i="1"/>
  <c r="E3103" i="1"/>
  <c r="E370" i="1"/>
  <c r="E2884" i="1"/>
  <c r="E2881" i="1"/>
  <c r="E510" i="1"/>
  <c r="E2536" i="1"/>
  <c r="E3142" i="1"/>
  <c r="E3143" i="1"/>
  <c r="E435" i="1"/>
  <c r="E1492" i="1"/>
  <c r="E1971" i="1"/>
  <c r="E1493" i="1"/>
  <c r="E3156" i="1"/>
  <c r="E1989" i="1"/>
  <c r="E1841" i="1"/>
  <c r="E3179" i="1"/>
  <c r="E3157" i="1"/>
  <c r="E3158" i="1"/>
  <c r="E3106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027" i="1"/>
  <c r="E4028" i="1"/>
  <c r="E4029" i="1"/>
  <c r="E3107" i="1"/>
  <c r="E11" i="1"/>
  <c r="E1711" i="1"/>
  <c r="E735" i="1"/>
  <c r="E2549" i="1"/>
  <c r="E2793" i="1"/>
  <c r="E1972" i="1"/>
  <c r="E1973" i="1"/>
  <c r="E2551" i="1"/>
  <c r="E2552" i="1"/>
  <c r="E1991" i="1"/>
  <c r="E1992" i="1"/>
  <c r="E3933" i="1"/>
  <c r="E3934" i="1"/>
  <c r="E2466" i="1"/>
  <c r="E2133" i="1"/>
  <c r="E2134" i="1"/>
  <c r="E4123" i="1"/>
  <c r="E106" i="1"/>
  <c r="E3938" i="1"/>
  <c r="E125" i="1"/>
  <c r="E127" i="1"/>
  <c r="E133" i="1"/>
  <c r="E3503" i="1"/>
  <c r="E3504" i="1"/>
  <c r="E1874" i="1"/>
  <c r="E1875" i="1"/>
  <c r="E3563" i="1"/>
  <c r="E3564" i="1"/>
  <c r="E3565" i="1"/>
  <c r="E2266" i="1"/>
  <c r="E4126" i="1"/>
  <c r="E2558" i="1"/>
  <c r="E855" i="1"/>
  <c r="E3163" i="1"/>
  <c r="E2561" i="1"/>
  <c r="E2562" i="1"/>
  <c r="E2564" i="1"/>
  <c r="E2806" i="1"/>
  <c r="E799" i="1"/>
  <c r="E800" i="1"/>
  <c r="E2947" i="1"/>
  <c r="E2807" i="1"/>
  <c r="E410" i="1"/>
  <c r="E3164" i="1"/>
  <c r="E3111" i="1"/>
  <c r="E3041" i="1"/>
  <c r="E1503" i="1"/>
  <c r="E1885" i="1"/>
  <c r="E4051" i="1"/>
  <c r="E2268" i="1"/>
  <c r="E2269" i="1"/>
  <c r="E864" i="1"/>
  <c r="E232" i="1"/>
  <c r="E3114" i="1"/>
  <c r="E739" i="1"/>
  <c r="E821" i="1"/>
  <c r="E411" i="1"/>
  <c r="E3951" i="1"/>
  <c r="E3117" i="1"/>
  <c r="E982" i="1"/>
  <c r="E823" i="1"/>
  <c r="E824" i="1"/>
  <c r="E825" i="1"/>
  <c r="E1890" i="1"/>
  <c r="E2827" i="1"/>
  <c r="E2828" i="1"/>
  <c r="E2955" i="1"/>
  <c r="E2956" i="1"/>
  <c r="E2002" i="1"/>
  <c r="E3022" i="1"/>
  <c r="E2832" i="1"/>
  <c r="E234" i="1"/>
  <c r="E46" i="1"/>
  <c r="E2253" i="1"/>
  <c r="E2591" i="1"/>
  <c r="E3121" i="1"/>
  <c r="E3186" i="1"/>
  <c r="E2397" i="1"/>
  <c r="E2833" i="1"/>
  <c r="E2834" i="1"/>
  <c r="E3640" i="1"/>
  <c r="E3641" i="1"/>
  <c r="E3643" i="1"/>
  <c r="E3644" i="1"/>
  <c r="E3645" i="1"/>
  <c r="E3646" i="1"/>
  <c r="E3126" i="1"/>
  <c r="E2799" i="1"/>
  <c r="E2800" i="1"/>
  <c r="E4079" i="1"/>
  <c r="E3127" i="1"/>
  <c r="E3508" i="1"/>
  <c r="E2476" i="1"/>
  <c r="E2477" i="1"/>
  <c r="E2478" i="1"/>
  <c r="E460" i="1"/>
  <c r="E2617" i="1"/>
  <c r="E2157" i="1"/>
  <c r="E3969" i="1"/>
  <c r="E235" i="1"/>
  <c r="E223" i="1"/>
  <c r="E886" i="1"/>
  <c r="E3932" i="1"/>
  <c r="E828" i="1"/>
  <c r="E3583" i="1"/>
  <c r="E2620" i="1"/>
  <c r="E2623" i="1"/>
  <c r="E2624" i="1"/>
  <c r="E2625" i="1"/>
  <c r="E2626" i="1"/>
  <c r="E2167" i="1"/>
  <c r="E833" i="1"/>
  <c r="E3089" i="1"/>
  <c r="E1919" i="1"/>
  <c r="E2764" i="1"/>
  <c r="E2492" i="1"/>
  <c r="E2493" i="1"/>
  <c r="E2494" i="1"/>
  <c r="E2730" i="1"/>
  <c r="E2731" i="1"/>
  <c r="E3128" i="1"/>
  <c r="E839" i="1"/>
  <c r="E887" i="1"/>
  <c r="E888" i="1"/>
  <c r="E2632" i="1"/>
  <c r="E4004" i="1"/>
  <c r="E2059" i="1"/>
  <c r="E1985" i="1"/>
  <c r="E836" i="1"/>
  <c r="E4081" i="1"/>
  <c r="E589" i="1"/>
  <c r="E590" i="1"/>
  <c r="E2398" i="1"/>
  <c r="E4006" i="1"/>
  <c r="E3171" i="1"/>
  <c r="E1939" i="1"/>
  <c r="E1937" i="1"/>
  <c r="E4011" i="1"/>
  <c r="E1967" i="1"/>
  <c r="E1968" i="1"/>
  <c r="E1354" i="1"/>
  <c r="E1355" i="1"/>
  <c r="E1356" i="1"/>
  <c r="E1357" i="1"/>
  <c r="E1358" i="1"/>
  <c r="E3020" i="1"/>
  <c r="E3019" i="1"/>
  <c r="E3178" i="1"/>
  <c r="E1516" i="1"/>
  <c r="E3727" i="1"/>
  <c r="E1359" i="1"/>
  <c r="E3728" i="1"/>
  <c r="E3729" i="1"/>
  <c r="E3730" i="1"/>
  <c r="E3731" i="1"/>
  <c r="E2769" i="1"/>
  <c r="E2262" i="1"/>
  <c r="E2263" i="1"/>
  <c r="E2770" i="1"/>
  <c r="E3500" i="1"/>
  <c r="E731" i="1"/>
  <c r="E732" i="1"/>
  <c r="E225" i="1"/>
  <c r="E3276" i="1"/>
  <c r="E3277" i="1"/>
  <c r="E3278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541" i="1"/>
  <c r="E3542" i="1"/>
  <c r="E3543" i="1"/>
  <c r="E3544" i="1"/>
  <c r="E4099" i="1"/>
  <c r="E4098" i="1"/>
  <c r="E379" i="1"/>
  <c r="E397" i="1"/>
  <c r="E398" i="1"/>
  <c r="E1494" i="1"/>
  <c r="E1496" i="1"/>
  <c r="E1497" i="1"/>
  <c r="E1363" i="1"/>
  <c r="E1364" i="1"/>
  <c r="E1365" i="1"/>
  <c r="E2264" i="1"/>
  <c r="E3569" i="1"/>
  <c r="E2783" i="1"/>
  <c r="E2784" i="1"/>
  <c r="E2785" i="1"/>
  <c r="E323" i="1"/>
  <c r="E324" i="1"/>
  <c r="E325" i="1"/>
  <c r="E321" i="1"/>
  <c r="E322" i="1"/>
  <c r="E320" i="1"/>
  <c r="E3925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3733" i="1"/>
  <c r="E3928" i="1"/>
  <c r="E3929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159" i="1"/>
  <c r="E853" i="1"/>
  <c r="E3880" i="1"/>
  <c r="E329" i="1"/>
  <c r="E3046" i="1"/>
  <c r="E3047" i="1"/>
  <c r="E3048" i="1"/>
  <c r="E8" i="1"/>
  <c r="E9" i="1"/>
  <c r="E10" i="1"/>
  <c r="E1518" i="1"/>
  <c r="E1888" i="1"/>
  <c r="E1889" i="1"/>
  <c r="E3108" i="1"/>
  <c r="E2182" i="1"/>
  <c r="E2185" i="1"/>
  <c r="E2791" i="1"/>
  <c r="E554" i="1"/>
  <c r="E2544" i="1"/>
  <c r="E2658" i="1"/>
  <c r="E2659" i="1"/>
  <c r="E4114" i="1"/>
  <c r="E4115" i="1"/>
  <c r="E3132" i="1"/>
  <c r="E3501" i="1"/>
  <c r="E3502" i="1"/>
  <c r="E4031" i="1"/>
  <c r="E4016" i="1"/>
  <c r="E2872" i="1"/>
  <c r="E97" i="1"/>
  <c r="E98" i="1"/>
  <c r="E3930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603" i="1"/>
  <c r="E3604" i="1"/>
  <c r="E3610" i="1"/>
  <c r="E3605" i="1"/>
  <c r="E3606" i="1"/>
  <c r="E3607" i="1"/>
  <c r="E227" i="1"/>
  <c r="E3110" i="1"/>
  <c r="E3735" i="1"/>
  <c r="E3736" i="1"/>
  <c r="E2550" i="1"/>
  <c r="E2553" i="1"/>
  <c r="E117" i="1"/>
  <c r="E3555" i="1"/>
  <c r="E3554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116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041" i="1"/>
  <c r="E947" i="1"/>
  <c r="E3936" i="1"/>
  <c r="E3935" i="1"/>
  <c r="E2219" i="1"/>
  <c r="E2220" i="1"/>
  <c r="E2892" i="1"/>
  <c r="E2893" i="1"/>
  <c r="E2894" i="1"/>
  <c r="E2895" i="1"/>
  <c r="E2896" i="1"/>
  <c r="E2897" i="1"/>
  <c r="E2898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117" i="1"/>
  <c r="E4119" i="1"/>
  <c r="E4122" i="1"/>
  <c r="E2661" i="1"/>
  <c r="E2792" i="1"/>
  <c r="E1384" i="1"/>
  <c r="E3939" i="1"/>
  <c r="E16" i="1"/>
  <c r="E17" i="1"/>
  <c r="E13" i="1"/>
  <c r="E14" i="1"/>
  <c r="E15" i="1"/>
  <c r="E674" i="1"/>
  <c r="E4043" i="1"/>
  <c r="E4044" i="1"/>
  <c r="E3941" i="1"/>
  <c r="E3559" i="1"/>
  <c r="E3560" i="1"/>
  <c r="E3561" i="1"/>
  <c r="E4045" i="1"/>
  <c r="E134" i="1"/>
  <c r="E2768" i="1"/>
  <c r="E4125" i="1"/>
  <c r="E2467" i="1"/>
  <c r="E2024" i="1"/>
  <c r="E2025" i="1"/>
  <c r="E2026" i="1"/>
  <c r="E2027" i="1"/>
  <c r="E1385" i="1"/>
  <c r="E1386" i="1"/>
  <c r="E1387" i="1"/>
  <c r="E779" i="1"/>
  <c r="E4018" i="1"/>
  <c r="E3161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131" i="1"/>
  <c r="E3923" i="1"/>
  <c r="E3162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3943" i="1"/>
  <c r="E99" i="1"/>
  <c r="E3244" i="1"/>
  <c r="E2414" i="1"/>
  <c r="E2415" i="1"/>
  <c r="E2416" i="1"/>
  <c r="E2417" i="1"/>
  <c r="E2418" i="1"/>
  <c r="E2419" i="1"/>
  <c r="E2420" i="1"/>
  <c r="E2421" i="1"/>
  <c r="E2937" i="1"/>
  <c r="E1879" i="1"/>
  <c r="E2810" i="1"/>
  <c r="E4046" i="1"/>
  <c r="E4047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2899" i="1"/>
  <c r="E2900" i="1"/>
  <c r="E2901" i="1"/>
  <c r="E2902" i="1"/>
  <c r="E2903" i="1"/>
  <c r="E2029" i="1"/>
  <c r="E506" i="1"/>
  <c r="E508" i="1"/>
  <c r="E507" i="1"/>
  <c r="E4093" i="1"/>
  <c r="E4094" i="1"/>
  <c r="E4095" i="1"/>
  <c r="E4096" i="1"/>
  <c r="E1522" i="1"/>
  <c r="E1326" i="1"/>
  <c r="E1327" i="1"/>
  <c r="E1526" i="1"/>
  <c r="E2433" i="1"/>
  <c r="E4106" i="1"/>
  <c r="E2732" i="1"/>
  <c r="E2734" i="1"/>
  <c r="E2733" i="1"/>
  <c r="E3497" i="1"/>
  <c r="E3499" i="1"/>
  <c r="E1849" i="1"/>
  <c r="E114" i="1"/>
  <c r="E112" i="1"/>
  <c r="E113" i="1"/>
  <c r="E563" i="1"/>
  <c r="E3105" i="1"/>
  <c r="E1975" i="1"/>
  <c r="E1976" i="1"/>
  <c r="E1977" i="1"/>
  <c r="E1978" i="1"/>
  <c r="E1974" i="1"/>
  <c r="E408" i="1"/>
  <c r="E409" i="1"/>
  <c r="E3922" i="1"/>
  <c r="E3921" i="1"/>
  <c r="E3151" i="1"/>
  <c r="E3152" i="1"/>
  <c r="E2723" i="1"/>
  <c r="E2722" i="1"/>
  <c r="E2030" i="1"/>
  <c r="E1517" i="1"/>
  <c r="E3926" i="1"/>
  <c r="E1853" i="1"/>
  <c r="E1483" i="1"/>
  <c r="E3160" i="1"/>
  <c r="E1713" i="1"/>
  <c r="E122" i="1"/>
  <c r="E123" i="1"/>
  <c r="E792" i="1"/>
  <c r="E12" i="1"/>
  <c r="E854" i="1"/>
  <c r="E124" i="1"/>
  <c r="E3505" i="1"/>
  <c r="E2838" i="1"/>
  <c r="E1399" i="1"/>
  <c r="E795" i="1"/>
  <c r="E796" i="1"/>
  <c r="E3944" i="1"/>
  <c r="E2804" i="1"/>
  <c r="E2805" i="1"/>
  <c r="E860" i="1"/>
  <c r="E878" i="1"/>
  <c r="E1423" i="1"/>
  <c r="E949" i="1"/>
  <c r="E3043" i="1"/>
  <c r="E3044" i="1"/>
  <c r="E3045" i="1"/>
  <c r="E3168" i="1"/>
  <c r="E3220" i="1"/>
  <c r="E3221" i="1"/>
  <c r="E3506" i="1"/>
  <c r="E2435" i="1"/>
  <c r="E2480" i="1"/>
  <c r="E2479" i="1"/>
  <c r="E2481" i="1"/>
  <c r="E2482" i="1"/>
  <c r="E3119" i="1"/>
  <c r="E829" i="1"/>
  <c r="E830" i="1"/>
  <c r="E831" i="1"/>
  <c r="E3979" i="1"/>
  <c r="E2771" i="1"/>
  <c r="E1840" i="1"/>
  <c r="E155" i="1"/>
  <c r="E160" i="1"/>
  <c r="E224" i="1"/>
  <c r="E3176" i="1"/>
  <c r="E834" i="1"/>
  <c r="E835" i="1"/>
  <c r="E1475" i="1"/>
  <c r="E4128" i="1"/>
  <c r="E3172" i="1"/>
  <c r="E3173" i="1"/>
  <c r="E3174" i="1"/>
  <c r="E3175" i="1"/>
  <c r="E3945" i="1"/>
  <c r="E3879" i="1"/>
  <c r="E407" i="1"/>
  <c r="E2669" i="1"/>
  <c r="E2670" i="1"/>
  <c r="E276" i="1"/>
  <c r="E3633" i="1"/>
  <c r="E3635" i="1"/>
  <c r="E3632" i="1"/>
  <c r="E3634" i="1"/>
  <c r="E558" i="1"/>
  <c r="E557" i="1"/>
  <c r="E3946" i="1"/>
  <c r="E18" i="1"/>
  <c r="E19" i="1"/>
  <c r="E20" i="1"/>
  <c r="E2927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3948" i="1"/>
  <c r="E2814" i="1"/>
  <c r="E2815" i="1"/>
  <c r="E2816" i="1"/>
  <c r="E1502" i="1"/>
  <c r="E147" i="1"/>
  <c r="E802" i="1"/>
  <c r="E1410" i="1"/>
  <c r="E3112" i="1"/>
  <c r="E4049" i="1"/>
  <c r="E2577" i="1"/>
  <c r="E2578" i="1"/>
  <c r="E2579" i="1"/>
  <c r="E2580" i="1"/>
  <c r="E4050" i="1"/>
  <c r="E2750" i="1"/>
  <c r="E2751" i="1"/>
  <c r="E2752" i="1"/>
  <c r="E1411" i="1"/>
  <c r="E4129" i="1"/>
  <c r="E2904" i="1"/>
  <c r="E877" i="1"/>
  <c r="E875" i="1"/>
  <c r="E872" i="1"/>
  <c r="E873" i="1"/>
  <c r="E874" i="1"/>
  <c r="E880" i="1"/>
  <c r="E881" i="1"/>
  <c r="E1414" i="1"/>
  <c r="E865" i="1"/>
  <c r="E866" i="1"/>
  <c r="E1720" i="1"/>
  <c r="E3308" i="1"/>
  <c r="E3309" i="1"/>
  <c r="E3310" i="1"/>
  <c r="E3312" i="1"/>
  <c r="E3311" i="1"/>
  <c r="E2278" i="1"/>
  <c r="E2279" i="1"/>
  <c r="E2280" i="1"/>
  <c r="E2281" i="1"/>
  <c r="E2282" i="1"/>
  <c r="E3313" i="1"/>
  <c r="E3314" i="1"/>
  <c r="E3315" i="1"/>
  <c r="E3316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245" i="1"/>
  <c r="E3246" i="1"/>
  <c r="E3247" i="1"/>
  <c r="E2318" i="1"/>
  <c r="E2317" i="1"/>
  <c r="E2319" i="1"/>
  <c r="E2321" i="1"/>
  <c r="E2327" i="1"/>
  <c r="E4052" i="1"/>
  <c r="E2821" i="1"/>
  <c r="E2819" i="1"/>
  <c r="E2582" i="1"/>
  <c r="E3769" i="1"/>
  <c r="E3006" i="1"/>
  <c r="E3007" i="1"/>
  <c r="E2430" i="1"/>
  <c r="E1495" i="1"/>
  <c r="E3817" i="1"/>
  <c r="E3818" i="1"/>
  <c r="E3819" i="1"/>
  <c r="E3820" i="1"/>
  <c r="E3821" i="1"/>
  <c r="E3822" i="1"/>
  <c r="E3823" i="1"/>
  <c r="E3824" i="1"/>
  <c r="E3825" i="1"/>
  <c r="E3826" i="1"/>
  <c r="E3827" i="1"/>
  <c r="E148" i="1"/>
  <c r="E2905" i="1"/>
  <c r="E3115" i="1"/>
  <c r="E3116" i="1"/>
  <c r="E2762" i="1"/>
  <c r="E2858" i="1"/>
  <c r="E2859" i="1"/>
  <c r="E740" i="1"/>
  <c r="E742" i="1"/>
  <c r="E743" i="1"/>
  <c r="E745" i="1"/>
  <c r="E741" i="1"/>
  <c r="E744" i="1"/>
  <c r="E3299" i="1"/>
  <c r="E3300" i="1"/>
  <c r="E3301" i="1"/>
  <c r="E3302" i="1"/>
  <c r="E3303" i="1"/>
  <c r="E3304" i="1"/>
  <c r="E3305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3952" i="1"/>
  <c r="E3953" i="1"/>
  <c r="E3954" i="1"/>
  <c r="E3955" i="1"/>
  <c r="E3956" i="1"/>
  <c r="E3957" i="1"/>
  <c r="E3090" i="1"/>
  <c r="E3091" i="1"/>
  <c r="E3084" i="1"/>
  <c r="E3085" i="1"/>
  <c r="E3086" i="1"/>
  <c r="E3083" i="1"/>
  <c r="E3075" i="1"/>
  <c r="E3076" i="1"/>
  <c r="E3077" i="1"/>
  <c r="E3078" i="1"/>
  <c r="E3079" i="1"/>
  <c r="E3080" i="1"/>
  <c r="E3081" i="1"/>
  <c r="E3082" i="1"/>
  <c r="E412" i="1"/>
  <c r="E425" i="1"/>
  <c r="E427" i="1"/>
  <c r="E2391" i="1"/>
  <c r="E3165" i="1"/>
  <c r="E149" i="1"/>
  <c r="E150" i="1"/>
  <c r="E3118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306" i="1"/>
  <c r="E3637" i="1"/>
  <c r="E3638" i="1"/>
  <c r="E100" i="1"/>
  <c r="E2001" i="1"/>
  <c r="E3120" i="1"/>
  <c r="E2048" i="1"/>
  <c r="E755" i="1"/>
  <c r="E756" i="1"/>
  <c r="E753" i="1"/>
  <c r="E3884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052" i="1"/>
  <c r="E2957" i="1"/>
  <c r="E2958" i="1"/>
  <c r="E2959" i="1"/>
  <c r="E2960" i="1"/>
  <c r="E2961" i="1"/>
  <c r="E2962" i="1"/>
  <c r="E2963" i="1"/>
  <c r="E3639" i="1"/>
  <c r="E2860" i="1"/>
  <c r="E2861" i="1"/>
  <c r="E2862" i="1"/>
  <c r="E2863" i="1"/>
  <c r="E2864" i="1"/>
  <c r="E2865" i="1"/>
  <c r="E2866" i="1"/>
  <c r="E2867" i="1"/>
  <c r="E2868" i="1"/>
  <c r="E3835" i="1"/>
  <c r="E3472" i="1"/>
  <c r="E3960" i="1"/>
  <c r="E3249" i="1"/>
  <c r="E1897" i="1"/>
  <c r="E3754" i="1"/>
  <c r="E970" i="1"/>
  <c r="E955" i="1"/>
  <c r="E952" i="1"/>
  <c r="E953" i="1"/>
  <c r="E954" i="1"/>
  <c r="E950" i="1"/>
  <c r="E921" i="1"/>
  <c r="E922" i="1"/>
  <c r="E4130" i="1"/>
  <c r="E2590" i="1"/>
  <c r="E1898" i="1"/>
  <c r="E1899" i="1"/>
  <c r="E2928" i="1"/>
  <c r="E2054" i="1"/>
  <c r="E2055" i="1"/>
  <c r="E3307" i="1"/>
  <c r="E1901" i="1"/>
  <c r="E2593" i="1"/>
  <c r="E2600" i="1"/>
  <c r="E2601" i="1"/>
  <c r="E794" i="1"/>
  <c r="E3166" i="1"/>
  <c r="E3167" i="1"/>
  <c r="E3961" i="1"/>
  <c r="E4054" i="1"/>
  <c r="E1424" i="1"/>
  <c r="E1425" i="1"/>
  <c r="E1426" i="1"/>
  <c r="E1427" i="1"/>
  <c r="E3180" i="1"/>
  <c r="E3181" i="1"/>
  <c r="E3182" i="1"/>
  <c r="E3183" i="1"/>
  <c r="E3184" i="1"/>
  <c r="E3185" i="1"/>
  <c r="E3575" i="1"/>
  <c r="E2906" i="1"/>
  <c r="E3197" i="1"/>
  <c r="E3214" i="1"/>
  <c r="E3215" i="1"/>
  <c r="E3216" i="1"/>
  <c r="E3219" i="1"/>
  <c r="E3212" i="1"/>
  <c r="E3206" i="1"/>
  <c r="E3207" i="1"/>
  <c r="E3208" i="1"/>
  <c r="E3209" i="1"/>
  <c r="E3210" i="1"/>
  <c r="E3211" i="1"/>
  <c r="E3198" i="1"/>
  <c r="E3199" i="1"/>
  <c r="E3200" i="1"/>
  <c r="E3201" i="1"/>
  <c r="E3202" i="1"/>
  <c r="E3203" i="1"/>
  <c r="E3204" i="1"/>
  <c r="E3205" i="1"/>
  <c r="E3213" i="1"/>
  <c r="E3988" i="1"/>
  <c r="E3217" i="1"/>
  <c r="E3218" i="1"/>
  <c r="E3122" i="1"/>
  <c r="E3123" i="1"/>
  <c r="E3124" i="1"/>
  <c r="E3125" i="1"/>
  <c r="E4055" i="1"/>
  <c r="E965" i="1"/>
  <c r="E966" i="1"/>
  <c r="E3842" i="1"/>
  <c r="E3843" i="1"/>
  <c r="E3576" i="1"/>
  <c r="E3064" i="1"/>
  <c r="E3065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3739" i="1"/>
  <c r="E3740" i="1"/>
  <c r="E1430" i="1"/>
  <c r="E1431" i="1"/>
  <c r="E1432" i="1"/>
  <c r="E1433" i="1"/>
  <c r="E2835" i="1"/>
  <c r="E2869" i="1"/>
  <c r="E3642" i="1"/>
  <c r="E3886" i="1"/>
  <c r="E4131" i="1"/>
  <c r="E3887" i="1"/>
  <c r="E3741" i="1"/>
  <c r="E1438" i="1"/>
  <c r="E2288" i="1"/>
  <c r="E2836" i="1"/>
  <c r="E4056" i="1"/>
  <c r="E2271" i="1"/>
  <c r="E3223" i="1"/>
  <c r="E3225" i="1"/>
  <c r="E3224" i="1"/>
  <c r="E3226" i="1"/>
  <c r="E3227" i="1"/>
  <c r="E3231" i="1"/>
  <c r="E3232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3742" i="1"/>
  <c r="E3189" i="1"/>
  <c r="E3317" i="1"/>
  <c r="E3318" i="1"/>
  <c r="E3319" i="1"/>
  <c r="E3320" i="1"/>
  <c r="E3321" i="1"/>
  <c r="E3322" i="1"/>
  <c r="E2980" i="1"/>
  <c r="E2979" i="1"/>
  <c r="E2978" i="1"/>
  <c r="E2975" i="1"/>
  <c r="E2977" i="1"/>
  <c r="E2976" i="1"/>
  <c r="E757" i="1"/>
  <c r="E826" i="1"/>
  <c r="E827" i="1"/>
  <c r="E3743" i="1"/>
  <c r="E1519" i="1"/>
  <c r="E1520" i="1"/>
  <c r="E1439" i="1"/>
  <c r="E3509" i="1"/>
  <c r="E3507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588" i="1"/>
  <c r="E2495" i="1"/>
  <c r="E4017" i="1"/>
  <c r="E2498" i="1"/>
  <c r="E2499" i="1"/>
  <c r="E2500" i="1"/>
  <c r="E2503" i="1"/>
  <c r="E2504" i="1"/>
  <c r="E2505" i="1"/>
  <c r="E2506" i="1"/>
  <c r="E2507" i="1"/>
  <c r="E7" i="1"/>
  <c r="E4019" i="1"/>
  <c r="E4020" i="1"/>
  <c r="E3966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3968" i="1"/>
  <c r="E3187" i="1"/>
  <c r="E2618" i="1"/>
  <c r="E461" i="1"/>
  <c r="E2200" i="1"/>
  <c r="E3461" i="1"/>
  <c r="E3462" i="1"/>
  <c r="E3467" i="1"/>
  <c r="E3469" i="1"/>
  <c r="E3470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135" i="1"/>
  <c r="E1501" i="1"/>
  <c r="E2820" i="1"/>
  <c r="E2621" i="1"/>
  <c r="E2630" i="1"/>
  <c r="E2554" i="1"/>
  <c r="E2641" i="1"/>
  <c r="E102" i="1"/>
  <c r="E1444" i="1"/>
  <c r="E1445" i="1"/>
  <c r="E3584" i="1"/>
  <c r="E3585" i="1"/>
  <c r="E2622" i="1"/>
  <c r="E239" i="1"/>
  <c r="E1447" i="1"/>
  <c r="E1448" i="1"/>
  <c r="E2201" i="1"/>
  <c r="E3931" i="1"/>
  <c r="E935" i="1"/>
  <c r="E936" i="1"/>
  <c r="E937" i="1"/>
  <c r="E938" i="1"/>
  <c r="E5" i="1"/>
  <c r="E3980" i="1"/>
  <c r="E3389" i="1"/>
  <c r="E3377" i="1"/>
  <c r="E3412" i="1"/>
  <c r="E3380" i="1"/>
  <c r="E3426" i="1"/>
  <c r="E3382" i="1"/>
  <c r="E3428" i="1"/>
  <c r="E3381" i="1"/>
  <c r="E3427" i="1"/>
  <c r="E3349" i="1"/>
  <c r="E3348" i="1"/>
  <c r="E3379" i="1"/>
  <c r="E3425" i="1"/>
  <c r="E2285" i="1"/>
  <c r="E2999" i="1"/>
  <c r="E3250" i="1"/>
  <c r="E3251" i="1"/>
  <c r="E3252" i="1"/>
  <c r="E3253" i="1"/>
  <c r="E3254" i="1"/>
  <c r="E3255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510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134" i="1"/>
  <c r="E326" i="1"/>
  <c r="E2128" i="1"/>
  <c r="E3000" i="1"/>
  <c r="E3001" i="1"/>
  <c r="E3814" i="1"/>
  <c r="E3831" i="1"/>
  <c r="E6" i="1"/>
  <c r="E1982" i="1"/>
  <c r="E951" i="1"/>
  <c r="E763" i="1"/>
  <c r="E4136" i="1"/>
  <c r="E4137" i="1"/>
  <c r="E4059" i="1"/>
  <c r="E4060" i="1"/>
  <c r="E4061" i="1"/>
  <c r="E4062" i="1"/>
  <c r="E4063" i="1"/>
  <c r="E4064" i="1"/>
  <c r="E4065" i="1"/>
  <c r="E3744" i="1"/>
  <c r="E783" i="1"/>
  <c r="E1722" i="1"/>
  <c r="E1723" i="1"/>
  <c r="E3985" i="1"/>
  <c r="E3986" i="1"/>
  <c r="E2841" i="1"/>
  <c r="E2842" i="1"/>
  <c r="E2843" i="1"/>
  <c r="E3987" i="1"/>
  <c r="E1459" i="1"/>
  <c r="E1460" i="1"/>
  <c r="E1461" i="1"/>
  <c r="E1462" i="1"/>
  <c r="E1463" i="1"/>
  <c r="E1464" i="1"/>
  <c r="E1465" i="1"/>
  <c r="E1466" i="1"/>
  <c r="E1467" i="1"/>
  <c r="E1468" i="1"/>
  <c r="E3511" i="1"/>
  <c r="E2284" i="1"/>
  <c r="E3815" i="1"/>
  <c r="E3816" i="1"/>
  <c r="E2328" i="1"/>
  <c r="E154" i="1"/>
  <c r="E2629" i="1"/>
  <c r="E2387" i="1"/>
  <c r="E2013" i="1"/>
  <c r="E2012" i="1"/>
  <c r="E1797" i="1"/>
  <c r="E686" i="1"/>
  <c r="E687" i="1"/>
  <c r="E178" i="1"/>
  <c r="E2395" i="1"/>
  <c r="E3867" i="1"/>
  <c r="E3868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3752" i="1"/>
  <c r="E3745" i="1"/>
  <c r="E3747" i="1"/>
  <c r="E3749" i="1"/>
  <c r="E3751" i="1"/>
  <c r="E1504" i="1"/>
  <c r="E3877" i="1"/>
  <c r="E838" i="1"/>
  <c r="E758" i="1"/>
  <c r="E759" i="1"/>
  <c r="E2668" i="1"/>
  <c r="E764" i="1"/>
  <c r="E3889" i="1"/>
  <c r="E721" i="1"/>
  <c r="E3899" i="1"/>
  <c r="E722" i="1"/>
  <c r="E3892" i="1"/>
  <c r="E723" i="1"/>
  <c r="E3893" i="1"/>
  <c r="E3895" i="1"/>
  <c r="E3894" i="1"/>
  <c r="E3896" i="1"/>
  <c r="E3890" i="1"/>
  <c r="E3888" i="1"/>
  <c r="E3897" i="1"/>
  <c r="E3898" i="1"/>
  <c r="E4066" i="1"/>
  <c r="E3901" i="1"/>
  <c r="E3755" i="1"/>
  <c r="E3753" i="1"/>
  <c r="E1921" i="1"/>
  <c r="E1922" i="1"/>
  <c r="E1979" i="1"/>
  <c r="E4067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512" i="1"/>
  <c r="E688" i="1"/>
  <c r="E689" i="1"/>
  <c r="E3068" i="1"/>
  <c r="E3871" i="1"/>
  <c r="E3872" i="1"/>
  <c r="E946" i="1"/>
  <c r="E164" i="1"/>
  <c r="E3756" i="1"/>
  <c r="E3757" i="1"/>
  <c r="E3758" i="1"/>
  <c r="E3759" i="1"/>
  <c r="E2910" i="1"/>
  <c r="E2911" i="1"/>
  <c r="E2912" i="1"/>
  <c r="E2913" i="1"/>
  <c r="E584" i="1"/>
  <c r="E585" i="1"/>
  <c r="E586" i="1"/>
  <c r="E2326" i="1"/>
  <c r="E2325" i="1"/>
  <c r="E3579" i="1"/>
  <c r="E3580" i="1"/>
  <c r="E3581" i="1"/>
  <c r="E3582" i="1"/>
  <c r="E2846" i="1"/>
  <c r="E2633" i="1"/>
  <c r="E2634" i="1"/>
  <c r="E236" i="1"/>
  <c r="E237" i="1"/>
  <c r="E2847" i="1"/>
  <c r="E3471" i="1"/>
  <c r="E3907" i="1"/>
  <c r="E3989" i="1"/>
  <c r="E3908" i="1"/>
  <c r="E3102" i="1"/>
  <c r="E3990" i="1"/>
  <c r="E3991" i="1"/>
  <c r="E3992" i="1"/>
  <c r="E3993" i="1"/>
  <c r="E3994" i="1"/>
  <c r="E3995" i="1"/>
  <c r="E3996" i="1"/>
  <c r="E3910" i="1"/>
  <c r="E3911" i="1"/>
  <c r="E3912" i="1"/>
  <c r="E3917" i="1"/>
  <c r="E3918" i="1"/>
  <c r="E3919" i="1"/>
  <c r="E3924" i="1"/>
  <c r="E3927" i="1"/>
  <c r="E3937" i="1"/>
  <c r="E3940" i="1"/>
  <c r="E3942" i="1"/>
  <c r="E3947" i="1"/>
  <c r="E3949" i="1"/>
  <c r="E3950" i="1"/>
  <c r="E3959" i="1"/>
  <c r="E3962" i="1"/>
  <c r="E3963" i="1"/>
  <c r="E3964" i="1"/>
  <c r="E3967" i="1"/>
  <c r="E3970" i="1"/>
  <c r="E3971" i="1"/>
  <c r="E3972" i="1"/>
  <c r="E3973" i="1"/>
  <c r="E3978" i="1"/>
  <c r="E3974" i="1"/>
  <c r="E3975" i="1"/>
  <c r="E3976" i="1"/>
  <c r="E3977" i="1"/>
  <c r="E3981" i="1"/>
  <c r="E3982" i="1"/>
  <c r="E3983" i="1"/>
  <c r="E3984" i="1"/>
  <c r="E4002" i="1"/>
  <c r="E4010" i="1"/>
  <c r="E3997" i="1"/>
  <c r="E3998" i="1"/>
  <c r="E3999" i="1"/>
  <c r="E4000" i="1"/>
  <c r="E4001" i="1"/>
  <c r="E240" i="1"/>
  <c r="E703" i="1"/>
  <c r="E4003" i="1"/>
  <c r="E767" i="1"/>
  <c r="E3129" i="1"/>
  <c r="E3475" i="1"/>
  <c r="E3230" i="1"/>
  <c r="E3473" i="1"/>
  <c r="E1983" i="1"/>
  <c r="E1984" i="1"/>
  <c r="E1980" i="1"/>
  <c r="E1981" i="1"/>
  <c r="E3242" i="1"/>
  <c r="E2948" i="1"/>
  <c r="E2949" i="1"/>
  <c r="E2926" i="1"/>
  <c r="E2950" i="1"/>
  <c r="E2951" i="1"/>
  <c r="E3130" i="1"/>
  <c r="E4069" i="1"/>
  <c r="E3513" i="1"/>
  <c r="E3760" i="1"/>
  <c r="E3761" i="1"/>
  <c r="E3762" i="1"/>
  <c r="E2287" i="1"/>
  <c r="E1986" i="1"/>
  <c r="E837" i="1"/>
  <c r="E841" i="1"/>
  <c r="E4080" i="1"/>
  <c r="E2636" i="1"/>
  <c r="E2637" i="1"/>
  <c r="E2638" i="1"/>
  <c r="E1927" i="1"/>
  <c r="E4071" i="1"/>
  <c r="E4072" i="1"/>
  <c r="E4073" i="1"/>
  <c r="E4074" i="1"/>
  <c r="E4075" i="1"/>
  <c r="E4070" i="1"/>
  <c r="E4077" i="1"/>
  <c r="E1727" i="1"/>
  <c r="E4032" i="1"/>
  <c r="E4033" i="1"/>
  <c r="E4076" i="1"/>
  <c r="E4035" i="1"/>
  <c r="E4037" i="1"/>
  <c r="E4036" i="1"/>
  <c r="E4034" i="1"/>
  <c r="E4053" i="1"/>
  <c r="E690" i="1"/>
  <c r="E3196" i="1"/>
  <c r="E3483" i="1"/>
  <c r="E3484" i="1"/>
  <c r="E3485" i="1"/>
  <c r="E3486" i="1"/>
  <c r="E3487" i="1"/>
  <c r="E3488" i="1"/>
  <c r="E3489" i="1"/>
  <c r="E3490" i="1"/>
  <c r="E3491" i="1"/>
  <c r="E3492" i="1"/>
  <c r="E3493" i="1"/>
  <c r="E766" i="1"/>
  <c r="E784" i="1"/>
  <c r="E781" i="1"/>
  <c r="E1709" i="1"/>
  <c r="E4078" i="1"/>
  <c r="E1473" i="1"/>
  <c r="E3514" i="1"/>
  <c r="E2870" i="1"/>
  <c r="E2871" i="1"/>
  <c r="E2826" i="1"/>
  <c r="E2003" i="1"/>
  <c r="E1477" i="1"/>
  <c r="E4082" i="1"/>
  <c r="E3515" i="1"/>
  <c r="E768" i="1"/>
  <c r="E3903" i="1"/>
  <c r="E1928" i="1"/>
  <c r="E1929" i="1"/>
  <c r="E1930" i="1"/>
  <c r="E1931" i="1"/>
  <c r="E1932" i="1"/>
  <c r="E1933" i="1"/>
  <c r="E1934" i="1"/>
  <c r="E3670" i="1"/>
  <c r="E3671" i="1"/>
  <c r="E3672" i="1"/>
  <c r="E3689" i="1"/>
  <c r="E3682" i="1"/>
  <c r="E3683" i="1"/>
  <c r="E3684" i="1"/>
  <c r="E3685" i="1"/>
  <c r="E3686" i="1"/>
  <c r="E3687" i="1"/>
  <c r="E3688" i="1"/>
  <c r="E1728" i="1"/>
  <c r="E4005" i="1"/>
  <c r="E3073" i="1"/>
  <c r="E3074" i="1"/>
  <c r="E4110" i="1"/>
  <c r="E4113" i="1"/>
  <c r="E4124" i="1"/>
  <c r="E4127" i="1"/>
  <c r="E769" i="1"/>
  <c r="E770" i="1"/>
  <c r="E580" i="1"/>
  <c r="E581" i="1"/>
  <c r="E979" i="1"/>
  <c r="E579" i="1"/>
  <c r="E582" i="1"/>
  <c r="E1480" i="1"/>
  <c r="E2275" i="1"/>
  <c r="E3070" i="1"/>
  <c r="E3071" i="1"/>
  <c r="E2851" i="1"/>
  <c r="E2852" i="1"/>
  <c r="E3258" i="1"/>
  <c r="E3259" i="1"/>
  <c r="E3260" i="1"/>
  <c r="E980" i="1"/>
  <c r="E2060" i="1"/>
  <c r="E3" i="1"/>
  <c r="E4" i="1"/>
  <c r="E1508" i="1"/>
  <c r="E1509" i="1"/>
  <c r="E1505" i="1"/>
  <c r="E1506" i="1"/>
  <c r="E1507" i="1"/>
  <c r="E1510" i="1"/>
  <c r="E1511" i="1"/>
  <c r="E3766" i="1"/>
  <c r="E3763" i="1"/>
  <c r="E3764" i="1"/>
  <c r="E3767" i="1"/>
  <c r="E3765" i="1"/>
  <c r="E3768" i="1"/>
  <c r="E4009" i="1"/>
  <c r="E4007" i="1"/>
  <c r="E4008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517" i="1"/>
  <c r="E3516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3796" i="1"/>
  <c r="E2259" i="1"/>
  <c r="E773" i="1"/>
  <c r="E774" i="1"/>
  <c r="E775" i="1"/>
  <c r="E776" i="1"/>
  <c r="E3904" i="1"/>
  <c r="E3905" i="1"/>
  <c r="E3906" i="1"/>
  <c r="E3772" i="1"/>
  <c r="E3773" i="1"/>
  <c r="E3774" i="1"/>
  <c r="E679" i="1"/>
  <c r="E2920" i="1"/>
  <c r="E2922" i="1"/>
  <c r="E2924" i="1"/>
  <c r="E2925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243" i="1"/>
  <c r="E3241" i="1"/>
  <c r="E3240" i="1"/>
  <c r="E3239" i="1"/>
  <c r="E3237" i="1"/>
  <c r="E3236" i="1"/>
  <c r="E3238" i="1"/>
  <c r="E3233" i="1"/>
  <c r="E3235" i="1"/>
  <c r="E3234" i="1"/>
  <c r="E3222" i="1"/>
  <c r="E277" i="1"/>
  <c r="E2682" i="1"/>
  <c r="E2681" i="1"/>
  <c r="E2694" i="1"/>
  <c r="E2168" i="1"/>
  <c r="E3562" i="1"/>
  <c r="E3813" i="1"/>
  <c r="E3812" i="1"/>
  <c r="E3811" i="1"/>
  <c r="E1521" i="1"/>
  <c r="E3524" i="1"/>
  <c r="E3771" i="1"/>
  <c r="E3770" i="1"/>
  <c r="E3673" i="1"/>
  <c r="E3680" i="1"/>
  <c r="E3677" i="1"/>
  <c r="E3675" i="1"/>
  <c r="E3678" i="1"/>
  <c r="E3676" i="1"/>
  <c r="E3679" i="1"/>
  <c r="E3674" i="1"/>
  <c r="E3681" i="1"/>
  <c r="E3523" i="1"/>
  <c r="E285" i="1"/>
  <c r="E3732" i="1"/>
  <c r="E3750" i="1"/>
  <c r="E3748" i="1"/>
  <c r="E3746" i="1"/>
  <c r="E1725" i="1"/>
  <c r="E3586" i="1"/>
  <c r="E3587" i="1"/>
  <c r="E1721" i="1"/>
  <c r="E2386" i="1"/>
  <c r="E1717" i="1"/>
  <c r="E681" i="1"/>
  <c r="E3737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658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2946" i="1"/>
  <c r="E2945" i="1"/>
  <c r="E2944" i="1"/>
  <c r="E2943" i="1"/>
  <c r="E2942" i="1"/>
  <c r="E2941" i="1"/>
  <c r="E2940" i="1"/>
  <c r="E2939" i="1"/>
  <c r="E2938" i="1"/>
  <c r="E2923" i="1"/>
  <c r="E2921" i="1"/>
  <c r="E32" i="1"/>
  <c r="E1" i="1"/>
  <c r="E2974" i="1"/>
  <c r="E2973" i="1"/>
  <c r="E2972" i="1"/>
  <c r="E2971" i="1"/>
  <c r="E2970" i="1"/>
  <c r="E2969" i="1"/>
  <c r="E2968" i="1"/>
  <c r="E2967" i="1"/>
  <c r="E2966" i="1"/>
  <c r="E2965" i="1"/>
  <c r="E2964" i="1"/>
  <c r="E2936" i="1"/>
  <c r="E2935" i="1"/>
  <c r="E2934" i="1"/>
  <c r="E2933" i="1"/>
  <c r="E2932" i="1"/>
  <c r="E2931" i="1"/>
  <c r="E2930" i="1"/>
  <c r="E2929" i="1"/>
  <c r="E2987" i="1"/>
  <c r="E2986" i="1"/>
  <c r="E2985" i="1"/>
  <c r="E2993" i="1"/>
  <c r="E2992" i="1"/>
  <c r="E2991" i="1"/>
  <c r="E2990" i="1"/>
  <c r="E2989" i="1"/>
  <c r="E2984" i="1"/>
  <c r="E2988" i="1"/>
  <c r="E2983" i="1"/>
  <c r="E2982" i="1"/>
  <c r="E2981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534" i="1"/>
  <c r="E3536" i="1"/>
  <c r="E3533" i="1"/>
  <c r="E3527" i="1"/>
  <c r="E3526" i="1"/>
  <c r="E3525" i="1"/>
  <c r="E3529" i="1"/>
  <c r="E3528" i="1"/>
  <c r="E3532" i="1"/>
  <c r="E3535" i="1"/>
  <c r="E3150" i="1"/>
  <c r="E3149" i="1"/>
  <c r="E3148" i="1"/>
  <c r="E3147" i="1"/>
  <c r="E3146" i="1"/>
  <c r="E3145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558" i="1"/>
  <c r="E3557" i="1"/>
  <c r="E3589" i="1"/>
  <c r="E1882" i="1"/>
  <c r="E3520" i="1"/>
  <c r="E3539" i="1"/>
  <c r="E3574" i="1"/>
  <c r="E3573" i="1"/>
  <c r="E3570" i="1"/>
  <c r="E3568" i="1"/>
  <c r="E3567" i="1"/>
  <c r="E3566" i="1"/>
  <c r="E3550" i="1"/>
  <c r="E1850" i="1"/>
  <c r="E3540" i="1"/>
  <c r="E3537" i="1"/>
  <c r="E1818" i="1"/>
  <c r="E3549" i="1"/>
  <c r="E3548" i="1"/>
  <c r="E3547" i="1"/>
  <c r="E3546" i="1"/>
  <c r="E3545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034" i="1"/>
  <c r="E3024" i="1"/>
  <c r="E3004" i="1"/>
  <c r="E3072" i="1"/>
  <c r="E3069" i="1"/>
  <c r="E3033" i="1"/>
  <c r="E3032" i="1"/>
  <c r="E3026" i="1"/>
  <c r="E3025" i="1"/>
  <c r="E4012" i="1"/>
  <c r="E2399" i="1"/>
  <c r="E2382" i="1"/>
  <c r="E3878" i="1"/>
  <c r="E2207" i="1"/>
  <c r="E2206" i="1"/>
  <c r="E2205" i="1"/>
  <c r="E2204" i="1"/>
  <c r="E2203" i="1"/>
  <c r="E2202" i="1"/>
  <c r="E958" i="1"/>
  <c r="E3602" i="1"/>
  <c r="E2195" i="1"/>
  <c r="E2194" i="1"/>
  <c r="E2365" i="1"/>
  <c r="E2364" i="1"/>
  <c r="E2363" i="1"/>
  <c r="E3293" i="1"/>
  <c r="E3294" i="1"/>
  <c r="E2192" i="1"/>
  <c r="E2191" i="1"/>
  <c r="E2190" i="1"/>
  <c r="E2189" i="1"/>
  <c r="E2188" i="1"/>
  <c r="E2187" i="1"/>
  <c r="E2186" i="1"/>
  <c r="E3553" i="1"/>
  <c r="E3552" i="1"/>
  <c r="E3551" i="1"/>
  <c r="E3630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275" i="1"/>
  <c r="E3775" i="1"/>
  <c r="E1592" i="1"/>
  <c r="E1620" i="1"/>
  <c r="E1619" i="1"/>
  <c r="E2853" i="1"/>
  <c r="E1732" i="1"/>
  <c r="E3324" i="1"/>
  <c r="E3323" i="1"/>
  <c r="E2823" i="1"/>
  <c r="E2891" i="1"/>
  <c r="E2193" i="1"/>
  <c r="E3188" i="1"/>
  <c r="E3059" i="1"/>
  <c r="E3058" i="1"/>
  <c r="E3057" i="1"/>
  <c r="E3021" i="1"/>
  <c r="E3056" i="1"/>
  <c r="E3055" i="1"/>
  <c r="E3054" i="1"/>
  <c r="E3053" i="1"/>
  <c r="E3014" i="1"/>
  <c r="E2175" i="1"/>
  <c r="E981" i="1"/>
  <c r="E3256" i="1"/>
  <c r="E3257" i="1"/>
  <c r="E587" i="1"/>
  <c r="E2635" i="1"/>
  <c r="E2849" i="1"/>
  <c r="E2997" i="1"/>
  <c r="E2996" i="1"/>
  <c r="E2995" i="1"/>
  <c r="E2994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3900" i="1"/>
  <c r="E3902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3789" i="1"/>
  <c r="E36" i="1"/>
  <c r="E1621" i="1"/>
  <c r="E3522" i="1"/>
  <c r="E3521" i="1"/>
  <c r="E635" i="1"/>
  <c r="E3050" i="1"/>
  <c r="E3049" i="1"/>
  <c r="E638" i="1"/>
  <c r="E637" i="1"/>
  <c r="E636" i="1"/>
  <c r="E3027" i="1"/>
  <c r="E634" i="1"/>
  <c r="E633" i="1"/>
  <c r="E632" i="1"/>
  <c r="E734" i="1"/>
  <c r="E3519" i="1"/>
  <c r="E3518" i="1"/>
  <c r="E2460" i="1"/>
  <c r="E3870" i="1"/>
  <c r="E3869" i="1"/>
  <c r="E31" i="1"/>
  <c r="E30" i="1"/>
  <c r="E29" i="1"/>
  <c r="E2954" i="1"/>
  <c r="E2953" i="1"/>
  <c r="E2952" i="1"/>
  <c r="E3836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556" i="1"/>
  <c r="E3620" i="1"/>
  <c r="E3619" i="1"/>
  <c r="E3618" i="1"/>
  <c r="E3617" i="1"/>
  <c r="E3616" i="1"/>
  <c r="E3615" i="1"/>
  <c r="E3614" i="1"/>
  <c r="E3613" i="1"/>
  <c r="E3612" i="1"/>
  <c r="E3611" i="1"/>
  <c r="E3629" i="1"/>
  <c r="E3628" i="1"/>
  <c r="E3608" i="1"/>
  <c r="E3627" i="1"/>
  <c r="E3626" i="1"/>
  <c r="E3625" i="1"/>
  <c r="E3624" i="1"/>
  <c r="E3623" i="1"/>
  <c r="E3622" i="1"/>
  <c r="E3621" i="1"/>
  <c r="E3609" i="1"/>
  <c r="E2015" i="1"/>
  <c r="E2014" i="1"/>
  <c r="E2011" i="1"/>
  <c r="E2009" i="1"/>
  <c r="E2010" i="1"/>
  <c r="E2006" i="1"/>
  <c r="E2008" i="1"/>
  <c r="E988" i="1"/>
  <c r="E974" i="1"/>
  <c r="E975" i="1"/>
  <c r="E3482" i="1"/>
  <c r="E967" i="1"/>
  <c r="E957" i="1"/>
  <c r="E956" i="1"/>
  <c r="E3088" i="1"/>
  <c r="E3087" i="1"/>
  <c r="E1993" i="1"/>
  <c r="E562" i="1"/>
  <c r="E24" i="1"/>
  <c r="E22" i="1"/>
  <c r="E948" i="1"/>
  <c r="E964" i="1"/>
  <c r="E3656" i="1"/>
  <c r="E3494" i="1"/>
  <c r="E3460" i="1"/>
  <c r="E3459" i="1"/>
  <c r="E3266" i="1"/>
  <c r="E3265" i="1"/>
  <c r="E3264" i="1"/>
  <c r="E3274" i="1"/>
  <c r="E3273" i="1"/>
  <c r="E3881" i="1"/>
  <c r="E3883" i="1"/>
  <c r="E3882" i="1"/>
  <c r="E3876" i="1"/>
  <c r="E3891" i="1"/>
  <c r="E730" i="1"/>
  <c r="E772" i="1"/>
  <c r="E771" i="1"/>
  <c r="E3885" i="1"/>
  <c r="E2035" i="1"/>
  <c r="E2041" i="1"/>
  <c r="E2039" i="1"/>
  <c r="E2037" i="1"/>
  <c r="E2033" i="1"/>
  <c r="E3788" i="1"/>
  <c r="E3787" i="1"/>
  <c r="E3786" i="1"/>
  <c r="E3785" i="1"/>
  <c r="E3784" i="1"/>
  <c r="E3444" i="1"/>
  <c r="E3666" i="1"/>
  <c r="E3665" i="1"/>
  <c r="E3664" i="1"/>
  <c r="E3663" i="1"/>
  <c r="E3662" i="1"/>
  <c r="E3661" i="1"/>
  <c r="E3433" i="1"/>
  <c r="E3432" i="1"/>
  <c r="E3431" i="1"/>
  <c r="E3430" i="1"/>
  <c r="E3298" i="1"/>
  <c r="E3279" i="1"/>
  <c r="E3415" i="1"/>
  <c r="E3458" i="1"/>
  <c r="E3422" i="1"/>
  <c r="E3421" i="1"/>
  <c r="E3413" i="1"/>
  <c r="E3414" i="1"/>
  <c r="E3393" i="1"/>
  <c r="E3452" i="1"/>
  <c r="E3451" i="1"/>
  <c r="E3450" i="1"/>
  <c r="E3453" i="1"/>
  <c r="E3404" i="1"/>
  <c r="E3423" i="1"/>
  <c r="E3359" i="1"/>
  <c r="E3358" i="1"/>
  <c r="E3335" i="1"/>
  <c r="E3332" i="1"/>
  <c r="E3330" i="1"/>
  <c r="E3328" i="1"/>
  <c r="E3327" i="1"/>
  <c r="E3326" i="1"/>
  <c r="E3331" i="1"/>
  <c r="E3325" i="1"/>
  <c r="E3437" i="1"/>
  <c r="E3375" i="1"/>
  <c r="E3342" i="1"/>
  <c r="E3341" i="1"/>
  <c r="E3449" i="1"/>
  <c r="E3448" i="1"/>
  <c r="E3447" i="1"/>
  <c r="E3436" i="1"/>
  <c r="E3419" i="1"/>
  <c r="E3407" i="1"/>
  <c r="E3334" i="1"/>
  <c r="E3374" i="1"/>
  <c r="E3386" i="1"/>
  <c r="E3367" i="1"/>
  <c r="E3366" i="1"/>
  <c r="E3363" i="1"/>
  <c r="E3362" i="1"/>
  <c r="E3357" i="1"/>
  <c r="E3353" i="1"/>
  <c r="E3351" i="1"/>
  <c r="E3346" i="1"/>
  <c r="E3350" i="1"/>
  <c r="E3352" i="1"/>
  <c r="E3403" i="1"/>
  <c r="E3402" i="1"/>
  <c r="E3417" i="1"/>
  <c r="E3446" i="1"/>
  <c r="E3406" i="1"/>
  <c r="E3401" i="1"/>
  <c r="E3391" i="1"/>
  <c r="E3455" i="1"/>
  <c r="E3454" i="1"/>
  <c r="E3434" i="1"/>
  <c r="E3399" i="1"/>
  <c r="E3420" i="1"/>
  <c r="E3418" i="1"/>
  <c r="E3355" i="1"/>
  <c r="E3388" i="1"/>
  <c r="E3376" i="1"/>
  <c r="E3347" i="1"/>
  <c r="E3345" i="1"/>
  <c r="E3343" i="1"/>
  <c r="E3387" i="1"/>
  <c r="E3344" i="1"/>
  <c r="E3392" i="1"/>
  <c r="E3338" i="1"/>
  <c r="E3340" i="1"/>
  <c r="E3339" i="1"/>
  <c r="E3337" i="1"/>
  <c r="E3456" i="1"/>
  <c r="E3400" i="1"/>
  <c r="E3438" i="1"/>
  <c r="E3361" i="1"/>
  <c r="E3424" i="1"/>
  <c r="E3457" i="1"/>
  <c r="E3408" i="1"/>
  <c r="E3409" i="1"/>
  <c r="E3410" i="1"/>
  <c r="E3411" i="1"/>
  <c r="E3435" i="1"/>
  <c r="E3429" i="1"/>
  <c r="E3405" i="1"/>
  <c r="E3394" i="1"/>
  <c r="E3395" i="1"/>
  <c r="E3396" i="1"/>
  <c r="E3385" i="1"/>
  <c r="E3384" i="1"/>
  <c r="E3398" i="1"/>
  <c r="E3397" i="1"/>
  <c r="E3378" i="1"/>
  <c r="E3356" i="1"/>
  <c r="E3368" i="1"/>
  <c r="E3336" i="1"/>
  <c r="E3390" i="1"/>
  <c r="E3365" i="1"/>
  <c r="E3441" i="1"/>
  <c r="E3443" i="1"/>
  <c r="E3439" i="1"/>
  <c r="E3333" i="1"/>
  <c r="E3329" i="1"/>
  <c r="E3440" i="1"/>
  <c r="E3416" i="1"/>
  <c r="E3383" i="1"/>
  <c r="E3373" i="1"/>
  <c r="E3372" i="1"/>
  <c r="E3371" i="1"/>
  <c r="E3370" i="1"/>
  <c r="E3369" i="1"/>
  <c r="E3295" i="1"/>
  <c r="E3292" i="1"/>
  <c r="E3289" i="1"/>
  <c r="E3290" i="1"/>
  <c r="E3364" i="1"/>
  <c r="E3660" i="1"/>
  <c r="E3631" i="1"/>
  <c r="E3600" i="1"/>
  <c r="E3601" i="1"/>
  <c r="E3655" i="1"/>
  <c r="E3654" i="1"/>
  <c r="E3653" i="1"/>
  <c r="E3652" i="1"/>
  <c r="E3651" i="1"/>
  <c r="E3650" i="1"/>
  <c r="E3360" i="1"/>
  <c r="E3445" i="1"/>
  <c r="E3354" i="1"/>
  <c r="E3649" i="1"/>
  <c r="E3648" i="1"/>
  <c r="E3647" i="1"/>
  <c r="E3261" i="1"/>
  <c r="E2265" i="1"/>
  <c r="E378" i="1"/>
  <c r="E377" i="1"/>
  <c r="E376" i="1"/>
  <c r="E1940" i="1"/>
  <c r="E4021" i="1"/>
  <c r="E428" i="1"/>
  <c r="E426" i="1"/>
  <c r="E401" i="1"/>
  <c r="E400" i="1"/>
  <c r="E399" i="1"/>
  <c r="E3958" i="1"/>
  <c r="E1995" i="1"/>
  <c r="E1994" i="1"/>
  <c r="E4015" i="1"/>
  <c r="E4014" i="1"/>
  <c r="E4013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057" i="1"/>
  <c r="E4058" i="1"/>
  <c r="E4030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023" i="1"/>
  <c r="E4022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442" i="1"/>
  <c r="E3481" i="1"/>
  <c r="E3477" i="1"/>
  <c r="E3478" i="1"/>
  <c r="E3476" i="1"/>
  <c r="E3480" i="1"/>
  <c r="E3479" i="1"/>
  <c r="E3474" i="1"/>
  <c r="E3859" i="1"/>
  <c r="E3858" i="1"/>
  <c r="E3857" i="1"/>
  <c r="E3856" i="1"/>
  <c r="E3855" i="1"/>
  <c r="E3854" i="1"/>
  <c r="E3853" i="1"/>
  <c r="E3852" i="1"/>
  <c r="E3851" i="1"/>
  <c r="E3850" i="1"/>
  <c r="E3849" i="1"/>
  <c r="E3865" i="1"/>
  <c r="E3864" i="1"/>
  <c r="E3848" i="1"/>
  <c r="E3866" i="1"/>
  <c r="E3847" i="1"/>
  <c r="E3846" i="1"/>
  <c r="E3863" i="1"/>
  <c r="E3862" i="1"/>
  <c r="E3861" i="1"/>
  <c r="E3845" i="1"/>
  <c r="E3844" i="1"/>
  <c r="E3860" i="1"/>
  <c r="E3229" i="1"/>
  <c r="E3228" i="1"/>
  <c r="E3829" i="1"/>
  <c r="E3830" i="1"/>
  <c r="E3828" i="1"/>
  <c r="E2372" i="1"/>
  <c r="E2371" i="1"/>
  <c r="E2378" i="1"/>
  <c r="E2377" i="1"/>
  <c r="E2376" i="1"/>
  <c r="E2375" i="1"/>
  <c r="E2374" i="1"/>
  <c r="E2373" i="1"/>
  <c r="E509" i="1"/>
  <c r="E3495" i="1"/>
  <c r="E3668" i="1"/>
  <c r="E3667" i="1"/>
  <c r="E3669" i="1"/>
  <c r="E3466" i="1"/>
  <c r="E3465" i="1"/>
  <c r="E3464" i="1"/>
  <c r="E3463" i="1"/>
  <c r="E3468" i="1"/>
  <c r="E3839" i="1"/>
  <c r="E3838" i="1"/>
  <c r="E3837" i="1"/>
  <c r="E3841" i="1"/>
  <c r="E3840" i="1"/>
  <c r="E3834" i="1"/>
  <c r="E3833" i="1"/>
  <c r="E3832" i="1"/>
  <c r="E3795" i="1"/>
  <c r="E3297" i="1"/>
  <c r="E3296" i="1"/>
  <c r="E3288" i="1"/>
  <c r="E3291" i="1"/>
  <c r="E3282" i="1"/>
  <c r="E3285" i="1"/>
  <c r="E3284" i="1"/>
  <c r="E3281" i="1"/>
  <c r="E3280" i="1"/>
  <c r="E3283" i="1"/>
  <c r="E3287" i="1"/>
  <c r="E3286" i="1"/>
  <c r="E3810" i="1"/>
  <c r="E3809" i="1"/>
  <c r="E3808" i="1"/>
  <c r="E555" i="1"/>
  <c r="E553" i="1"/>
  <c r="E552" i="1"/>
  <c r="E551" i="1"/>
  <c r="E3799" i="1"/>
  <c r="E3798" i="1"/>
  <c r="E3807" i="1"/>
  <c r="E3797" i="1"/>
  <c r="E3806" i="1"/>
  <c r="E3805" i="1"/>
  <c r="E3804" i="1"/>
  <c r="E3803" i="1"/>
  <c r="E3802" i="1"/>
  <c r="E3801" i="1"/>
  <c r="E3800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3794" i="1"/>
  <c r="E3793" i="1"/>
  <c r="E3792" i="1"/>
  <c r="E3791" i="1"/>
  <c r="E3268" i="1"/>
  <c r="E3267" i="1"/>
  <c r="E3270" i="1"/>
  <c r="E3269" i="1"/>
  <c r="E3790" i="1"/>
  <c r="E2709" i="1"/>
  <c r="E2705" i="1"/>
  <c r="E2701" i="1"/>
  <c r="E2662" i="1"/>
  <c r="E3738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593" i="1"/>
  <c r="E3590" i="1"/>
  <c r="E3592" i="1"/>
  <c r="E1926" i="1"/>
  <c r="E2272" i="1"/>
  <c r="E3530" i="1"/>
  <c r="E3578" i="1"/>
  <c r="E3577" i="1"/>
  <c r="E1902" i="1"/>
  <c r="E1881" i="1"/>
  <c r="E1852" i="1"/>
  <c r="E3591" i="1"/>
  <c r="E1909" i="1"/>
  <c r="E340" i="1"/>
  <c r="E339" i="1"/>
  <c r="E3067" i="1"/>
  <c r="E884" i="1"/>
  <c r="E3005" i="1"/>
  <c r="E3003" i="1"/>
  <c r="E738" i="1"/>
  <c r="E3051" i="1"/>
  <c r="E3029" i="1"/>
  <c r="E3016" i="1"/>
  <c r="E3015" i="1"/>
  <c r="E748" i="1"/>
  <c r="E747" i="1"/>
  <c r="E746" i="1"/>
  <c r="E3023" i="1"/>
  <c r="E2396" i="1"/>
  <c r="E850" i="1"/>
  <c r="E849" i="1"/>
  <c r="E848" i="1"/>
  <c r="E846" i="1"/>
  <c r="E842" i="1"/>
  <c r="E3195" i="1"/>
  <c r="E3194" i="1"/>
  <c r="E3193" i="1"/>
  <c r="E3192" i="1"/>
  <c r="E3191" i="1"/>
  <c r="E2755" i="1"/>
  <c r="E3063" i="1"/>
  <c r="E3062" i="1"/>
  <c r="E3061" i="1"/>
  <c r="E3060" i="1"/>
  <c r="E3572" i="1"/>
  <c r="E3571" i="1"/>
  <c r="E2824" i="1"/>
  <c r="E685" i="1"/>
  <c r="E683" i="1"/>
  <c r="E684" i="1"/>
  <c r="E682" i="1"/>
  <c r="E2424" i="1"/>
  <c r="E2423" i="1"/>
  <c r="E2422" i="1"/>
  <c r="E3734" i="1"/>
  <c r="E2663" i="1"/>
  <c r="E126" i="1"/>
  <c r="E2660" i="1"/>
  <c r="E919" i="1"/>
  <c r="E3538" i="1"/>
  <c r="E3693" i="1"/>
  <c r="E807" i="1"/>
  <c r="E2428" i="1"/>
  <c r="E2427" i="1"/>
  <c r="E2429" i="1"/>
  <c r="E3040" i="1"/>
  <c r="E3039" i="1"/>
  <c r="E3038" i="1"/>
  <c r="E3037" i="1"/>
  <c r="E3035" i="1"/>
  <c r="E222" i="1"/>
  <c r="E3134" i="1"/>
  <c r="E3017" i="1"/>
  <c r="E3170" i="1"/>
  <c r="E3169" i="1"/>
  <c r="E2822" i="1"/>
  <c r="E2184" i="1"/>
  <c r="E2183" i="1"/>
  <c r="E4042" i="1"/>
  <c r="E847" i="1"/>
  <c r="E845" i="1"/>
  <c r="E843" i="1"/>
  <c r="E2998" i="1"/>
  <c r="E2152" i="1"/>
  <c r="E2151" i="1"/>
  <c r="E3066" i="1"/>
  <c r="E4133" i="1"/>
  <c r="E4132" i="1"/>
  <c r="E752" i="1"/>
  <c r="E2844" i="1"/>
  <c r="E2845" i="1"/>
  <c r="E2831" i="1"/>
  <c r="E2830" i="1"/>
  <c r="E2829" i="1"/>
  <c r="E3042" i="1"/>
  <c r="E3190" i="1"/>
  <c r="E809" i="1"/>
  <c r="E808" i="1"/>
  <c r="E2704" i="1"/>
  <c r="E2703" i="1"/>
  <c r="E2702" i="1"/>
  <c r="E3036" i="1"/>
  <c r="E2735" i="1"/>
  <c r="E2334" i="1"/>
  <c r="E2782" i="1"/>
  <c r="E2781" i="1"/>
  <c r="E2780" i="1"/>
  <c r="E2383" i="1"/>
  <c r="E3109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3965" i="1"/>
  <c r="E3155" i="1"/>
  <c r="E3154" i="1"/>
  <c r="E3153" i="1"/>
  <c r="E3144" i="1"/>
  <c r="E1801" i="1"/>
  <c r="E3705" i="1"/>
  <c r="E2817" i="1"/>
  <c r="E2813" i="1"/>
  <c r="E2812" i="1"/>
  <c r="E2811" i="1"/>
  <c r="E231" i="1"/>
  <c r="E1788" i="1"/>
  <c r="E2909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3874" i="1"/>
  <c r="E4135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031" i="1"/>
  <c r="E3030" i="1"/>
  <c r="E3028" i="1"/>
  <c r="E473" i="1"/>
  <c r="E472" i="1"/>
  <c r="E471" i="1"/>
  <c r="E470" i="1"/>
  <c r="E469" i="1"/>
  <c r="E4083" i="1"/>
  <c r="E867" i="1"/>
  <c r="E4048" i="1"/>
  <c r="E4040" i="1"/>
  <c r="E4068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3704" i="1"/>
  <c r="E1323" i="1"/>
  <c r="E3092" i="1"/>
  <c r="E3093" i="1"/>
  <c r="E3094" i="1"/>
  <c r="E3095" i="1"/>
  <c r="E3096" i="1"/>
  <c r="E3097" i="1"/>
  <c r="E1449" i="1"/>
  <c r="E2644" i="1"/>
  <c r="E2645" i="1"/>
  <c r="E3657" i="1"/>
  <c r="E3659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H397" i="4"/>
  <c r="H394" i="4"/>
  <c r="H391" i="4"/>
  <c r="H388" i="4"/>
  <c r="H385" i="4"/>
  <c r="H382" i="4"/>
  <c r="H379" i="4"/>
  <c r="H376" i="4"/>
  <c r="H373" i="4"/>
  <c r="H370" i="4"/>
  <c r="H367" i="4"/>
  <c r="H364" i="4"/>
  <c r="H361" i="4"/>
  <c r="H358" i="4"/>
  <c r="H355" i="4"/>
  <c r="H352" i="4"/>
  <c r="H349" i="4"/>
  <c r="H346" i="4"/>
  <c r="H343" i="4"/>
  <c r="H340" i="4"/>
  <c r="H337" i="4"/>
  <c r="H334" i="4"/>
  <c r="H331" i="4"/>
  <c r="H328" i="4"/>
  <c r="H325" i="4"/>
  <c r="H322" i="4"/>
  <c r="H319" i="4"/>
  <c r="H316" i="4"/>
  <c r="H313" i="4"/>
  <c r="H310" i="4"/>
  <c r="H307" i="4"/>
  <c r="H304" i="4"/>
  <c r="H301" i="4"/>
  <c r="H298" i="4"/>
  <c r="H295" i="4"/>
  <c r="H292" i="4"/>
  <c r="H289" i="4"/>
  <c r="H286" i="4"/>
  <c r="H283" i="4"/>
  <c r="H280" i="4"/>
  <c r="H277" i="4"/>
  <c r="H274" i="4"/>
  <c r="H271" i="4"/>
  <c r="H268" i="4"/>
  <c r="H265" i="4"/>
  <c r="H262" i="4"/>
  <c r="H259" i="4"/>
  <c r="H256" i="4"/>
  <c r="H253" i="4"/>
  <c r="H250" i="4"/>
  <c r="H247" i="4"/>
  <c r="H244" i="4"/>
  <c r="H241" i="4"/>
  <c r="H238" i="4"/>
  <c r="H235" i="4"/>
  <c r="H232" i="4"/>
  <c r="H229" i="4"/>
  <c r="H226" i="4"/>
  <c r="H223" i="4"/>
  <c r="H220" i="4"/>
  <c r="H217" i="4"/>
  <c r="H214" i="4"/>
  <c r="H211" i="4"/>
  <c r="H208" i="4"/>
  <c r="H205" i="4"/>
  <c r="H202" i="4"/>
  <c r="H199" i="4"/>
  <c r="H196" i="4"/>
  <c r="H193" i="4"/>
  <c r="H190" i="4"/>
  <c r="H187" i="4"/>
  <c r="H184" i="4"/>
  <c r="H181" i="4"/>
  <c r="H178" i="4"/>
  <c r="H175" i="4"/>
  <c r="H172" i="4"/>
  <c r="H169" i="4"/>
  <c r="H166" i="4"/>
  <c r="H163" i="4"/>
  <c r="H160" i="4"/>
  <c r="H157" i="4"/>
  <c r="H154" i="4"/>
  <c r="H151" i="4"/>
  <c r="H148" i="4"/>
  <c r="H145" i="4"/>
  <c r="H142" i="4"/>
  <c r="H139" i="4"/>
  <c r="H136" i="4"/>
  <c r="H133" i="4"/>
  <c r="H130" i="4"/>
  <c r="H125" i="4"/>
  <c r="H122" i="4"/>
  <c r="H119" i="4"/>
  <c r="H116" i="4"/>
  <c r="H110" i="4"/>
  <c r="H104" i="4"/>
  <c r="H101" i="4"/>
  <c r="H98" i="4"/>
  <c r="H92" i="4"/>
  <c r="H89" i="4"/>
  <c r="H86" i="4"/>
  <c r="H83" i="4"/>
  <c r="H74" i="4"/>
  <c r="H71" i="4"/>
  <c r="H65" i="4"/>
  <c r="H50" i="4"/>
  <c r="H47" i="4"/>
  <c r="H44" i="4"/>
  <c r="H39" i="4"/>
  <c r="H36" i="4"/>
  <c r="H33" i="4"/>
  <c r="H30" i="4"/>
  <c r="H27" i="4"/>
  <c r="H24" i="4"/>
  <c r="H21" i="4"/>
  <c r="H18" i="4"/>
  <c r="H15" i="4"/>
  <c r="H12" i="4"/>
  <c r="H9" i="4"/>
  <c r="H6" i="4"/>
  <c r="H3" i="4"/>
  <c r="H398" i="4"/>
  <c r="H393" i="4"/>
  <c r="H380" i="4"/>
  <c r="H375" i="4"/>
  <c r="H362" i="4"/>
  <c r="H357" i="4"/>
  <c r="H344" i="4"/>
  <c r="H339" i="4"/>
  <c r="H326" i="4"/>
  <c r="H321" i="4"/>
  <c r="H308" i="4"/>
  <c r="H303" i="4"/>
  <c r="H290" i="4"/>
  <c r="H285" i="4"/>
  <c r="H272" i="4"/>
  <c r="H267" i="4"/>
  <c r="H254" i="4"/>
  <c r="H249" i="4"/>
  <c r="H236" i="4"/>
  <c r="H231" i="4"/>
  <c r="H218" i="4"/>
  <c r="H213" i="4"/>
  <c r="H200" i="4"/>
  <c r="H195" i="4"/>
  <c r="H182" i="4"/>
  <c r="H177" i="4"/>
  <c r="H164" i="4"/>
  <c r="H159" i="4"/>
  <c r="H146" i="4"/>
  <c r="H141" i="4"/>
  <c r="H128" i="4"/>
  <c r="H126" i="4"/>
  <c r="H121" i="4"/>
  <c r="H106" i="4"/>
  <c r="H102" i="4"/>
  <c r="H94" i="4"/>
  <c r="H75" i="4"/>
  <c r="H67" i="4"/>
  <c r="H63" i="4"/>
  <c r="H60" i="4"/>
  <c r="H57" i="4"/>
  <c r="H54" i="4"/>
  <c r="H42" i="4"/>
  <c r="H40" i="4"/>
  <c r="H35" i="4"/>
  <c r="H22" i="4"/>
  <c r="H17" i="4"/>
  <c r="H4" i="4"/>
  <c r="H396" i="4"/>
  <c r="H383" i="4"/>
  <c r="H378" i="4"/>
  <c r="H365" i="4"/>
  <c r="H360" i="4"/>
  <c r="H347" i="4"/>
  <c r="H342" i="4"/>
  <c r="H329" i="4"/>
  <c r="H324" i="4"/>
  <c r="H311" i="4"/>
  <c r="H306" i="4"/>
  <c r="H293" i="4"/>
  <c r="H288" i="4"/>
  <c r="H275" i="4"/>
  <c r="H270" i="4"/>
  <c r="H257" i="4"/>
  <c r="H252" i="4"/>
  <c r="H239" i="4"/>
  <c r="H234" i="4"/>
  <c r="H221" i="4"/>
  <c r="H216" i="4"/>
  <c r="H203" i="4"/>
  <c r="H198" i="4"/>
  <c r="H185" i="4"/>
  <c r="H180" i="4"/>
  <c r="H167" i="4"/>
  <c r="H162" i="4"/>
  <c r="H149" i="4"/>
  <c r="H144" i="4"/>
  <c r="H131" i="4"/>
  <c r="H124" i="4"/>
  <c r="H112" i="4"/>
  <c r="H100" i="4"/>
  <c r="H96" i="4"/>
  <c r="H84" i="4"/>
  <c r="H80" i="4"/>
  <c r="H77" i="4"/>
  <c r="H45" i="4"/>
  <c r="H38" i="4"/>
  <c r="H386" i="4"/>
  <c r="H381" i="4"/>
  <c r="H368" i="4"/>
  <c r="H363" i="4"/>
  <c r="H350" i="4"/>
  <c r="H345" i="4"/>
  <c r="H332" i="4"/>
  <c r="H327" i="4"/>
  <c r="H314" i="4"/>
  <c r="H309" i="4"/>
  <c r="H296" i="4"/>
  <c r="H291" i="4"/>
  <c r="H278" i="4"/>
  <c r="H273" i="4"/>
  <c r="H260" i="4"/>
  <c r="H255" i="4"/>
  <c r="H242" i="4"/>
  <c r="H237" i="4"/>
  <c r="H224" i="4"/>
  <c r="H219" i="4"/>
  <c r="H206" i="4"/>
  <c r="H201" i="4"/>
  <c r="H188" i="4"/>
  <c r="H183" i="4"/>
  <c r="H170" i="4"/>
  <c r="H165" i="4"/>
  <c r="H152" i="4"/>
  <c r="H147" i="4"/>
  <c r="H134" i="4"/>
  <c r="H129" i="4"/>
  <c r="H111" i="4"/>
  <c r="H107" i="4"/>
  <c r="H103" i="4"/>
  <c r="H87" i="4"/>
  <c r="H76" i="4"/>
  <c r="H72" i="4"/>
  <c r="H61" i="4"/>
  <c r="H58" i="4"/>
  <c r="H55" i="4"/>
  <c r="H48" i="4"/>
  <c r="H43" i="4"/>
  <c r="H28" i="4"/>
  <c r="H23" i="4"/>
  <c r="H10" i="4"/>
  <c r="H5" i="4"/>
  <c r="H390" i="4"/>
  <c r="H372" i="4"/>
  <c r="H354" i="4"/>
  <c r="H336" i="4"/>
  <c r="H318" i="4"/>
  <c r="H300" i="4"/>
  <c r="H282" i="4"/>
  <c r="H264" i="4"/>
  <c r="H246" i="4"/>
  <c r="H228" i="4"/>
  <c r="H210" i="4"/>
  <c r="H192" i="4"/>
  <c r="H174" i="4"/>
  <c r="H156" i="4"/>
  <c r="H138" i="4"/>
  <c r="H395" i="4"/>
  <c r="H377" i="4"/>
  <c r="H359" i="4"/>
  <c r="H341" i="4"/>
  <c r="H323" i="4"/>
  <c r="H305" i="4"/>
  <c r="H287" i="4"/>
  <c r="H269" i="4"/>
  <c r="H251" i="4"/>
  <c r="H233" i="4"/>
  <c r="H215" i="4"/>
  <c r="H197" i="4"/>
  <c r="H179" i="4"/>
  <c r="H161" i="4"/>
  <c r="H143" i="4"/>
  <c r="H109" i="4"/>
  <c r="H93" i="4"/>
  <c r="H88" i="4"/>
  <c r="H73" i="4"/>
  <c r="H68" i="4"/>
  <c r="H26" i="4"/>
  <c r="H19" i="4"/>
  <c r="H7" i="4"/>
  <c r="H127" i="4"/>
  <c r="H108" i="4"/>
  <c r="H97" i="4"/>
  <c r="H91" i="4"/>
  <c r="H59" i="4"/>
  <c r="H46" i="4"/>
  <c r="H31" i="4"/>
  <c r="H387" i="4"/>
  <c r="H348" i="4"/>
  <c r="H333" i="4"/>
  <c r="H294" i="4"/>
  <c r="H279" i="4"/>
  <c r="H240" i="4"/>
  <c r="H225" i="4"/>
  <c r="H186" i="4"/>
  <c r="H171" i="4"/>
  <c r="H132" i="4"/>
  <c r="H120" i="4"/>
  <c r="H115" i="4"/>
  <c r="H105" i="4"/>
  <c r="H81" i="4"/>
  <c r="H70" i="4"/>
  <c r="H64" i="4"/>
  <c r="H29" i="4"/>
  <c r="H16" i="4"/>
  <c r="H11" i="4"/>
  <c r="H392" i="4"/>
  <c r="H353" i="4"/>
  <c r="H338" i="4"/>
  <c r="H299" i="4"/>
  <c r="H284" i="4"/>
  <c r="H245" i="4"/>
  <c r="H230" i="4"/>
  <c r="H191" i="4"/>
  <c r="H176" i="4"/>
  <c r="H137" i="4"/>
  <c r="H118" i="4"/>
  <c r="H114" i="4"/>
  <c r="H85" i="4"/>
  <c r="H79" i="4"/>
  <c r="H69" i="4"/>
  <c r="H34" i="4"/>
  <c r="H25" i="4"/>
  <c r="H14" i="4"/>
  <c r="H150" i="4"/>
  <c r="H123" i="4"/>
  <c r="H366" i="4"/>
  <c r="H351" i="4"/>
  <c r="H312" i="4"/>
  <c r="H297" i="4"/>
  <c r="H258" i="4"/>
  <c r="H243" i="4"/>
  <c r="H204" i="4"/>
  <c r="H189" i="4"/>
  <c r="H135" i="4"/>
  <c r="H95" i="4"/>
  <c r="H82" i="4"/>
  <c r="H51" i="4"/>
  <c r="H374" i="4"/>
  <c r="H320" i="4"/>
  <c r="H266" i="4"/>
  <c r="H212" i="4"/>
  <c r="H158" i="4"/>
  <c r="H56" i="4"/>
  <c r="H13" i="4"/>
  <c r="H78" i="4"/>
  <c r="H49" i="4"/>
  <c r="H263" i="4"/>
  <c r="H53" i="4"/>
  <c r="H8" i="4"/>
  <c r="H369" i="4"/>
  <c r="H330" i="4"/>
  <c r="H315" i="4"/>
  <c r="H168" i="4"/>
  <c r="H153" i="4"/>
  <c r="H62" i="4"/>
  <c r="H389" i="4"/>
  <c r="H335" i="4"/>
  <c r="H281" i="4"/>
  <c r="H227" i="4"/>
  <c r="H173" i="4"/>
  <c r="H99" i="4"/>
  <c r="H66" i="4"/>
  <c r="H32" i="4"/>
  <c r="H1" i="4"/>
  <c r="H317" i="4"/>
  <c r="H155" i="4"/>
  <c r="H384" i="4"/>
  <c r="H222" i="4"/>
  <c r="H90" i="4"/>
  <c r="H52" i="4"/>
  <c r="H20" i="4"/>
  <c r="H356" i="4"/>
  <c r="H302" i="4"/>
  <c r="H248" i="4"/>
  <c r="H194" i="4"/>
  <c r="H140" i="4"/>
  <c r="H113" i="4"/>
  <c r="H41" i="4"/>
  <c r="H37" i="4"/>
  <c r="H371" i="4"/>
  <c r="H209" i="4"/>
  <c r="H276" i="4"/>
  <c r="H261" i="4"/>
  <c r="H207" i="4"/>
  <c r="H117" i="4"/>
  <c r="H2" i="4"/>
  <c r="H229" i="1"/>
  <c r="H244" i="1"/>
  <c r="H133" i="1"/>
  <c r="H1364" i="1"/>
  <c r="H770" i="1"/>
  <c r="H1387" i="1"/>
  <c r="H687" i="1"/>
  <c r="H98" i="1"/>
  <c r="H1495" i="1"/>
  <c r="H1445" i="1"/>
  <c r="H201" i="1"/>
  <c r="H1983" i="1"/>
  <c r="H853" i="1"/>
  <c r="H2133" i="1"/>
  <c r="H1942" i="1"/>
  <c r="H631" i="1"/>
  <c r="H391" i="1"/>
  <c r="H223" i="1"/>
  <c r="H819" i="1"/>
  <c r="H617" i="1"/>
  <c r="H224" i="1"/>
  <c r="H1780" i="1"/>
  <c r="H1924" i="1"/>
  <c r="H1850" i="1"/>
  <c r="H678" i="1"/>
  <c r="H2175" i="1"/>
  <c r="H2300" i="1"/>
  <c r="H2907" i="1"/>
  <c r="H1328" i="1"/>
  <c r="H2332" i="1"/>
  <c r="H3092" i="1"/>
  <c r="H3603" i="1"/>
  <c r="H2168" i="1"/>
  <c r="H2807" i="1"/>
  <c r="H3420" i="1"/>
  <c r="H2136" i="1"/>
  <c r="H1405" i="1"/>
  <c r="H3130" i="1"/>
  <c r="H1759" i="1"/>
  <c r="H2890" i="1"/>
  <c r="H2860" i="1"/>
  <c r="H3951" i="1"/>
  <c r="H967" i="1"/>
  <c r="H3358" i="1"/>
  <c r="H588" i="1"/>
  <c r="H2538" i="1"/>
  <c r="H3678" i="1"/>
  <c r="H2447" i="1"/>
  <c r="H3887" i="1"/>
  <c r="H3328" i="1"/>
  <c r="H2623" i="1"/>
  <c r="H2781" i="1"/>
  <c r="H2537" i="1"/>
  <c r="H2635" i="1"/>
  <c r="H671" i="1"/>
  <c r="H727" i="1"/>
  <c r="H841" i="1"/>
  <c r="H1778" i="1"/>
  <c r="H73" i="1"/>
  <c r="H28" i="1"/>
  <c r="H2074" i="1"/>
  <c r="H2116" i="1"/>
  <c r="H1952" i="1"/>
  <c r="H2135" i="1"/>
  <c r="H3052" i="1"/>
  <c r="H1713" i="1"/>
  <c r="H2639" i="1"/>
  <c r="H3427" i="1"/>
  <c r="H2056" i="1"/>
  <c r="H2835" i="1"/>
  <c r="H3529" i="1"/>
  <c r="H2833" i="1"/>
  <c r="H679" i="1"/>
  <c r="H769" i="1"/>
  <c r="H933" i="1"/>
  <c r="H97" i="1"/>
  <c r="H87" i="1"/>
  <c r="H105" i="1"/>
  <c r="H2114" i="1"/>
  <c r="H2142" i="1"/>
  <c r="H1968" i="1"/>
  <c r="H2218" i="1"/>
  <c r="H3087" i="1"/>
  <c r="H1734" i="1"/>
  <c r="H2647" i="1"/>
  <c r="H3443" i="1"/>
  <c r="H2075" i="1"/>
  <c r="H2841" i="1"/>
  <c r="H3539" i="1"/>
  <c r="H2846" i="1"/>
  <c r="H2797" i="1"/>
  <c r="H1320" i="1"/>
  <c r="H3105" i="1"/>
  <c r="H3357" i="1"/>
  <c r="H3042" i="1"/>
  <c r="H2906" i="1"/>
  <c r="H733" i="1"/>
  <c r="H2730" i="1"/>
  <c r="H3945" i="1"/>
  <c r="H2767" i="1"/>
  <c r="H1830" i="1"/>
  <c r="H1925" i="1"/>
  <c r="H2429" i="1"/>
  <c r="H2871" i="1"/>
  <c r="H3564" i="1"/>
  <c r="H2896" i="1"/>
  <c r="H3237" i="1"/>
  <c r="H2152" i="1"/>
  <c r="H3935" i="1"/>
  <c r="H1518" i="1"/>
  <c r="H3757" i="1"/>
  <c r="H148" i="1"/>
  <c r="H1348" i="1"/>
  <c r="H1425" i="1"/>
  <c r="H578" i="1"/>
  <c r="H1873" i="1"/>
  <c r="H2275" i="1"/>
  <c r="H1728" i="1"/>
  <c r="H3289" i="1"/>
  <c r="H2399" i="1"/>
  <c r="H3554" i="1"/>
  <c r="H2675" i="1"/>
  <c r="H1361" i="1"/>
  <c r="H2003" i="1"/>
  <c r="H203" i="1"/>
  <c r="H3132" i="1"/>
  <c r="H3600" i="1"/>
  <c r="H589" i="1"/>
  <c r="H647" i="1"/>
  <c r="H213" i="1"/>
  <c r="H1430" i="1"/>
  <c r="H154" i="1"/>
  <c r="H1465" i="1"/>
  <c r="H1334" i="1"/>
  <c r="H406" i="1"/>
  <c r="H1716" i="1"/>
  <c r="H1634" i="1"/>
  <c r="H507" i="1"/>
  <c r="H2076" i="1"/>
  <c r="H1468" i="1"/>
  <c r="H2214" i="1"/>
  <c r="H2162" i="1"/>
  <c r="H768" i="1"/>
  <c r="H648" i="1"/>
  <c r="H403" i="1"/>
  <c r="H1343" i="1"/>
  <c r="H982" i="1"/>
  <c r="H645" i="1"/>
  <c r="H216" i="1"/>
  <c r="H2021" i="1"/>
  <c r="H1943" i="1"/>
  <c r="H1421" i="1"/>
  <c r="H2285" i="1"/>
  <c r="H2363" i="1"/>
  <c r="H3160" i="1"/>
  <c r="H1516" i="1"/>
  <c r="H2457" i="1"/>
  <c r="H3180" i="1"/>
  <c r="H646" i="1"/>
  <c r="H2325" i="1"/>
  <c r="H2902" i="1"/>
  <c r="H3497" i="1"/>
  <c r="H2327" i="1"/>
  <c r="H1897" i="1"/>
  <c r="H3286" i="1"/>
  <c r="H2004" i="1"/>
  <c r="H3164" i="1"/>
  <c r="H3157" i="1"/>
  <c r="H4052" i="1"/>
  <c r="H2123" i="1"/>
  <c r="H3557" i="1"/>
  <c r="H3051" i="1"/>
  <c r="H2793" i="1"/>
  <c r="H3875" i="1"/>
  <c r="H1396" i="1"/>
  <c r="H4012" i="1"/>
  <c r="H3499" i="1"/>
  <c r="H3025" i="1"/>
  <c r="H1429" i="1"/>
  <c r="H1937" i="1"/>
  <c r="H3185" i="1"/>
  <c r="H923" i="1"/>
  <c r="H1324" i="1"/>
  <c r="H207" i="1"/>
  <c r="H405" i="1"/>
  <c r="H461" i="1"/>
  <c r="H424" i="1"/>
  <c r="H280" i="1"/>
  <c r="H2240" i="1"/>
  <c r="H2117" i="1"/>
  <c r="H2322" i="1"/>
  <c r="H3248" i="1"/>
  <c r="H1853" i="1"/>
  <c r="H2786" i="1"/>
  <c r="H3528" i="1"/>
  <c r="H2258" i="1"/>
  <c r="H3027" i="1"/>
  <c r="H192" i="1"/>
  <c r="H3159" i="1"/>
  <c r="H971" i="1"/>
  <c r="H1332" i="1"/>
  <c r="H243" i="1"/>
  <c r="H460" i="1"/>
  <c r="H538" i="1"/>
  <c r="H586" i="1"/>
  <c r="H327" i="1"/>
  <c r="H2264" i="1"/>
  <c r="H2125" i="1"/>
  <c r="H2330" i="1"/>
  <c r="H3281" i="1"/>
  <c r="H1864" i="1"/>
  <c r="H2806" i="1"/>
  <c r="H3537" i="1"/>
  <c r="H2282" i="1"/>
  <c r="H3046" i="1"/>
  <c r="H584" i="1"/>
  <c r="H3285" i="1"/>
  <c r="H3047" i="1"/>
  <c r="H1923" i="1"/>
  <c r="H215" i="1"/>
  <c r="H3517" i="1"/>
  <c r="H167" i="1"/>
  <c r="H3252" i="1"/>
  <c r="H2396" i="1"/>
  <c r="H2908" i="1"/>
  <c r="H4079" i="1"/>
  <c r="H3376" i="1"/>
  <c r="H3019" i="1"/>
  <c r="H2803" i="1"/>
  <c r="H1863" i="1"/>
  <c r="H3741" i="1"/>
  <c r="H3764" i="1"/>
  <c r="H3594" i="1"/>
  <c r="H3699" i="1"/>
  <c r="H3700" i="1"/>
  <c r="H2829" i="1"/>
  <c r="H3467" i="1"/>
  <c r="H3510" i="1"/>
  <c r="H556" i="1"/>
  <c r="H46" i="1"/>
  <c r="H1754" i="1"/>
  <c r="H1325" i="1"/>
  <c r="H2030" i="1"/>
  <c r="H555" i="1"/>
  <c r="H1980" i="1"/>
  <c r="H3417" i="1"/>
  <c r="H2576" i="1"/>
  <c r="H676" i="1"/>
  <c r="H2799" i="1"/>
  <c r="H1872" i="1"/>
  <c r="H2554" i="1"/>
  <c r="H1460" i="1"/>
  <c r="H1743" i="1"/>
  <c r="H725" i="1"/>
  <c r="H784" i="1"/>
  <c r="H402" i="1"/>
  <c r="H102" i="1"/>
  <c r="H234" i="1"/>
  <c r="H1722" i="1"/>
  <c r="H1411" i="1"/>
  <c r="H670" i="1"/>
  <c r="H1797" i="1"/>
  <c r="H1824" i="1"/>
  <c r="H1359" i="1"/>
  <c r="H2174" i="1"/>
  <c r="H1775" i="1"/>
  <c r="H2304" i="1"/>
  <c r="H1331" i="1"/>
  <c r="H932" i="1"/>
  <c r="H673" i="1"/>
  <c r="H1447" i="1"/>
  <c r="H1400" i="1"/>
  <c r="H951" i="1"/>
  <c r="H751" i="1"/>
  <c r="H2139" i="1"/>
  <c r="H2015" i="1"/>
  <c r="H1750" i="1"/>
  <c r="H975" i="1"/>
  <c r="H2480" i="1"/>
  <c r="H3297" i="1"/>
  <c r="H1776" i="1"/>
  <c r="H2549" i="1"/>
  <c r="H3291" i="1"/>
  <c r="H1422" i="1"/>
  <c r="H2408" i="1"/>
  <c r="H3101" i="1"/>
  <c r="H3563" i="1"/>
  <c r="H2694" i="1"/>
  <c r="H2161" i="1"/>
  <c r="H3389" i="1"/>
  <c r="H2250" i="1"/>
  <c r="H965" i="1"/>
  <c r="H3399" i="1"/>
  <c r="H1367" i="1"/>
  <c r="H2387" i="1"/>
  <c r="H3727" i="1"/>
  <c r="H1767" i="1"/>
  <c r="H3114" i="1"/>
  <c r="H3968" i="1"/>
  <c r="H2318" i="1"/>
  <c r="H1515" i="1"/>
  <c r="H3732" i="1"/>
  <c r="H3330" i="1"/>
  <c r="H2273" i="1"/>
  <c r="H3410" i="1"/>
  <c r="H1373" i="1"/>
  <c r="H1398" i="1"/>
  <c r="H629" i="1"/>
  <c r="H644" i="1"/>
  <c r="H765" i="1"/>
  <c r="H1319" i="1"/>
  <c r="H968" i="1"/>
  <c r="H292" i="1"/>
  <c r="H2222" i="1"/>
  <c r="H2421" i="1"/>
  <c r="H3361" i="1"/>
  <c r="H2022" i="1"/>
  <c r="H2958" i="1"/>
  <c r="H121" i="1"/>
  <c r="H2358" i="1"/>
  <c r="H3163" i="1"/>
  <c r="H1526" i="1"/>
  <c r="H585" i="1"/>
  <c r="H1389" i="1"/>
  <c r="H1417" i="1"/>
  <c r="H643" i="1"/>
  <c r="H789" i="1"/>
  <c r="H779" i="1"/>
  <c r="H1337" i="1"/>
  <c r="H1453" i="1"/>
  <c r="H328" i="1"/>
  <c r="H2257" i="1"/>
  <c r="H2456" i="1"/>
  <c r="H3377" i="1"/>
  <c r="H2112" i="1"/>
  <c r="H2999" i="1"/>
  <c r="H227" i="1"/>
  <c r="H2382" i="1"/>
  <c r="H3189" i="1"/>
  <c r="H1745" i="1"/>
  <c r="H650" i="1"/>
  <c r="H3196" i="1"/>
  <c r="H2145" i="1"/>
  <c r="H1908" i="1"/>
  <c r="H3676" i="1"/>
  <c r="H228" i="1"/>
  <c r="H3446" i="1"/>
  <c r="H690" i="1"/>
  <c r="H3253" i="1"/>
  <c r="H3734" i="1"/>
  <c r="H3679" i="1"/>
  <c r="H3423" i="1"/>
  <c r="H3254" i="1"/>
  <c r="H3280" i="1"/>
  <c r="H1330" i="1"/>
  <c r="H3941" i="1"/>
  <c r="H3919" i="1"/>
  <c r="H3933" i="1"/>
  <c r="H4130" i="1"/>
  <c r="H3900" i="1"/>
  <c r="H1418" i="1"/>
  <c r="H3421" i="1"/>
  <c r="H979" i="1"/>
  <c r="H318" i="1"/>
  <c r="H509" i="1"/>
  <c r="H1477" i="1"/>
  <c r="H434" i="1"/>
  <c r="H1736" i="1"/>
  <c r="H2339" i="1"/>
  <c r="H787" i="1"/>
  <c r="H2821" i="1"/>
  <c r="H1777" i="1"/>
  <c r="H3069" i="1"/>
  <c r="H2283" i="1"/>
  <c r="H2847" i="1"/>
  <c r="H2027" i="1"/>
  <c r="H2219" i="1"/>
  <c r="H3966" i="1"/>
  <c r="H2729" i="1"/>
  <c r="H2663" i="1"/>
  <c r="H838" i="1"/>
  <c r="H1323" i="1"/>
  <c r="H640" i="1"/>
  <c r="H214" i="1"/>
  <c r="H587" i="1"/>
  <c r="H1804" i="1"/>
  <c r="H1494" i="1"/>
  <c r="H861" i="1"/>
  <c r="H199" i="1"/>
  <c r="H1907" i="1"/>
  <c r="H1710" i="1"/>
  <c r="H2248" i="1"/>
  <c r="H1885" i="1"/>
  <c r="H833" i="1"/>
  <c r="H1397" i="1"/>
  <c r="H1340" i="1"/>
  <c r="H42" i="1"/>
  <c r="H1638" i="1"/>
  <c r="H1502" i="1"/>
  <c r="H1379" i="1"/>
  <c r="H1372" i="1"/>
  <c r="H412" i="1"/>
  <c r="H2158" i="1"/>
  <c r="H1893" i="1"/>
  <c r="H1709" i="1"/>
  <c r="H2590" i="1"/>
  <c r="H3385" i="1"/>
  <c r="H1891" i="1"/>
  <c r="H2674" i="1"/>
  <c r="H3379" i="1"/>
  <c r="H1757" i="1"/>
  <c r="H2542" i="1"/>
  <c r="H3219" i="1"/>
  <c r="H766" i="1"/>
  <c r="H2900" i="1"/>
  <c r="H2543" i="1"/>
  <c r="H3506" i="1"/>
  <c r="H2384" i="1"/>
  <c r="H1938" i="1"/>
  <c r="H3531" i="1"/>
  <c r="H3738" i="1"/>
  <c r="H2650" i="1"/>
  <c r="H3937" i="1"/>
  <c r="H783" i="1"/>
  <c r="H3277" i="1"/>
  <c r="H4096" i="1"/>
  <c r="H2801" i="1"/>
  <c r="H2573" i="1"/>
  <c r="H3988" i="1"/>
  <c r="H3500" i="1"/>
  <c r="H3334" i="1"/>
  <c r="H3920" i="1"/>
  <c r="H45" i="1"/>
  <c r="H134" i="1"/>
  <c r="H949" i="1"/>
  <c r="H1354" i="1"/>
  <c r="H1345" i="1"/>
  <c r="H1491" i="1"/>
  <c r="H1735" i="1"/>
  <c r="H802" i="1"/>
  <c r="H249" i="1"/>
  <c r="H2565" i="1"/>
  <c r="H3441" i="1"/>
  <c r="H2268" i="1"/>
  <c r="H3108" i="1"/>
  <c r="H1329" i="1"/>
  <c r="H2525" i="1"/>
  <c r="H3276" i="1"/>
  <c r="H1979" i="1"/>
  <c r="H1498" i="1"/>
  <c r="H101" i="1"/>
  <c r="H150" i="1"/>
  <c r="H969" i="1"/>
  <c r="H1368" i="1"/>
  <c r="H1369" i="1"/>
  <c r="H1620" i="1"/>
  <c r="H1760" i="1"/>
  <c r="H974" i="1"/>
  <c r="H703" i="1"/>
  <c r="H2574" i="1"/>
  <c r="H3457" i="1"/>
  <c r="H2281" i="1"/>
  <c r="H3117" i="1"/>
  <c r="H1358" i="1"/>
  <c r="H2533" i="1"/>
  <c r="H3292" i="1"/>
  <c r="H2002" i="1"/>
  <c r="H1720" i="1"/>
  <c r="H3362" i="1"/>
  <c r="H2369" i="1"/>
  <c r="H2321" i="1"/>
  <c r="H3881" i="1"/>
  <c r="H1912" i="1"/>
  <c r="H3677" i="1"/>
  <c r="H396" i="1"/>
  <c r="H3405" i="1"/>
  <c r="H2320" i="1"/>
  <c r="H3938" i="1"/>
  <c r="H3607" i="1"/>
  <c r="H3450" i="1"/>
  <c r="H3740" i="1"/>
  <c r="H2271" i="1"/>
  <c r="H4123" i="1"/>
  <c r="H222" i="1"/>
  <c r="H2104" i="1"/>
  <c r="H705" i="1"/>
  <c r="H3756" i="1"/>
  <c r="H867" i="1"/>
  <c r="H5" i="1"/>
  <c r="H739" i="1"/>
  <c r="H1322" i="1"/>
  <c r="H1772" i="1"/>
  <c r="H1507" i="1"/>
  <c r="H1919" i="1"/>
  <c r="H2539" i="1"/>
  <c r="H1596" i="1"/>
  <c r="H3068" i="1"/>
  <c r="H1972" i="1"/>
  <c r="H3243" i="1"/>
  <c r="H2732" i="1"/>
  <c r="H3119" i="1"/>
  <c r="H2329" i="1"/>
  <c r="H2561" i="1"/>
  <c r="H35" i="1"/>
  <c r="H1" i="1"/>
  <c r="H1381" i="1"/>
  <c r="H777" i="1"/>
  <c r="H326" i="1"/>
  <c r="H763" i="1"/>
  <c r="H219" i="1"/>
  <c r="H1639" i="1"/>
  <c r="H1357" i="1"/>
  <c r="H635" i="1"/>
  <c r="H1990" i="1"/>
  <c r="H1818" i="1"/>
  <c r="H12" i="1"/>
  <c r="H1936" i="1"/>
  <c r="H1461" i="1"/>
  <c r="H68" i="1"/>
  <c r="H69" i="1"/>
  <c r="H1407" i="1"/>
  <c r="H218" i="1"/>
  <c r="H72" i="1"/>
  <c r="H1723" i="1"/>
  <c r="H1459" i="1"/>
  <c r="H1505" i="1"/>
  <c r="H1341" i="1"/>
  <c r="H2256" i="1"/>
  <c r="H1960" i="1"/>
  <c r="H1862" i="1"/>
  <c r="H2680" i="1"/>
  <c r="H3449" i="1"/>
  <c r="H2066" i="1"/>
  <c r="H2798" i="1"/>
  <c r="H3435" i="1"/>
  <c r="H1906" i="1"/>
  <c r="H2648" i="1"/>
  <c r="H3284" i="1"/>
  <c r="H1621" i="1"/>
  <c r="H3175" i="1"/>
  <c r="H2764" i="1"/>
  <c r="H95" i="1"/>
  <c r="H2495" i="1"/>
  <c r="H2280" i="1"/>
  <c r="H3668" i="1"/>
  <c r="H340" i="1"/>
  <c r="H2866" i="1"/>
  <c r="H4044" i="1"/>
  <c r="H1950" i="1"/>
  <c r="H3390" i="1"/>
  <c r="H3538" i="1"/>
  <c r="H3351" i="1"/>
  <c r="H1742" i="1"/>
  <c r="H4081" i="1"/>
  <c r="H3763" i="1"/>
  <c r="H3658" i="1"/>
  <c r="H99" i="1"/>
  <c r="H43" i="1"/>
  <c r="H197" i="1"/>
  <c r="H240" i="1"/>
  <c r="H1399" i="1"/>
  <c r="H1458" i="1"/>
  <c r="H1449" i="1"/>
  <c r="H1832" i="1"/>
  <c r="H1892" i="1"/>
  <c r="H1612" i="1"/>
  <c r="H1441" i="1"/>
  <c r="H2645" i="1"/>
  <c r="H642" i="1"/>
  <c r="H2357" i="1"/>
  <c r="H3242" i="1"/>
  <c r="H1517" i="1"/>
  <c r="H2640" i="1"/>
  <c r="H3380" i="1"/>
  <c r="H2244" i="1"/>
  <c r="H100" i="1"/>
  <c r="H221" i="1"/>
  <c r="H246" i="1"/>
  <c r="H1410" i="1"/>
  <c r="H1466" i="1"/>
  <c r="H1467" i="1"/>
  <c r="H1848" i="1"/>
  <c r="H1910" i="1"/>
  <c r="H1711" i="1"/>
  <c r="H1506" i="1"/>
  <c r="H2725" i="1"/>
  <c r="H674" i="1"/>
  <c r="H2390" i="1"/>
  <c r="H3250" i="1"/>
  <c r="H1737" i="1"/>
  <c r="H2667" i="1"/>
  <c r="H3388" i="1"/>
  <c r="H2261" i="1"/>
  <c r="H2119" i="1"/>
  <c r="H3494" i="1"/>
  <c r="H2544" i="1"/>
  <c r="H2602" i="1"/>
  <c r="H4006" i="1"/>
  <c r="H2323" i="1"/>
  <c r="H3922" i="1"/>
  <c r="H2014" i="1"/>
  <c r="H3558" i="1"/>
  <c r="H1953" i="1"/>
  <c r="H4131" i="1"/>
  <c r="H3950" i="1"/>
  <c r="H3878" i="1"/>
  <c r="H4099" i="1"/>
  <c r="H2857" i="1"/>
  <c r="H231" i="1"/>
  <c r="H1481" i="1"/>
  <c r="H3438" i="1"/>
  <c r="H2848" i="1"/>
  <c r="H3924" i="1"/>
  <c r="H3796" i="1"/>
  <c r="H230" i="1"/>
  <c r="H404" i="1"/>
  <c r="H1510" i="1"/>
  <c r="H675" i="1"/>
  <c r="H1927" i="1"/>
  <c r="H2143" i="1"/>
  <c r="H2733" i="1"/>
  <c r="H1905" i="1"/>
  <c r="H3283" i="1"/>
  <c r="H2305" i="1"/>
  <c r="H3396" i="1"/>
  <c r="H3296" i="1"/>
  <c r="H3336" i="1"/>
  <c r="H2489" i="1"/>
  <c r="H3071" i="1"/>
  <c r="H180" i="1"/>
  <c r="H1771" i="1"/>
  <c r="H2008" i="1"/>
  <c r="H70" i="1"/>
  <c r="H1721" i="1"/>
  <c r="H2255" i="1"/>
  <c r="H1939" i="1"/>
  <c r="H3760" i="1"/>
  <c r="H3109" i="1"/>
  <c r="H2134" i="1"/>
  <c r="H1598" i="1"/>
  <c r="H1847" i="1"/>
  <c r="H2753" i="1"/>
  <c r="H1622" i="1"/>
  <c r="H1903" i="1"/>
  <c r="H2763" i="1"/>
  <c r="H2963" i="1"/>
  <c r="H2107" i="1"/>
  <c r="H1931" i="1"/>
  <c r="H1462" i="1"/>
  <c r="H2467" i="1"/>
  <c r="H3744" i="1"/>
  <c r="H3041" i="1"/>
  <c r="H233" i="1"/>
  <c r="H3533" i="1"/>
  <c r="H2242" i="1"/>
  <c r="H1970" i="1"/>
  <c r="H3075" i="1"/>
  <c r="H3565" i="1"/>
  <c r="H2743" i="1"/>
  <c r="H2065" i="1"/>
  <c r="H3391" i="1"/>
  <c r="H2998" i="1"/>
  <c r="H2572" i="1"/>
  <c r="H3368" i="1"/>
  <c r="H4113" i="1"/>
  <c r="H3413" i="1"/>
  <c r="H3947" i="1"/>
  <c r="H164" i="1"/>
  <c r="H1356" i="1"/>
  <c r="H1457" i="1"/>
  <c r="H618" i="1"/>
  <c r="H1882" i="1"/>
  <c r="H2284" i="1"/>
  <c r="H1768" i="1"/>
  <c r="H3329" i="1"/>
  <c r="H2516" i="1"/>
  <c r="H3562" i="1"/>
  <c r="H2683" i="1"/>
  <c r="H1402" i="1"/>
  <c r="H2144" i="1"/>
  <c r="H293" i="1"/>
  <c r="H3177" i="1"/>
  <c r="H3636" i="1"/>
  <c r="H1871" i="1"/>
  <c r="H3944" i="1"/>
  <c r="H2521" i="1"/>
  <c r="H4035" i="1"/>
  <c r="H3514" i="1"/>
  <c r="H3580" i="1"/>
  <c r="H4122" i="1"/>
  <c r="H3509" i="1"/>
  <c r="H3879" i="1"/>
  <c r="H3437" i="1"/>
  <c r="H1450" i="1"/>
  <c r="H149" i="1"/>
  <c r="H168" i="1"/>
  <c r="H1623" i="1"/>
  <c r="H1744" i="1"/>
  <c r="H1360" i="1"/>
  <c r="H3131" i="1"/>
  <c r="H2869" i="1"/>
  <c r="H2699" i="1"/>
  <c r="H32" i="1"/>
  <c r="H2212" i="1"/>
  <c r="H3936" i="1"/>
  <c r="H3753" i="1"/>
  <c r="H3605" i="1"/>
  <c r="H919" i="1"/>
  <c r="H4003" i="1"/>
  <c r="H3255" i="1"/>
  <c r="H2897" i="1"/>
  <c r="H2105" i="1"/>
  <c r="H2238" i="1"/>
  <c r="H794" i="1"/>
  <c r="H198" i="1"/>
  <c r="H194" i="1"/>
  <c r="H1414" i="1"/>
  <c r="H11" i="1"/>
  <c r="H1454" i="1"/>
  <c r="H2279" i="1"/>
  <c r="H117" i="1"/>
  <c r="H2752" i="1"/>
  <c r="H1470" i="1"/>
  <c r="H3010" i="1"/>
  <c r="H2118" i="1"/>
  <c r="H2734" i="1"/>
  <c r="H1964" i="1"/>
  <c r="H2115" i="1"/>
  <c r="H3943" i="1"/>
  <c r="H2536" i="1"/>
  <c r="H2702" i="1"/>
  <c r="H3014" i="1"/>
  <c r="H682" i="1"/>
  <c r="H4037" i="1"/>
  <c r="H4055" i="1"/>
  <c r="H3144" i="1"/>
  <c r="H3946" i="1"/>
  <c r="H4029" i="1"/>
  <c r="H2662" i="1"/>
  <c r="H3934" i="1"/>
  <c r="H2315" i="1"/>
  <c r="H2151" i="1"/>
  <c r="H1347" i="1"/>
  <c r="H411" i="1"/>
  <c r="H577" i="1"/>
  <c r="H1511" i="1"/>
  <c r="H780" i="1"/>
  <c r="H1819" i="1"/>
  <c r="H2388" i="1"/>
  <c r="H885" i="1"/>
  <c r="H2201" i="1"/>
  <c r="H1839" i="1"/>
  <c r="H3118" i="1"/>
  <c r="H2393" i="1"/>
  <c r="H2903" i="1"/>
  <c r="H2120" i="1"/>
  <c r="H7" i="1"/>
  <c r="H1431" i="1"/>
  <c r="H1822" i="1"/>
  <c r="H616" i="1"/>
  <c r="H226" i="1"/>
  <c r="H2901" i="1"/>
  <c r="H200" i="1"/>
  <c r="H2017" i="1"/>
  <c r="H3535" i="1"/>
  <c r="H1708" i="1"/>
  <c r="H2200" i="1"/>
  <c r="H3436" i="1"/>
  <c r="H1739" i="1"/>
  <c r="H2849" i="1"/>
  <c r="H3444" i="1"/>
  <c r="H4126" i="1"/>
  <c r="H832" i="1"/>
  <c r="H2465" i="1"/>
  <c r="H2100" i="1"/>
  <c r="H3505" i="1"/>
  <c r="H4137" i="1"/>
  <c r="H3342" i="1"/>
  <c r="H1913" i="1"/>
  <c r="H3762" i="1"/>
  <c r="H3128" i="1"/>
  <c r="H3244" i="1"/>
  <c r="H3406" i="1"/>
  <c r="H4073" i="1"/>
  <c r="H3382" i="1"/>
  <c r="H3312" i="1"/>
  <c r="H3830" i="1"/>
  <c r="H2307" i="1"/>
  <c r="H2714" i="1"/>
  <c r="H4129" i="1"/>
  <c r="H2599" i="1"/>
  <c r="H3534" i="1"/>
  <c r="H3948" i="1"/>
  <c r="H639" i="1"/>
  <c r="H62" i="1"/>
  <c r="H1770" i="1"/>
  <c r="H1335" i="1"/>
  <c r="H2059" i="1"/>
  <c r="H781" i="1"/>
  <c r="H2064" i="1"/>
  <c r="H3425" i="1"/>
  <c r="H2600" i="1"/>
  <c r="H792" i="1"/>
  <c r="H2823" i="1"/>
  <c r="H1896" i="1"/>
  <c r="H2596" i="1"/>
  <c r="H1499" i="1"/>
  <c r="H1805" i="1"/>
  <c r="H3832" i="1"/>
  <c r="H2346" i="1"/>
  <c r="H4127" i="1"/>
  <c r="H2842" i="1"/>
  <c r="H1514" i="1"/>
  <c r="H3926" i="1"/>
  <c r="H4002" i="1"/>
  <c r="H1474" i="1"/>
  <c r="H4125" i="1"/>
  <c r="H4109" i="1"/>
  <c r="H3674" i="1"/>
  <c r="H3874" i="1"/>
  <c r="H410" i="1"/>
  <c r="H562" i="1"/>
  <c r="H170" i="1"/>
  <c r="H1949" i="1"/>
  <c r="H1835" i="1"/>
  <c r="H3353" i="1"/>
  <c r="H3347" i="1"/>
  <c r="H2878" i="1"/>
  <c r="H2311" i="1"/>
  <c r="H2616" i="1"/>
  <c r="H4069" i="1"/>
  <c r="H3705" i="1"/>
  <c r="H4054" i="1"/>
  <c r="H2802" i="1"/>
  <c r="H459" i="1"/>
  <c r="H3739" i="1"/>
  <c r="H3673" i="1"/>
  <c r="H129" i="1"/>
  <c r="H2898" i="1"/>
  <c r="H1406" i="1"/>
  <c r="H649" i="1"/>
  <c r="H950" i="1"/>
  <c r="H1740" i="1"/>
  <c r="H1464" i="1"/>
  <c r="H1901" i="1"/>
  <c r="H2522" i="1"/>
  <c r="H1469" i="1"/>
  <c r="H3009" i="1"/>
  <c r="H1947" i="1"/>
  <c r="H3227" i="1"/>
  <c r="H2540" i="1"/>
  <c r="H3088" i="1"/>
  <c r="H2287" i="1"/>
  <c r="H2519" i="1"/>
  <c r="H4077" i="1"/>
  <c r="H2840" i="1"/>
  <c r="H470" i="1"/>
  <c r="H3327" i="1"/>
  <c r="H1926" i="1"/>
  <c r="H684" i="1"/>
  <c r="H1849" i="1"/>
  <c r="H2146" i="1"/>
  <c r="H1929" i="1"/>
  <c r="H2660" i="1"/>
  <c r="H2278" i="1"/>
  <c r="H131" i="1"/>
  <c r="H1451" i="1"/>
  <c r="H2837" i="1"/>
  <c r="H111" i="1"/>
  <c r="H71" i="1"/>
  <c r="H1388" i="1"/>
  <c r="H153" i="1"/>
  <c r="H1774" i="1"/>
  <c r="H1984" i="1"/>
  <c r="H2598" i="1"/>
  <c r="H1753" i="1"/>
  <c r="H3133" i="1"/>
  <c r="H988" i="1"/>
  <c r="H966" i="1"/>
  <c r="H349" i="1"/>
  <c r="H2109" i="1"/>
  <c r="H3520" i="1"/>
  <c r="H3008" i="1"/>
  <c r="H3158" i="1"/>
  <c r="H2548" i="1"/>
  <c r="H1640" i="1"/>
  <c r="H1409" i="1"/>
  <c r="H2455" i="1"/>
  <c r="H1732" i="1"/>
  <c r="H1443" i="1"/>
  <c r="H2527" i="1"/>
  <c r="H2580" i="1"/>
  <c r="H4134" i="1"/>
  <c r="H4049" i="1"/>
  <c r="H104" i="1"/>
  <c r="H1362" i="1"/>
  <c r="H4048" i="1"/>
  <c r="H3602" i="1"/>
  <c r="H2389" i="1"/>
  <c r="H4027" i="1"/>
  <c r="H3498" i="1"/>
  <c r="H3536" i="1"/>
  <c r="H3733" i="1"/>
  <c r="H1338" i="1"/>
  <c r="H3631" i="1"/>
  <c r="H3829" i="1"/>
  <c r="H1386" i="1"/>
  <c r="H3925" i="1"/>
  <c r="H2308" i="1"/>
  <c r="H3037" i="1"/>
  <c r="H3884" i="1"/>
  <c r="H2073" i="1"/>
  <c r="H790" i="1"/>
  <c r="H1339" i="1"/>
  <c r="H392" i="1"/>
  <c r="H563" i="1"/>
  <c r="H1503" i="1"/>
  <c r="H677" i="1"/>
  <c r="H1802" i="1"/>
  <c r="H2347" i="1"/>
  <c r="H854" i="1"/>
  <c r="H2834" i="1"/>
  <c r="H1814" i="1"/>
  <c r="H3110" i="1"/>
  <c r="H2309" i="1"/>
  <c r="H2889" i="1"/>
  <c r="H2103" i="1"/>
  <c r="H2252" i="1"/>
  <c r="H4025" i="1"/>
  <c r="H2769" i="1"/>
  <c r="H2824" i="1"/>
  <c r="H3213" i="1"/>
  <c r="H2028" i="1"/>
  <c r="H2856" i="1"/>
  <c r="H2780" i="1"/>
  <c r="H2783" i="1"/>
  <c r="H2215" i="1"/>
  <c r="H2216" i="1"/>
  <c r="H1619" i="1"/>
  <c r="H964" i="1"/>
  <c r="H1333" i="1"/>
  <c r="H730" i="1"/>
  <c r="H2148" i="1"/>
  <c r="H2195" i="1"/>
  <c r="H1384" i="1"/>
  <c r="H3472" i="1"/>
  <c r="H3332" i="1"/>
  <c r="H2722" i="1"/>
  <c r="H3236" i="1"/>
  <c r="H738" i="1"/>
  <c r="H1452" i="1"/>
  <c r="H3591" i="1"/>
  <c r="H3877" i="1"/>
  <c r="H3383" i="1"/>
  <c r="H3035" i="1"/>
  <c r="H4018" i="1"/>
  <c r="H752" i="1"/>
  <c r="H2754" i="1"/>
  <c r="H165" i="1"/>
  <c r="H179" i="1"/>
  <c r="H1438" i="1"/>
  <c r="H278" i="1"/>
  <c r="H1842" i="1"/>
  <c r="H2077" i="1"/>
  <c r="H2629" i="1"/>
  <c r="H1825" i="1"/>
  <c r="H3226" i="1"/>
  <c r="H2141" i="1"/>
  <c r="H3348" i="1"/>
  <c r="H3103" i="1"/>
  <c r="H3261" i="1"/>
  <c r="H2430" i="1"/>
  <c r="H2882" i="1"/>
  <c r="H2425" i="1"/>
  <c r="H3290" i="1"/>
  <c r="H1886" i="1"/>
  <c r="H3482" i="1"/>
  <c r="H1895" i="1"/>
  <c r="H1424" i="1"/>
  <c r="H2892" i="1"/>
  <c r="H3434" i="1"/>
  <c r="H2552" i="1"/>
  <c r="H103" i="1"/>
  <c r="H3156" i="1"/>
  <c r="H4010" i="1"/>
  <c r="H3394" i="1"/>
  <c r="H2724" i="1"/>
  <c r="H245" i="1"/>
  <c r="H508" i="1"/>
  <c r="H1599" i="1"/>
  <c r="H930" i="1"/>
  <c r="H1951" i="1"/>
  <c r="H2159" i="1"/>
  <c r="H2784" i="1"/>
  <c r="H1971" i="1"/>
  <c r="H3331" i="1"/>
  <c r="H2333" i="1"/>
  <c r="H3412" i="1"/>
  <c r="H558" i="1"/>
  <c r="H2106" i="1"/>
  <c r="H31" i="1"/>
  <c r="H2121" i="1"/>
  <c r="H2011" i="1"/>
  <c r="H651" i="1"/>
  <c r="H1420" i="1"/>
  <c r="H1773" i="1"/>
  <c r="H220" i="1"/>
  <c r="H1965" i="1"/>
  <c r="H2524" i="1"/>
  <c r="H238" i="1"/>
  <c r="H1973" i="1"/>
  <c r="H2532" i="1"/>
  <c r="H2515" i="1"/>
  <c r="H4053" i="1"/>
  <c r="H4067" i="1"/>
  <c r="H3346" i="1"/>
  <c r="H672" i="1"/>
  <c r="H2899" i="1"/>
  <c r="H3453" i="1"/>
  <c r="H1665" i="1"/>
  <c r="H3873" i="1"/>
  <c r="H2770" i="1"/>
  <c r="H2334" i="1"/>
  <c r="H3901" i="1"/>
  <c r="H3927" i="1"/>
  <c r="H4097" i="1"/>
  <c r="H3456" i="1"/>
  <c r="H3828" i="1"/>
  <c r="H4058" i="1"/>
  <c r="H3344" i="1"/>
  <c r="H3440" i="1"/>
  <c r="H2398" i="1"/>
  <c r="H1881" i="1"/>
  <c r="H1821" i="1"/>
  <c r="H3287" i="1"/>
  <c r="H2469" i="1"/>
  <c r="H175" i="1"/>
  <c r="H36" i="1"/>
  <c r="H778" i="1"/>
  <c r="H1344" i="1"/>
  <c r="H2" i="1"/>
  <c r="H1597" i="1"/>
  <c r="H1928" i="1"/>
  <c r="H2557" i="1"/>
  <c r="H1635" i="1"/>
  <c r="H3100" i="1"/>
  <c r="H1986" i="1"/>
  <c r="H3251" i="1"/>
  <c r="H2771" i="1"/>
  <c r="H3161" i="1"/>
  <c r="H2344" i="1"/>
  <c r="H2649" i="1"/>
  <c r="H1419" i="1"/>
  <c r="H3072" i="1"/>
  <c r="H2272" i="1"/>
  <c r="H3374" i="1"/>
  <c r="H2260" i="1"/>
  <c r="H27" i="1"/>
  <c r="H3107" i="1"/>
  <c r="H3610" i="1"/>
  <c r="H2895" i="1"/>
  <c r="H3365" i="1"/>
  <c r="H1393" i="1"/>
  <c r="H204" i="1"/>
  <c r="H1390" i="1"/>
  <c r="H1501" i="1"/>
  <c r="H1401" i="1"/>
  <c r="H801" i="1"/>
  <c r="H1836" i="1"/>
  <c r="H1813" i="1"/>
  <c r="H1444" i="1"/>
  <c r="H3428" i="1"/>
  <c r="H3233" i="1"/>
  <c r="H1974" i="1"/>
  <c r="H2012" i="1"/>
  <c r="H2259" i="1"/>
  <c r="H1741" i="1"/>
  <c r="H4038" i="1"/>
  <c r="H3066" i="1"/>
  <c r="H2668" i="1"/>
  <c r="H3639" i="1"/>
  <c r="H820" i="1"/>
  <c r="H557" i="1"/>
  <c r="H654" i="1"/>
  <c r="H1747" i="1"/>
  <c r="H1392" i="1"/>
  <c r="H2007" i="1"/>
  <c r="H2265" i="1"/>
  <c r="H2867" i="1"/>
  <c r="H2137" i="1"/>
  <c r="H3387" i="1"/>
  <c r="H2391" i="1"/>
  <c r="H3452" i="1"/>
  <c r="H767" i="1"/>
  <c r="H3426" i="1"/>
  <c r="H2643" i="1"/>
  <c r="H3341" i="1"/>
  <c r="H920" i="1"/>
  <c r="H3532" i="1"/>
  <c r="H1664" i="1"/>
  <c r="H3703" i="1"/>
  <c r="H2687" i="1"/>
  <c r="H3070" i="1"/>
  <c r="H3354" i="1"/>
  <c r="H3932" i="1"/>
  <c r="H3279" i="1"/>
  <c r="H2757" i="1"/>
  <c r="H3725" i="1"/>
  <c r="H1852" i="1"/>
  <c r="H2289" i="1"/>
  <c r="H3576" i="1"/>
  <c r="H924" i="1"/>
  <c r="H1321" i="1"/>
  <c r="H114" i="1"/>
  <c r="H1733" i="1"/>
  <c r="H2194" i="1"/>
  <c r="H782" i="1"/>
  <c r="H981" i="1"/>
  <c r="H1918" i="1"/>
  <c r="H212" i="1"/>
  <c r="H1624" i="1"/>
  <c r="H2832" i="1"/>
  <c r="H2728" i="1"/>
  <c r="H2723" i="1"/>
  <c r="H2326" i="1"/>
  <c r="H4039" i="1"/>
  <c r="H436" i="1"/>
  <c r="H1992" i="1"/>
  <c r="H3355" i="1"/>
  <c r="H505" i="1"/>
  <c r="H1994" i="1"/>
  <c r="H3363" i="1"/>
  <c r="H151" i="1"/>
  <c r="H2370" i="1"/>
  <c r="H106" i="1"/>
  <c r="H934" i="1"/>
  <c r="H788" i="1"/>
  <c r="H2178" i="1"/>
  <c r="H2199" i="1"/>
  <c r="H1500" i="1"/>
  <c r="H4078" i="1"/>
  <c r="H3184" i="1"/>
  <c r="H793" i="1"/>
  <c r="H4080" i="1"/>
  <c r="H1404" i="1"/>
  <c r="H4133" i="1"/>
  <c r="H4100" i="1"/>
  <c r="H4098" i="1"/>
  <c r="H279" i="1"/>
  <c r="H3587" i="1"/>
  <c r="H4050" i="1"/>
  <c r="H3795" i="1"/>
  <c r="H2335" i="1"/>
  <c r="H4132" i="1"/>
  <c r="H96" i="1"/>
  <c r="H239" i="1"/>
  <c r="H456" i="1"/>
  <c r="H1521" i="1"/>
  <c r="H772" i="1"/>
  <c r="H1935" i="1"/>
  <c r="H2149" i="1"/>
  <c r="H2742" i="1"/>
  <c r="H1920" i="1"/>
  <c r="H3307" i="1"/>
  <c r="H2316" i="1"/>
  <c r="H3404" i="1"/>
  <c r="H3335" i="1"/>
  <c r="H3350" i="1"/>
  <c r="H2571" i="1"/>
  <c r="H3112" i="1"/>
  <c r="H469" i="1"/>
  <c r="H3386" i="1"/>
  <c r="H329" i="1"/>
  <c r="H3569" i="1"/>
  <c r="H2402" i="1"/>
  <c r="H2111" i="1"/>
  <c r="H3424" i="1"/>
  <c r="H4124" i="1"/>
  <c r="H3407" i="1"/>
  <c r="H3880" i="1"/>
  <c r="H3471" i="1"/>
  <c r="H757" i="1"/>
  <c r="H174" i="1"/>
  <c r="H630" i="1"/>
  <c r="H1522" i="1"/>
  <c r="H1967" i="1"/>
  <c r="H2253" i="1"/>
  <c r="H2312" i="1"/>
  <c r="H2113" i="1"/>
  <c r="H1489" i="1"/>
  <c r="H3550" i="1"/>
  <c r="H2182" i="1"/>
  <c r="H2810" i="1"/>
  <c r="H2563" i="1"/>
  <c r="H3295" i="1"/>
  <c r="H2706" i="1"/>
  <c r="H3659" i="1"/>
  <c r="H3455" i="1"/>
  <c r="H3575" i="1"/>
  <c r="H3367" i="1"/>
  <c r="H972" i="1"/>
  <c r="H1353" i="1"/>
  <c r="H195" i="1"/>
  <c r="H1758" i="1"/>
  <c r="H2221" i="1"/>
  <c r="H1349" i="1"/>
  <c r="H3168" i="1"/>
  <c r="H2324" i="1"/>
  <c r="H3496" i="1"/>
  <c r="H2614" i="1"/>
  <c r="H3604" i="1"/>
  <c r="H1940" i="1"/>
  <c r="H3601" i="1"/>
  <c r="H3048" i="1"/>
  <c r="H3556" i="1"/>
  <c r="H773" i="1"/>
  <c r="H3761" i="1"/>
  <c r="H2301" i="1"/>
  <c r="H4017" i="1"/>
  <c r="H3422" i="1"/>
  <c r="H3475" i="1"/>
  <c r="H3681" i="1"/>
  <c r="H3593" i="1"/>
  <c r="H3523" i="1"/>
  <c r="H3632" i="1"/>
  <c r="H3981" i="1"/>
  <c r="H2646" i="1"/>
  <c r="H1902" i="1"/>
  <c r="H3693" i="1"/>
  <c r="H196" i="1"/>
  <c r="H1382" i="1"/>
  <c r="H1493" i="1"/>
  <c r="H702" i="1"/>
  <c r="H1890" i="1"/>
  <c r="H2303" i="1"/>
  <c r="H1809" i="1"/>
  <c r="H3345" i="1"/>
  <c r="H2466" i="1"/>
  <c r="H3570" i="1"/>
  <c r="H2691" i="1"/>
  <c r="H172" i="1"/>
  <c r="H1807" i="1"/>
  <c r="H1868" i="1"/>
  <c r="H2288" i="1"/>
  <c r="H2708" i="1"/>
  <c r="H2313" i="1"/>
  <c r="H886" i="1"/>
  <c r="H2220" i="1"/>
  <c r="H2865" i="1"/>
  <c r="H3171" i="1"/>
  <c r="H2617" i="1"/>
  <c r="H2213" i="1"/>
  <c r="H3477" i="1"/>
  <c r="H2850" i="1"/>
  <c r="H6" i="1"/>
  <c r="H3393" i="1"/>
  <c r="H771" i="1"/>
  <c r="H4128" i="1"/>
  <c r="H3969" i="1"/>
  <c r="H1391" i="1"/>
  <c r="H2302" i="1"/>
  <c r="H2853" i="1"/>
  <c r="H3349" i="1"/>
  <c r="H3540" i="1"/>
  <c r="H3222" i="1"/>
  <c r="H3660" i="1"/>
  <c r="H1948" i="1"/>
  <c r="H3961" i="1"/>
  <c r="H2490" i="1"/>
  <c r="H4045" i="1"/>
  <c r="H3606" i="1"/>
  <c r="H3680" i="1"/>
  <c r="H3989" i="1"/>
  <c r="H2217" i="1"/>
  <c r="H3697" i="1"/>
  <c r="H3908" i="1"/>
  <c r="H2644" i="1"/>
  <c r="H1823" i="1"/>
  <c r="H3599" i="1"/>
  <c r="H171" i="1"/>
  <c r="H1800" i="1"/>
  <c r="H17" i="1"/>
  <c r="H2601" i="1"/>
  <c r="H3021" i="1"/>
  <c r="H3288" i="1"/>
  <c r="H3967" i="1"/>
  <c r="H1446" i="1"/>
  <c r="H3667" i="1"/>
  <c r="H4004" i="1"/>
  <c r="H1413" i="1"/>
  <c r="H225" i="1"/>
  <c r="H3018" i="1"/>
  <c r="H2562" i="1"/>
  <c r="H685" i="1"/>
  <c r="H3742" i="1"/>
  <c r="H3980" i="1"/>
  <c r="H880" i="1"/>
  <c r="H455" i="1"/>
  <c r="H3366" i="1"/>
  <c r="H1756" i="1"/>
  <c r="H1961" i="1"/>
  <c r="H4110" i="1"/>
  <c r="H1991" i="1"/>
  <c r="H3481" i="1"/>
  <c r="H2809" i="1"/>
  <c r="H3120" i="1"/>
  <c r="H2013" i="1"/>
  <c r="H4056" i="1"/>
  <c r="H407" i="1"/>
  <c r="H2246" i="1"/>
  <c r="H726" i="1"/>
  <c r="H2957" i="1"/>
  <c r="H1478" i="1"/>
  <c r="H2032" i="1"/>
  <c r="H3439" i="1"/>
  <c r="H1365" i="1"/>
  <c r="H2348" i="1"/>
  <c r="H1969" i="1"/>
  <c r="H3814" i="1"/>
  <c r="H859" i="1"/>
  <c r="H3062" i="1"/>
  <c r="H761" i="1"/>
  <c r="H2461" i="1"/>
  <c r="H3840" i="1"/>
  <c r="H724" i="1"/>
  <c r="H2062" i="1"/>
  <c r="H3080" i="1"/>
  <c r="H655" i="1"/>
  <c r="H1977" i="1"/>
  <c r="H2859" i="1"/>
  <c r="H478" i="1"/>
  <c r="H1996" i="1"/>
  <c r="H2790" i="1"/>
  <c r="H270" i="1"/>
  <c r="H1380" i="1"/>
  <c r="H2510" i="1"/>
  <c r="H18" i="1"/>
  <c r="H759" i="1"/>
  <c r="H2061" i="1"/>
  <c r="H2922" i="1"/>
  <c r="H359" i="1"/>
  <c r="H1520" i="1"/>
  <c r="H2653" i="1"/>
  <c r="H3473" i="1"/>
  <c r="H289" i="1"/>
  <c r="H191" i="1"/>
  <c r="H3585" i="1"/>
  <c r="H418" i="1"/>
  <c r="H2468" i="1"/>
  <c r="H8" i="1"/>
  <c r="H882" i="1"/>
  <c r="H2237" i="1"/>
  <c r="H3074" i="1"/>
  <c r="H3993" i="1"/>
  <c r="H1574" i="1"/>
  <c r="H574" i="1"/>
  <c r="H545" i="1"/>
  <c r="H1798" i="1"/>
  <c r="H2736" i="1"/>
  <c r="H3543" i="1"/>
  <c r="H264" i="1"/>
  <c r="H2494" i="1"/>
  <c r="H2720" i="1"/>
  <c r="H3577" i="1"/>
  <c r="H815" i="1"/>
  <c r="H3023" i="1"/>
  <c r="H352" i="1"/>
  <c r="H1435" i="1"/>
  <c r="H2665" i="1"/>
  <c r="H290" i="1"/>
  <c r="H276" i="1"/>
  <c r="H3572" i="1"/>
  <c r="H3192" i="1"/>
  <c r="H537" i="1"/>
  <c r="H217" i="1"/>
  <c r="H1934" i="1"/>
  <c r="H1909" i="1"/>
  <c r="H2063" i="1"/>
  <c r="H2817" i="1"/>
  <c r="H10" i="1"/>
  <c r="H3419" i="1"/>
  <c r="H3445" i="1"/>
  <c r="H3352" i="1"/>
  <c r="H2619" i="1"/>
  <c r="H3507" i="1"/>
  <c r="H2818" i="1"/>
  <c r="H1738" i="1"/>
  <c r="H2541" i="1"/>
  <c r="H492" i="1"/>
  <c r="H3731" i="1"/>
  <c r="H3089" i="1"/>
  <c r="H2122" i="1"/>
  <c r="H2727" i="1"/>
  <c r="H3308" i="1"/>
  <c r="H1752" i="1"/>
  <c r="H365" i="1"/>
  <c r="H1870" i="1"/>
  <c r="H3921" i="1"/>
  <c r="H2520" i="1"/>
  <c r="H1513" i="1"/>
  <c r="H2868" i="1"/>
  <c r="H3040" i="1"/>
  <c r="H3949" i="1"/>
  <c r="H4024" i="1"/>
  <c r="H4136" i="1"/>
  <c r="H3634" i="1"/>
  <c r="H3931" i="1"/>
  <c r="H737" i="1"/>
  <c r="H3831" i="1"/>
  <c r="H3675" i="1"/>
  <c r="H2828" i="1"/>
  <c r="H2766" i="1"/>
  <c r="H202" i="1"/>
  <c r="H1985" i="1"/>
  <c r="H3126" i="1"/>
  <c r="H3414" i="1"/>
  <c r="H3692" i="1"/>
  <c r="H2314" i="1"/>
  <c r="H2618" i="1"/>
  <c r="H2735" i="1"/>
  <c r="H457" i="1"/>
  <c r="H3730" i="1"/>
  <c r="H504" i="1"/>
  <c r="H1483" i="1"/>
  <c r="H2160" i="1"/>
  <c r="H2426" i="1"/>
  <c r="H4031" i="1"/>
  <c r="H2909" i="1"/>
  <c r="H3755" i="1"/>
  <c r="H3962" i="1"/>
  <c r="H2567" i="1"/>
  <c r="H3238" i="1"/>
  <c r="H1482" i="1"/>
  <c r="H3235" i="1"/>
  <c r="H2947" i="1"/>
  <c r="H2564" i="1"/>
  <c r="H2765" i="1"/>
  <c r="H980" i="1"/>
  <c r="H3769" i="1"/>
  <c r="H3409" i="1"/>
  <c r="H4030" i="1"/>
  <c r="H1867" i="1"/>
  <c r="H3356" i="1"/>
  <c r="H3306" i="1"/>
  <c r="H3524" i="1"/>
  <c r="H3127" i="1"/>
  <c r="H2277" i="1"/>
  <c r="H3384" i="1"/>
  <c r="H2232" i="1"/>
  <c r="H3515" i="1"/>
  <c r="H503" i="1"/>
  <c r="H1887" i="1"/>
  <c r="H4021" i="1"/>
  <c r="H747" i="1"/>
  <c r="H2705" i="1"/>
  <c r="H3031" i="1"/>
  <c r="H20" i="1"/>
  <c r="H830" i="1"/>
  <c r="H2352" i="1"/>
  <c r="H3209" i="1"/>
  <c r="H754" i="1"/>
  <c r="H2096" i="1"/>
  <c r="H2926" i="1"/>
  <c r="H693" i="1"/>
  <c r="H2089" i="1"/>
  <c r="H2886" i="1"/>
  <c r="H355" i="1"/>
  <c r="H1519" i="1"/>
  <c r="H2676" i="1"/>
  <c r="H120" i="1"/>
  <c r="H893" i="1"/>
  <c r="H2165" i="1"/>
  <c r="H3098" i="1"/>
  <c r="H487" i="1"/>
  <c r="H1724" i="1"/>
  <c r="H2746" i="1"/>
  <c r="H3712" i="1"/>
  <c r="H1916" i="1"/>
  <c r="H399" i="1"/>
  <c r="H3723" i="1"/>
  <c r="H3188" i="1"/>
  <c r="H3958" i="1"/>
  <c r="H108" i="1"/>
  <c r="H984" i="1"/>
  <c r="H2416" i="1"/>
  <c r="H3138" i="1"/>
  <c r="H4117" i="1"/>
  <c r="H1658" i="1"/>
  <c r="H3431" i="1"/>
  <c r="H776" i="1"/>
  <c r="H1954" i="1"/>
  <c r="H2920" i="1"/>
  <c r="H3694" i="1"/>
  <c r="H3054" i="1"/>
  <c r="H1475" i="1"/>
  <c r="H746" i="1"/>
  <c r="H3190" i="1"/>
  <c r="H2428" i="1"/>
  <c r="H723" i="1"/>
  <c r="H488" i="1"/>
  <c r="H393" i="1"/>
  <c r="H3364" i="1"/>
  <c r="H506" i="1"/>
  <c r="H2800" i="1"/>
  <c r="H3359" i="1"/>
  <c r="H1788" i="1"/>
  <c r="H2731" i="1"/>
  <c r="H1480" i="1"/>
  <c r="H2492" i="1"/>
  <c r="H1820" i="1"/>
  <c r="H3903" i="1"/>
  <c r="H1363" i="1"/>
  <c r="H2491" i="1"/>
  <c r="H3293" i="1"/>
  <c r="H2401" i="1"/>
  <c r="H791" i="1"/>
  <c r="H394" i="1"/>
  <c r="H3701" i="1"/>
  <c r="H3902" i="1"/>
  <c r="H3886" i="1"/>
  <c r="H1342" i="1"/>
  <c r="H3451" i="1"/>
  <c r="H3555" i="1"/>
  <c r="H2286" i="1"/>
  <c r="H1837" i="1"/>
  <c r="H2345" i="1"/>
  <c r="H4043" i="1"/>
  <c r="H2791" i="1"/>
  <c r="H4068" i="1"/>
  <c r="H3230" i="1"/>
  <c r="H3016" i="1"/>
  <c r="H1801" i="1"/>
  <c r="H3134" i="1"/>
  <c r="H3592" i="1"/>
  <c r="H3468" i="1"/>
  <c r="H2782" i="1"/>
  <c r="H2001" i="1"/>
  <c r="H1428" i="1"/>
  <c r="H2761" i="1"/>
  <c r="H1366" i="1"/>
  <c r="H1995" i="1"/>
  <c r="H2744" i="1"/>
  <c r="H3583" i="1"/>
  <c r="H1880" i="1"/>
  <c r="H4135" i="1"/>
  <c r="H1504" i="1"/>
  <c r="H3987" i="1"/>
  <c r="H3790" i="1"/>
  <c r="H3942" i="1"/>
  <c r="H2873" i="1"/>
  <c r="H881" i="1"/>
  <c r="H2310" i="1"/>
  <c r="H2836" i="1"/>
  <c r="H3165" i="1"/>
  <c r="H4057" i="1"/>
  <c r="H4042" i="1"/>
  <c r="H3392" i="1"/>
  <c r="H3696" i="1"/>
  <c r="H1812" i="1"/>
  <c r="H1440" i="1"/>
  <c r="H1911" i="1"/>
  <c r="H2721" i="1"/>
  <c r="H3015" i="1"/>
  <c r="H1993" i="1"/>
  <c r="H3568" i="1"/>
  <c r="H1769" i="1"/>
  <c r="H3442" i="1"/>
  <c r="H2792" i="1"/>
  <c r="H3239" i="1"/>
  <c r="H2101" i="1"/>
  <c r="H3129" i="1"/>
  <c r="H2306" i="1"/>
  <c r="H2707" i="1"/>
  <c r="H590" i="1"/>
  <c r="H2891" i="1"/>
  <c r="H1766" i="1"/>
  <c r="H3178" i="1"/>
  <c r="H3589" i="1"/>
  <c r="H2394" i="1"/>
  <c r="H3402" i="1"/>
  <c r="H3022" i="1"/>
  <c r="H814" i="1"/>
  <c r="H2628" i="1"/>
  <c r="H3060" i="1"/>
  <c r="H137" i="1"/>
  <c r="H911" i="1"/>
  <c r="H2435" i="1"/>
  <c r="H54" i="1"/>
  <c r="H865" i="1"/>
  <c r="H2380" i="1"/>
  <c r="H3135" i="1"/>
  <c r="H831" i="1"/>
  <c r="H2269" i="1"/>
  <c r="H3013" i="1"/>
  <c r="H543" i="1"/>
  <c r="H1783" i="1"/>
  <c r="H2796" i="1"/>
  <c r="H286" i="1"/>
  <c r="H944" i="1"/>
  <c r="H2418" i="1"/>
  <c r="H3207" i="1"/>
  <c r="H689" i="1"/>
  <c r="H2044" i="1"/>
  <c r="H2915" i="1"/>
  <c r="H3893" i="1"/>
  <c r="H1539" i="1"/>
  <c r="H338" i="1"/>
  <c r="H3905" i="1"/>
  <c r="H1540" i="1"/>
  <c r="H3323" i="1"/>
  <c r="H295" i="1"/>
  <c r="H1486" i="1"/>
  <c r="H2507" i="1"/>
  <c r="H3305" i="1"/>
  <c r="H2006" i="1"/>
  <c r="H1861" i="1"/>
  <c r="H3480" i="1"/>
  <c r="H800" i="1"/>
  <c r="H2110" i="1"/>
  <c r="H3097" i="1"/>
  <c r="H3822" i="1"/>
  <c r="H634" i="1"/>
  <c r="H177" i="1"/>
  <c r="H128" i="1"/>
  <c r="H2294" i="1"/>
  <c r="H843" i="1"/>
  <c r="H3979" i="1"/>
  <c r="H691" i="1"/>
  <c r="H2031" i="1"/>
  <c r="H2980" i="1"/>
  <c r="H541" i="1"/>
  <c r="H2701" i="1"/>
  <c r="H816" i="1"/>
  <c r="H2535" i="1"/>
  <c r="H1851" i="1"/>
  <c r="H3754" i="1"/>
  <c r="H1779" i="1"/>
  <c r="H1712" i="1"/>
  <c r="H2531" i="1"/>
  <c r="H2534" i="1"/>
  <c r="H2108" i="1"/>
  <c r="H3513" i="1"/>
  <c r="H3669" i="1"/>
  <c r="H1803" i="1"/>
  <c r="H474" i="1"/>
  <c r="H2350" i="1"/>
  <c r="H3706" i="1"/>
  <c r="H1981" i="1"/>
  <c r="H2768" i="1"/>
  <c r="H2193" i="1"/>
  <c r="H4028" i="1"/>
  <c r="H3635" i="1"/>
  <c r="H735" i="1"/>
  <c r="H2231" i="1"/>
  <c r="H1385" i="1"/>
  <c r="H1455" i="1"/>
  <c r="H2615" i="1"/>
  <c r="H2395" i="1"/>
  <c r="H2726" i="1"/>
  <c r="H2703" i="1"/>
  <c r="H3113" i="1"/>
  <c r="H2446" i="1"/>
  <c r="H3418" i="1"/>
  <c r="H16" i="1"/>
  <c r="H210" i="1"/>
  <c r="H2661" i="1"/>
  <c r="H3121" i="1"/>
  <c r="H2336" i="1"/>
  <c r="H3590" i="1"/>
  <c r="H2827" i="1"/>
  <c r="H2872" i="1"/>
  <c r="H3743" i="1"/>
  <c r="H2445" i="1"/>
  <c r="H1318" i="1"/>
  <c r="H3162" i="1"/>
  <c r="H2078" i="1"/>
  <c r="H2410" i="1"/>
  <c r="H583" i="1"/>
  <c r="H2887" i="1"/>
  <c r="H734" i="1"/>
  <c r="H2566" i="1"/>
  <c r="H2147" i="1"/>
  <c r="H4036" i="1"/>
  <c r="H232" i="1"/>
  <c r="H152" i="1"/>
  <c r="H1987" i="1"/>
  <c r="H3965" i="1"/>
  <c r="H1412" i="1"/>
  <c r="H2517" i="1"/>
  <c r="H364" i="1"/>
  <c r="H3698" i="1"/>
  <c r="H1346" i="1"/>
  <c r="H1427" i="1"/>
  <c r="H2530" i="1"/>
  <c r="H3104" i="1"/>
  <c r="H3343" i="1"/>
  <c r="H2808" i="1"/>
  <c r="H3737" i="1"/>
  <c r="H1403" i="1"/>
  <c r="H458" i="1"/>
  <c r="H1423" i="1"/>
  <c r="H173" i="1"/>
  <c r="H2637" i="1"/>
  <c r="H3298" i="1"/>
  <c r="H3495" i="1"/>
  <c r="H1336" i="1"/>
  <c r="H686" i="1"/>
  <c r="H2153" i="1"/>
  <c r="H3102" i="1"/>
  <c r="H2632" i="1"/>
  <c r="H3511" i="1"/>
  <c r="H3726" i="1"/>
  <c r="H2641" i="1"/>
  <c r="H3153" i="1"/>
  <c r="H3028" i="1"/>
  <c r="H3030" i="1"/>
  <c r="H2811" i="1"/>
  <c r="H324" i="1"/>
  <c r="H989" i="1"/>
  <c r="H2528" i="1"/>
  <c r="H247" i="1"/>
  <c r="H921" i="1"/>
  <c r="H2484" i="1"/>
  <c r="H55" i="1"/>
  <c r="H913" i="1"/>
  <c r="H2454" i="1"/>
  <c r="H3203" i="1"/>
  <c r="H708" i="1"/>
  <c r="H2038" i="1"/>
  <c r="H2888" i="1"/>
  <c r="H350" i="1"/>
  <c r="H1671" i="1"/>
  <c r="H2509" i="1"/>
  <c r="H19" i="1"/>
  <c r="H827" i="1"/>
  <c r="H2243" i="1"/>
  <c r="H3086" i="1"/>
  <c r="H4064" i="1"/>
  <c r="H1586" i="1"/>
  <c r="H3463" i="1"/>
  <c r="H3999" i="1"/>
  <c r="H1587" i="1"/>
  <c r="H3464" i="1"/>
  <c r="H379" i="1"/>
  <c r="H1730" i="1"/>
  <c r="H2657" i="1"/>
  <c r="H3541" i="1"/>
  <c r="H525" i="1"/>
  <c r="H2019" i="1"/>
  <c r="H50" i="1"/>
  <c r="H892" i="1"/>
  <c r="H2400" i="1"/>
  <c r="H3223" i="1"/>
  <c r="H3971" i="1"/>
  <c r="H1552" i="1"/>
  <c r="H4041" i="1"/>
  <c r="H846" i="1"/>
  <c r="H818" i="1"/>
  <c r="H2610" i="1"/>
  <c r="H3508" i="1"/>
  <c r="H1894" i="1"/>
  <c r="H3360" i="1"/>
  <c r="H3411" i="1"/>
  <c r="H1479" i="1"/>
  <c r="H2822" i="1"/>
  <c r="H211" i="1"/>
  <c r="H1456" i="1"/>
  <c r="H2128" i="1"/>
  <c r="H3657" i="1"/>
  <c r="H1426" i="1"/>
  <c r="H2406" i="1"/>
  <c r="H3278" i="1"/>
  <c r="H370" i="1"/>
  <c r="H1782" i="1"/>
  <c r="H4026" i="1"/>
  <c r="H2785" i="1"/>
  <c r="H166" i="1"/>
  <c r="H3106" i="1"/>
  <c r="H2102" i="1"/>
  <c r="H2048" i="1"/>
  <c r="H3176" i="1"/>
  <c r="H2597" i="1"/>
  <c r="H3249" i="1"/>
  <c r="H3530" i="1"/>
  <c r="H3416" i="1"/>
  <c r="H1371" i="1"/>
  <c r="H3588" i="1"/>
  <c r="H2452" i="1"/>
  <c r="H2319" i="1"/>
  <c r="H3179" i="1"/>
  <c r="H3765" i="1"/>
  <c r="H3111" i="1"/>
  <c r="H2526" i="1"/>
  <c r="H3566" i="1"/>
  <c r="H3704" i="1"/>
  <c r="H2575" i="1"/>
  <c r="H4116" i="1"/>
  <c r="H169" i="1"/>
  <c r="H2397" i="1"/>
  <c r="H81" i="1"/>
  <c r="H3020" i="1"/>
  <c r="H2904" i="1"/>
  <c r="H2471" i="1"/>
  <c r="H3447" i="1"/>
  <c r="H3448" i="1"/>
  <c r="H2523" i="1"/>
  <c r="H3957" i="1"/>
  <c r="H130" i="1"/>
  <c r="H235" i="1"/>
  <c r="H2762" i="1"/>
  <c r="H2150" i="1"/>
  <c r="H4051" i="1"/>
  <c r="H3985" i="1"/>
  <c r="H1512" i="1"/>
  <c r="H3512" i="1"/>
  <c r="H3067" i="1"/>
  <c r="H4034" i="1"/>
  <c r="H681" i="1"/>
  <c r="H1490" i="1"/>
  <c r="H2317" i="1"/>
  <c r="H1383" i="1"/>
  <c r="H2385" i="1"/>
  <c r="H3381" i="1"/>
  <c r="H2349" i="1"/>
  <c r="H4009" i="1"/>
  <c r="H2254" i="1"/>
  <c r="H193" i="1"/>
  <c r="H1838" i="1"/>
  <c r="H2518" i="1"/>
  <c r="H1966" i="1"/>
  <c r="H3282" i="1"/>
  <c r="H1755" i="1"/>
  <c r="H3395" i="1"/>
  <c r="H3333" i="1"/>
  <c r="H1982" i="1"/>
  <c r="H4011" i="1"/>
  <c r="H2756" i="1"/>
  <c r="H2169" i="1"/>
  <c r="H4040" i="1"/>
  <c r="H2718" i="1"/>
  <c r="H2297" i="1"/>
  <c r="H2267" i="1"/>
  <c r="H372" i="1"/>
  <c r="H1614" i="1"/>
  <c r="H2778" i="1"/>
  <c r="H333" i="1"/>
  <c r="H1394" i="1"/>
  <c r="H2626" i="1"/>
  <c r="H139" i="1"/>
  <c r="H1472" i="1"/>
  <c r="H2569" i="1"/>
  <c r="H15" i="1"/>
  <c r="H822" i="1"/>
  <c r="H2209" i="1"/>
  <c r="H3006" i="1"/>
  <c r="H463" i="1"/>
  <c r="H1765" i="1"/>
  <c r="H2659" i="1"/>
  <c r="H136" i="1"/>
  <c r="H895" i="1"/>
  <c r="H2411" i="1"/>
  <c r="H3216" i="1"/>
  <c r="H3655" i="1"/>
  <c r="H1675" i="1"/>
  <c r="H3846" i="1"/>
  <c r="H4105" i="1"/>
  <c r="H1676" i="1"/>
  <c r="H3847" i="1"/>
  <c r="H544" i="1"/>
  <c r="H1932" i="1"/>
  <c r="H2751" i="1"/>
  <c r="H3718" i="1"/>
  <c r="H2179" i="1"/>
  <c r="H2584" i="1"/>
  <c r="H261" i="1"/>
  <c r="H985" i="1"/>
  <c r="H2482" i="1"/>
  <c r="H3485" i="1"/>
  <c r="H4087" i="1"/>
  <c r="H1595" i="1"/>
  <c r="H948" i="1"/>
  <c r="H3415" i="1"/>
  <c r="H3516" i="1"/>
  <c r="H1781" i="1"/>
  <c r="H2651" i="1"/>
  <c r="H2879" i="1"/>
  <c r="H3214" i="1"/>
  <c r="H3909" i="1"/>
  <c r="H946" i="1"/>
  <c r="H3923" i="1"/>
  <c r="H1439" i="1"/>
  <c r="H3633" i="1"/>
  <c r="H2755" i="1"/>
  <c r="H1448" i="1"/>
  <c r="H1317" i="1"/>
  <c r="H2715" i="1"/>
  <c r="H2925" i="1"/>
  <c r="H2695" i="1"/>
  <c r="H1933" i="1"/>
  <c r="H362" i="1"/>
  <c r="H717" i="1"/>
  <c r="H341" i="1"/>
  <c r="H2266" i="1"/>
  <c r="H2839" i="1"/>
  <c r="H937" i="1"/>
  <c r="H3140" i="1"/>
  <c r="H2493" i="1"/>
  <c r="H803" i="1"/>
  <c r="H2039" i="1"/>
  <c r="H918" i="1"/>
  <c r="H2950" i="1"/>
  <c r="H857" i="1"/>
  <c r="H2504" i="1"/>
  <c r="H269" i="1"/>
  <c r="H1840" i="1"/>
  <c r="H2861" i="1"/>
  <c r="H510" i="1"/>
  <c r="H2045" i="1"/>
  <c r="H3043" i="1"/>
  <c r="H711" i="1"/>
  <c r="H2124" i="1"/>
  <c r="H3199" i="1"/>
  <c r="H837" i="1"/>
  <c r="H2434" i="1"/>
  <c r="H3304" i="1"/>
  <c r="H535" i="1"/>
  <c r="H3241" i="1"/>
  <c r="H4007" i="1"/>
  <c r="H1699" i="1"/>
  <c r="H3549" i="1"/>
  <c r="H915" i="1"/>
  <c r="H2487" i="1"/>
  <c r="H3017" i="1"/>
  <c r="H2627" i="1"/>
  <c r="H871" i="1"/>
  <c r="H713" i="1"/>
  <c r="H2511" i="1"/>
  <c r="H569" i="1"/>
  <c r="H2233" i="1"/>
  <c r="H3202" i="1"/>
  <c r="H1374" i="1"/>
  <c r="H2685" i="1"/>
  <c r="H294" i="1"/>
  <c r="H1604" i="1"/>
  <c r="H2854" i="1"/>
  <c r="H413" i="1"/>
  <c r="H1922" i="1"/>
  <c r="H2948" i="1"/>
  <c r="H547" i="1"/>
  <c r="H2094" i="1"/>
  <c r="H3200" i="1"/>
  <c r="H2173" i="1"/>
  <c r="H3521" i="1"/>
  <c r="H2630" i="1"/>
  <c r="H2845" i="1"/>
  <c r="H3841" i="1"/>
  <c r="H2420" i="1"/>
  <c r="H912" i="1"/>
  <c r="H3081" i="1"/>
  <c r="H2036" i="1"/>
  <c r="H140" i="1"/>
  <c r="H2235" i="1"/>
  <c r="H342" i="1"/>
  <c r="H2392" i="1"/>
  <c r="H414" i="1"/>
  <c r="H2438" i="1"/>
  <c r="H41" i="1"/>
  <c r="H572" i="1"/>
  <c r="H311" i="1"/>
  <c r="H564" i="1"/>
  <c r="H709" i="1"/>
  <c r="H2458" i="1"/>
  <c r="H3581" i="1"/>
  <c r="H3806" i="1"/>
  <c r="H440" i="1"/>
  <c r="H688" i="1"/>
  <c r="H2092" i="1"/>
  <c r="H3232" i="1"/>
  <c r="H4111" i="1"/>
  <c r="H1856" i="1"/>
  <c r="H2996" i="1"/>
  <c r="H4120" i="1"/>
  <c r="H1696" i="1"/>
  <c r="H2997" i="1"/>
  <c r="H4072" i="1"/>
  <c r="H1674" i="1"/>
  <c r="H3853" i="1"/>
  <c r="H3708" i="1"/>
  <c r="H1618" i="1"/>
  <c r="H2952" i="1"/>
  <c r="H3897" i="1"/>
  <c r="H1559" i="1"/>
  <c r="H575" i="1"/>
  <c r="H2940" i="1"/>
  <c r="H807" i="1"/>
  <c r="H2556" i="1"/>
  <c r="H928" i="1"/>
  <c r="H325" i="1"/>
  <c r="H2512" i="1"/>
  <c r="H858" i="1"/>
  <c r="H2870" i="1"/>
  <c r="H992" i="1"/>
  <c r="H3073" i="1"/>
  <c r="H1536" i="1"/>
  <c r="H3215" i="1"/>
  <c r="H1714" i="1"/>
  <c r="H3311" i="1"/>
  <c r="H1698" i="1"/>
  <c r="H3913" i="1"/>
  <c r="H1811" i="1"/>
  <c r="H141" i="1"/>
  <c r="H615" i="1"/>
  <c r="H2060" i="1"/>
  <c r="H3794" i="1"/>
  <c r="H3775" i="1"/>
  <c r="H124" i="1"/>
  <c r="H3458" i="1"/>
  <c r="H3378" i="1"/>
  <c r="H44" i="1"/>
  <c r="H2185" i="1"/>
  <c r="H1463" i="1"/>
  <c r="H1492" i="1"/>
  <c r="H1746" i="1"/>
  <c r="H2274" i="1"/>
  <c r="H3234" i="1"/>
  <c r="H1727" i="1"/>
  <c r="H3063" i="1"/>
  <c r="H415" i="1"/>
  <c r="H118" i="1"/>
  <c r="H2737" i="1"/>
  <c r="H1810" i="1"/>
  <c r="H2082" i="1"/>
  <c r="H1534" i="1"/>
  <c r="H805" i="1"/>
  <c r="H3269" i="1"/>
  <c r="H1726" i="1"/>
  <c r="H4" i="1"/>
  <c r="H1988" i="1"/>
  <c r="H2613" i="1"/>
  <c r="H3270" i="1"/>
  <c r="H1529" i="1"/>
  <c r="H3167" i="1"/>
  <c r="H929" i="1"/>
  <c r="H2655" i="1"/>
  <c r="H385" i="1"/>
  <c r="H2054" i="1"/>
  <c r="H2962" i="1"/>
  <c r="H716" i="1"/>
  <c r="H2251" i="1"/>
  <c r="H3181" i="1"/>
  <c r="H855" i="1"/>
  <c r="H2403" i="1"/>
  <c r="H52" i="1"/>
  <c r="H910" i="1"/>
  <c r="H2593" i="1"/>
  <c r="H3687" i="1"/>
  <c r="H1525" i="1"/>
  <c r="H2203" i="1"/>
  <c r="H82" i="1"/>
  <c r="H2186" i="1"/>
  <c r="H67" i="1"/>
  <c r="H1432" i="1"/>
  <c r="H2669" i="1"/>
  <c r="H2292" i="1"/>
  <c r="H797" i="1"/>
  <c r="H554" i="1"/>
  <c r="H875" i="1"/>
  <c r="H2855" i="1"/>
  <c r="H795" i="1"/>
  <c r="H2436" i="1"/>
  <c r="H107" i="1"/>
  <c r="H1616" i="1"/>
  <c r="H2795" i="1"/>
  <c r="H397" i="1"/>
  <c r="H1888" i="1"/>
  <c r="H2956" i="1"/>
  <c r="H659" i="1"/>
  <c r="H2084" i="1"/>
  <c r="H3123" i="1"/>
  <c r="H712" i="1"/>
  <c r="H2359" i="1"/>
  <c r="H3210" i="1"/>
  <c r="H417" i="1"/>
  <c r="H209" i="1"/>
  <c r="H147" i="1"/>
  <c r="H809" i="1"/>
  <c r="H348" i="1"/>
  <c r="H2789" i="1"/>
  <c r="H1602" i="1"/>
  <c r="H84" i="1"/>
  <c r="H2354" i="1"/>
  <c r="H386" i="1"/>
  <c r="H2505" i="1"/>
  <c r="H581" i="1"/>
  <c r="H2624" i="1"/>
  <c r="H707" i="1"/>
  <c r="H2777" i="1"/>
  <c r="H310" i="1"/>
  <c r="H1725" i="1"/>
  <c r="H529" i="1"/>
  <c r="H3664" i="1"/>
  <c r="H900" i="1"/>
  <c r="H2633" i="1"/>
  <c r="H3735" i="1"/>
  <c r="H1550" i="1"/>
  <c r="H3338" i="1"/>
  <c r="H758" i="1"/>
  <c r="H2417" i="1"/>
  <c r="H3561" i="1"/>
  <c r="H3459" i="1"/>
  <c r="H2130" i="1"/>
  <c r="H591" i="1"/>
  <c r="H3460" i="1"/>
  <c r="H3614" i="1"/>
  <c r="H592" i="1"/>
  <c r="H90" i="1"/>
  <c r="H1808" i="1"/>
  <c r="H3573" i="1"/>
  <c r="H3871" i="1"/>
  <c r="H1573" i="1"/>
  <c r="H439" i="1"/>
  <c r="H3977" i="1"/>
  <c r="H1637" i="1"/>
  <c r="H2057" i="1"/>
  <c r="H2140" i="1"/>
  <c r="H798" i="1"/>
  <c r="H2291" i="1"/>
  <c r="H1865" i="1"/>
  <c r="H663" i="1"/>
  <c r="H2741" i="1"/>
  <c r="H1433" i="1"/>
  <c r="H3172" i="1"/>
  <c r="H1607" i="1"/>
  <c r="H59" i="1"/>
  <c r="H1955" i="1"/>
  <c r="H3959" i="1"/>
  <c r="H339" i="1"/>
  <c r="H1869" i="1"/>
  <c r="H3478" i="1"/>
  <c r="H2331" i="1"/>
  <c r="H3630" i="1"/>
  <c r="H2709" i="1"/>
  <c r="H1879" i="1"/>
  <c r="H3454" i="1"/>
  <c r="H3960" i="1"/>
  <c r="H3876" i="1"/>
  <c r="H3083" i="1"/>
  <c r="H2905" i="1"/>
  <c r="H3567" i="1"/>
  <c r="H2830" i="1"/>
  <c r="H1660" i="1"/>
  <c r="H914" i="1"/>
  <c r="H242" i="1"/>
  <c r="H2546" i="1"/>
  <c r="H2852" i="1"/>
  <c r="H2636" i="1"/>
  <c r="H2183" i="1"/>
  <c r="H80" i="1"/>
  <c r="H2127" i="1"/>
  <c r="H138" i="1"/>
  <c r="H3194" i="1"/>
  <c r="H3191" i="1"/>
  <c r="H145" i="1"/>
  <c r="H1957" i="1"/>
  <c r="H61" i="1"/>
  <c r="H1471" i="1"/>
  <c r="H2759" i="1"/>
  <c r="H656" i="1"/>
  <c r="H2249" i="1"/>
  <c r="H3211" i="1"/>
  <c r="H869" i="1"/>
  <c r="H2476" i="1"/>
  <c r="H86" i="1"/>
  <c r="H935" i="1"/>
  <c r="H2591" i="1"/>
  <c r="H160" i="1"/>
  <c r="H1350" i="1"/>
  <c r="H2713" i="1"/>
  <c r="H3867" i="1"/>
  <c r="H1537" i="1"/>
  <c r="H3862" i="1"/>
  <c r="H3788" i="1"/>
  <c r="H652" i="1"/>
  <c r="H271" i="1"/>
  <c r="H1763" i="1"/>
  <c r="H2642" i="1"/>
  <c r="H2844" i="1"/>
  <c r="H2184" i="1"/>
  <c r="H3939" i="1"/>
  <c r="H954" i="1"/>
  <c r="H3007" i="1"/>
  <c r="H897" i="1"/>
  <c r="H2558" i="1"/>
  <c r="H334" i="1"/>
  <c r="H2005" i="1"/>
  <c r="H2913" i="1"/>
  <c r="H666" i="1"/>
  <c r="H2098" i="1"/>
  <c r="H3082" i="1"/>
  <c r="H775" i="1"/>
  <c r="H2341" i="1"/>
  <c r="H3259" i="1"/>
  <c r="H874" i="1"/>
  <c r="H2473" i="1"/>
  <c r="H3489" i="1"/>
  <c r="H3803" i="1"/>
  <c r="H437" i="1"/>
  <c r="H4082" i="1"/>
  <c r="H2423" i="1"/>
  <c r="H548" i="1"/>
  <c r="H3125" i="1"/>
  <c r="H2053" i="1"/>
  <c r="H360" i="1"/>
  <c r="H2579" i="1"/>
  <c r="H701" i="1"/>
  <c r="H2223" i="1"/>
  <c r="H836" i="1"/>
  <c r="H2776" i="1"/>
  <c r="H902" i="1"/>
  <c r="H3079" i="1"/>
  <c r="H4014" i="1"/>
  <c r="H3559" i="1"/>
  <c r="H1564" i="1"/>
  <c r="H2547" i="1"/>
  <c r="H1416" i="1"/>
  <c r="H2224" i="1"/>
  <c r="H3896" i="1"/>
  <c r="H1645" i="1"/>
  <c r="H3891" i="1"/>
  <c r="H894" i="1"/>
  <c r="H2508" i="1"/>
  <c r="H3316" i="1"/>
  <c r="H514" i="1"/>
  <c r="H3789" i="1"/>
  <c r="H3646" i="1"/>
  <c r="H3793" i="1"/>
  <c r="H3033" i="1"/>
  <c r="H3318" i="1"/>
  <c r="H309" i="1"/>
  <c r="H2023" i="1"/>
  <c r="H3548" i="1"/>
  <c r="H3975" i="1"/>
  <c r="H1657" i="1"/>
  <c r="H2205" i="1"/>
  <c r="H4102" i="1"/>
  <c r="H1694" i="1"/>
  <c r="H3034" i="1"/>
  <c r="H3400" i="1"/>
  <c r="H806" i="1"/>
  <c r="H2037" i="1"/>
  <c r="H2245" i="1"/>
  <c r="H877" i="1"/>
  <c r="H2917" i="1"/>
  <c r="H1959" i="1"/>
  <c r="H56" i="1"/>
  <c r="H2081" i="1"/>
  <c r="H297" i="1"/>
  <c r="H2156" i="1"/>
  <c r="H331" i="1"/>
  <c r="H2451" i="1"/>
  <c r="H4090" i="1"/>
  <c r="H2988" i="1"/>
  <c r="H3518" i="1"/>
  <c r="H181" i="1"/>
  <c r="H435" i="1"/>
  <c r="H2568" i="1"/>
  <c r="H3702" i="1"/>
  <c r="H3036" i="1"/>
  <c r="H2276" i="1"/>
  <c r="H1815" i="1"/>
  <c r="H3885" i="1"/>
  <c r="H4066" i="1"/>
  <c r="H970" i="1"/>
  <c r="H3620" i="1"/>
  <c r="H1904" i="1"/>
  <c r="H973" i="1"/>
  <c r="H2041" i="1"/>
  <c r="H2692" i="1"/>
  <c r="H2366" i="1"/>
  <c r="H953" i="1"/>
  <c r="H363" i="1"/>
  <c r="H3820" i="1"/>
  <c r="H3774" i="1"/>
  <c r="H3571" i="1"/>
  <c r="H267" i="1"/>
  <c r="H2407" i="1"/>
  <c r="H384" i="1"/>
  <c r="H2704" i="1"/>
  <c r="H3578" i="1"/>
  <c r="H358" i="1"/>
  <c r="H2131" i="1"/>
  <c r="H300" i="1"/>
  <c r="H1866" i="1"/>
  <c r="H3001" i="1"/>
  <c r="H824" i="1"/>
  <c r="H2477" i="1"/>
  <c r="H47" i="1"/>
  <c r="H983" i="1"/>
  <c r="H2621" i="1"/>
  <c r="H273" i="1"/>
  <c r="H1535" i="1"/>
  <c r="H2679" i="1"/>
  <c r="H323" i="1"/>
  <c r="H1668" i="1"/>
  <c r="H2874" i="1"/>
  <c r="H4074" i="1"/>
  <c r="H1691" i="1"/>
  <c r="H3492" i="1"/>
  <c r="H1917" i="1"/>
  <c r="H2227" i="1"/>
  <c r="H387" i="1"/>
  <c r="H1998" i="1"/>
  <c r="H1476" i="1"/>
  <c r="H3005" i="1"/>
  <c r="H3169" i="1"/>
  <c r="H58" i="1"/>
  <c r="H1669" i="1"/>
  <c r="H3260" i="1"/>
  <c r="H1352" i="1"/>
  <c r="H2684" i="1"/>
  <c r="H490" i="1"/>
  <c r="H2132" i="1"/>
  <c r="H3136" i="1"/>
  <c r="H786" i="1"/>
  <c r="H2355" i="1"/>
  <c r="H51" i="1"/>
  <c r="H909" i="1"/>
  <c r="H2472" i="1"/>
  <c r="H163" i="1"/>
  <c r="H941" i="1"/>
  <c r="H2664" i="1"/>
  <c r="H3780" i="1"/>
  <c r="H1563" i="1"/>
  <c r="H3061" i="1"/>
  <c r="H2812" i="1"/>
  <c r="H2290" i="1"/>
  <c r="H864" i="1"/>
  <c r="H162" i="1"/>
  <c r="H2413" i="1"/>
  <c r="H715" i="1"/>
  <c r="H2779" i="1"/>
  <c r="H899" i="1"/>
  <c r="H2918" i="1"/>
  <c r="H986" i="1"/>
  <c r="H3115" i="1"/>
  <c r="H1442" i="1"/>
  <c r="H3317" i="1"/>
  <c r="H1642" i="1"/>
  <c r="H3818" i="1"/>
  <c r="H2071" i="1"/>
  <c r="H57" i="1"/>
  <c r="H1828" i="1"/>
  <c r="H2911" i="1"/>
  <c r="H4094" i="1"/>
  <c r="H1854" i="1"/>
  <c r="H77" i="1"/>
  <c r="H1377" i="1"/>
  <c r="H2688" i="1"/>
  <c r="H3645" i="1"/>
  <c r="H3800" i="1"/>
  <c r="H2033" i="1"/>
  <c r="H3751" i="1"/>
  <c r="H527" i="1"/>
  <c r="H3834" i="1"/>
  <c r="H3714" i="1"/>
  <c r="H1944" i="1"/>
  <c r="H627" i="1"/>
  <c r="H2589" i="1"/>
  <c r="H4084" i="1"/>
  <c r="H1834" i="1"/>
  <c r="H3586" i="1"/>
  <c r="H3266" i="1"/>
  <c r="H187" i="1"/>
  <c r="H3002" i="1"/>
  <c r="H485" i="1"/>
  <c r="H2612" i="1"/>
  <c r="H115" i="1"/>
  <c r="H2577" i="1"/>
  <c r="H1370" i="1"/>
  <c r="H14" i="1"/>
  <c r="H2208" i="1"/>
  <c r="H302" i="1"/>
  <c r="H4005" i="1"/>
  <c r="H680" i="1"/>
  <c r="H176" i="1"/>
  <c r="H1930" i="1"/>
  <c r="H2928" i="1"/>
  <c r="H2157" i="1"/>
  <c r="H3429" i="1"/>
  <c r="H2404" i="1"/>
  <c r="H3294" i="1"/>
  <c r="H3986" i="1"/>
  <c r="H3026" i="1"/>
  <c r="H37" i="1"/>
  <c r="H683" i="1"/>
  <c r="H3916" i="1"/>
  <c r="H568" i="1"/>
  <c r="H346" i="1"/>
  <c r="H3095" i="1"/>
  <c r="H2478" i="1"/>
  <c r="H3629" i="1"/>
  <c r="H1631" i="1"/>
  <c r="H38" i="1"/>
  <c r="H2609" i="1"/>
  <c r="H764" i="1"/>
  <c r="H2483" i="1"/>
  <c r="H700" i="1"/>
  <c r="H2813" i="1"/>
  <c r="H2717" i="1"/>
  <c r="H582" i="1"/>
  <c r="H2464" i="1"/>
  <c r="H477" i="1"/>
  <c r="H2079" i="1"/>
  <c r="H3093" i="1"/>
  <c r="H931" i="1"/>
  <c r="H2603" i="1"/>
  <c r="H156" i="1"/>
  <c r="H1473" i="1"/>
  <c r="H2773" i="1"/>
  <c r="H357" i="1"/>
  <c r="H1817" i="1"/>
  <c r="H2787" i="1"/>
  <c r="H433" i="1"/>
  <c r="H1956" i="1"/>
  <c r="H3099" i="1"/>
  <c r="H91" i="1"/>
  <c r="H3616" i="1"/>
  <c r="H3707" i="1"/>
  <c r="H4015" i="1"/>
  <c r="H2204" i="1"/>
  <c r="H657" i="1"/>
  <c r="H2155" i="1"/>
  <c r="H146" i="1"/>
  <c r="H471" i="1"/>
  <c r="H2298" i="1"/>
  <c r="H299" i="1"/>
  <c r="H2052" i="1"/>
  <c r="H237" i="1"/>
  <c r="H1615" i="1"/>
  <c r="H2875" i="1"/>
  <c r="H743" i="1"/>
  <c r="H2362" i="1"/>
  <c r="H3320" i="1"/>
  <c r="H907" i="1"/>
  <c r="H2550" i="1"/>
  <c r="H144" i="1"/>
  <c r="H1378" i="1"/>
  <c r="H2634" i="1"/>
  <c r="H275" i="1"/>
  <c r="H1600" i="1"/>
  <c r="H2788" i="1"/>
  <c r="H3982" i="1"/>
  <c r="H1650" i="1"/>
  <c r="H2424" i="1"/>
  <c r="H762" i="1"/>
  <c r="H2831" i="1"/>
  <c r="H1351" i="1"/>
  <c r="H408" i="1"/>
  <c r="H2638" i="1"/>
  <c r="H906" i="1"/>
  <c r="H2951" i="1"/>
  <c r="H1437" i="1"/>
  <c r="H3173" i="1"/>
  <c r="H1799" i="1"/>
  <c r="H34" i="1"/>
  <c r="H1877" i="1"/>
  <c r="H3640" i="1"/>
  <c r="H3608" i="1"/>
  <c r="H3983" i="1"/>
  <c r="H962" i="1"/>
  <c r="H303" i="1"/>
  <c r="H2040" i="1"/>
  <c r="H3084" i="1"/>
  <c r="H3265" i="1"/>
  <c r="H3811" i="1"/>
  <c r="H287" i="1"/>
  <c r="H1666" i="1"/>
  <c r="H2864" i="1"/>
  <c r="H3777" i="1"/>
  <c r="H1560" i="1"/>
  <c r="H3229" i="1"/>
  <c r="H3890" i="1"/>
  <c r="H1553" i="1"/>
  <c r="H2983" i="1"/>
  <c r="H3779" i="1"/>
  <c r="H1633" i="1"/>
  <c r="H2595" i="1"/>
  <c r="H3313" i="1"/>
  <c r="H3264" i="1"/>
  <c r="H2187" i="1"/>
  <c r="H3479" i="1"/>
  <c r="H513" i="1"/>
  <c r="H2386" i="1"/>
  <c r="H2966" i="1"/>
  <c r="H1989" i="1"/>
  <c r="H884" i="1"/>
  <c r="H383" i="1"/>
  <c r="H2960" i="1"/>
  <c r="H1899" i="1"/>
  <c r="H291" i="1"/>
  <c r="H2485" i="1"/>
  <c r="H550" i="1"/>
  <c r="H2658" i="1"/>
  <c r="H719" i="1"/>
  <c r="H2689" i="1"/>
  <c r="H856" i="1"/>
  <c r="H2924" i="1"/>
  <c r="H1528" i="1"/>
  <c r="H3574" i="1"/>
  <c r="H486" i="1"/>
  <c r="H2383" i="1"/>
  <c r="H3218" i="1"/>
  <c r="H2876" i="1"/>
  <c r="H714" i="1"/>
  <c r="H1762" i="1"/>
  <c r="H2263" i="1"/>
  <c r="H3863" i="1"/>
  <c r="H476" i="1"/>
  <c r="H2513" i="1"/>
  <c r="H2711" i="1"/>
  <c r="H123" i="1"/>
  <c r="H1603" i="1"/>
  <c r="H2351" i="1"/>
  <c r="H2270" i="1"/>
  <c r="H3085" i="1"/>
  <c r="H465" i="1"/>
  <c r="H559" i="1"/>
  <c r="H810" i="1"/>
  <c r="H799" i="1"/>
  <c r="H2959" i="1"/>
  <c r="H3208" i="1"/>
  <c r="H3672" i="1"/>
  <c r="H1900" i="1"/>
  <c r="H834" i="1"/>
  <c r="H2551" i="1"/>
  <c r="H3682" i="1"/>
  <c r="H3808" i="1"/>
  <c r="H3466" i="1"/>
  <c r="H718" i="1"/>
  <c r="H2239" i="1"/>
  <c r="H3315" i="1"/>
  <c r="H3652" i="1"/>
  <c r="H3613" i="1"/>
  <c r="H1790" i="1"/>
  <c r="H39" i="1"/>
  <c r="H1831" i="1"/>
  <c r="H3546" i="1"/>
  <c r="H3649" i="1"/>
  <c r="H1697" i="1"/>
  <c r="H377" i="1"/>
  <c r="H3782" i="1"/>
  <c r="H1549" i="1"/>
  <c r="H3324" i="1"/>
  <c r="H3954" i="1"/>
  <c r="H1582" i="1"/>
  <c r="H3397" i="1"/>
  <c r="H2937" i="1"/>
  <c r="H808" i="1"/>
  <c r="H425" i="1"/>
  <c r="H2453" i="1"/>
  <c r="H922" i="1"/>
  <c r="H3141" i="1"/>
  <c r="H1656" i="1"/>
  <c r="H76" i="1"/>
  <c r="H2921" i="1"/>
  <c r="H2164" i="1"/>
  <c r="H2374" i="1"/>
  <c r="H188" i="1"/>
  <c r="H729" i="1"/>
  <c r="H2228" i="1"/>
  <c r="H2995" i="1"/>
  <c r="H2295" i="1"/>
  <c r="H274" i="1"/>
  <c r="H2559" i="1"/>
  <c r="H389" i="1"/>
  <c r="H2979" i="1"/>
  <c r="H2631" i="1"/>
  <c r="H3835" i="1"/>
  <c r="H345" i="1"/>
  <c r="H23" i="1"/>
  <c r="H3000" i="1"/>
  <c r="H2439" i="1"/>
  <c r="H1667" i="1"/>
  <c r="H661" i="1"/>
  <c r="H3319" i="1"/>
  <c r="H3869" i="1"/>
  <c r="H3621" i="1"/>
  <c r="H866" i="1"/>
  <c r="H3044" i="1"/>
  <c r="H1609" i="1"/>
  <c r="H288" i="1"/>
  <c r="H2262" i="1"/>
  <c r="H3749" i="1"/>
  <c r="H3609" i="1"/>
  <c r="H3823" i="1"/>
  <c r="H1883" i="1"/>
  <c r="H3759" i="1"/>
  <c r="H1705" i="1"/>
  <c r="H3231" i="1"/>
  <c r="H1557" i="1"/>
  <c r="H3883" i="1"/>
  <c r="H1589" i="1"/>
  <c r="H2973" i="1"/>
  <c r="H847" i="1"/>
  <c r="H2095" i="1"/>
  <c r="H2167" i="1"/>
  <c r="H1761" i="1"/>
  <c r="H744" i="1"/>
  <c r="H262" i="1"/>
  <c r="H2914" i="1"/>
  <c r="H2419" i="1"/>
  <c r="H1555" i="1"/>
  <c r="H496" i="1"/>
  <c r="H1786" i="1"/>
  <c r="H2356" i="1"/>
  <c r="H3976" i="1"/>
  <c r="H2229" i="1"/>
  <c r="H916" i="1"/>
  <c r="H3139" i="1"/>
  <c r="H2177" i="1"/>
  <c r="H464" i="1"/>
  <c r="H532" i="1"/>
  <c r="H3844" i="1"/>
  <c r="H416" i="1"/>
  <c r="H3662" i="1"/>
  <c r="H3992" i="1"/>
  <c r="H401" i="1"/>
  <c r="H3651" i="1"/>
  <c r="H2992" i="1"/>
  <c r="H3204" i="1"/>
  <c r="H3991" i="1"/>
  <c r="H2055" i="1"/>
  <c r="H2371" i="1"/>
  <c r="H2912" i="1"/>
  <c r="H2982" i="1"/>
  <c r="H3860" i="1"/>
  <c r="H4023" i="1"/>
  <c r="H185" i="1"/>
  <c r="H1646" i="1"/>
  <c r="H3003" i="1"/>
  <c r="H2474" i="1"/>
  <c r="H1484" i="1"/>
  <c r="H78" i="1"/>
  <c r="H2166" i="1"/>
  <c r="H4075" i="1"/>
  <c r="H1844" i="1"/>
  <c r="H3623" i="1"/>
  <c r="H2481" i="1"/>
  <c r="H1806" i="1"/>
  <c r="H1408" i="1"/>
  <c r="H3004" i="1"/>
  <c r="H3401" i="1"/>
  <c r="H2361" i="1"/>
  <c r="H2894" i="1"/>
  <c r="H3301" i="1"/>
  <c r="H825" i="1"/>
  <c r="H2379" i="1"/>
  <c r="H85" i="1"/>
  <c r="H382" i="1"/>
  <c r="H2296" i="1"/>
  <c r="H3303" i="1"/>
  <c r="H3973" i="1"/>
  <c r="H3258" i="1"/>
  <c r="H3978" i="1"/>
  <c r="H3918" i="1"/>
  <c r="H3736" i="1"/>
  <c r="H741" i="1"/>
  <c r="H2415" i="1"/>
  <c r="H122" i="1"/>
  <c r="H3817" i="1"/>
  <c r="H4065" i="1"/>
  <c r="H2501" i="1"/>
  <c r="H993" i="1"/>
  <c r="H2697" i="1"/>
  <c r="H3872" i="1"/>
  <c r="H1588" i="1"/>
  <c r="H3849" i="1"/>
  <c r="H862" i="1"/>
  <c r="H2459" i="1"/>
  <c r="H3691" i="1"/>
  <c r="H307" i="1"/>
  <c r="H3813" i="1"/>
  <c r="H3487" i="1"/>
  <c r="H3784" i="1"/>
  <c r="H2191" i="1"/>
  <c r="H3263" i="1"/>
  <c r="H281" i="1"/>
  <c r="H3615" i="1"/>
  <c r="H1792" i="1"/>
  <c r="H3914" i="1"/>
  <c r="H1628" i="1"/>
  <c r="H2502" i="1"/>
  <c r="H4060" i="1"/>
  <c r="H1662" i="1"/>
  <c r="H3866" i="1"/>
  <c r="H2880" i="1"/>
  <c r="H760" i="1"/>
  <c r="H753" i="1"/>
  <c r="H3143" i="1"/>
  <c r="H2236" i="1"/>
  <c r="H475" i="1"/>
  <c r="H3337" i="1"/>
  <c r="H1355" i="1"/>
  <c r="H2068" i="1"/>
  <c r="H2693" i="1"/>
  <c r="H368" i="1"/>
  <c r="H3373" i="1"/>
  <c r="H3861" i="1"/>
  <c r="H3848" i="1"/>
  <c r="H2970" i="1"/>
  <c r="H721" i="1"/>
  <c r="H990" i="1"/>
  <c r="H2851" i="1"/>
  <c r="H1487" i="1"/>
  <c r="H3912" i="1"/>
  <c r="H947" i="1"/>
  <c r="H540" i="1"/>
  <c r="H823" i="1"/>
  <c r="H409" i="1"/>
  <c r="H33" i="1"/>
  <c r="H2804" i="1"/>
  <c r="H2093" i="1"/>
  <c r="H927" i="1"/>
  <c r="H3990" i="1"/>
  <c r="H3641" i="1"/>
  <c r="H3838" i="1"/>
  <c r="H1509" i="1"/>
  <c r="H3314" i="1"/>
  <c r="H1653" i="1"/>
  <c r="H432" i="1"/>
  <c r="H2553" i="1"/>
  <c r="H3995" i="1"/>
  <c r="H625" i="1"/>
  <c r="H4071" i="1"/>
  <c r="H626" i="1"/>
  <c r="H3956" i="1"/>
  <c r="H182" i="1"/>
  <c r="H3579" i="1"/>
  <c r="H1677" i="1"/>
  <c r="H3747" i="1"/>
  <c r="H1702" i="1"/>
  <c r="H2938" i="1"/>
  <c r="H842" i="1"/>
  <c r="H2747" i="1"/>
  <c r="H2578" i="1"/>
  <c r="H2337" i="1"/>
  <c r="H1415" i="1"/>
  <c r="H566" i="1"/>
  <c r="H3490" i="1"/>
  <c r="H2738" i="1"/>
  <c r="H1833" i="1"/>
  <c r="H3656" i="1"/>
  <c r="H265" i="1"/>
  <c r="H2605" i="1"/>
  <c r="H3519" i="1"/>
  <c r="H3370" i="1"/>
  <c r="H1629" i="1"/>
  <c r="H3542" i="1"/>
  <c r="H1544" i="1"/>
  <c r="H3527" i="1"/>
  <c r="H1545" i="1"/>
  <c r="H3150" i="1"/>
  <c r="H4013" i="1"/>
  <c r="H879" i="1"/>
  <c r="H497" i="1"/>
  <c r="H565" i="1"/>
  <c r="H2923" i="1"/>
  <c r="H3666" i="1"/>
  <c r="H720" i="1"/>
  <c r="H3804" i="1"/>
  <c r="H2677" i="1"/>
  <c r="H9" i="1"/>
  <c r="H3644" i="1"/>
  <c r="H3771" i="1"/>
  <c r="H3638" i="1"/>
  <c r="H3547" i="1"/>
  <c r="H366" i="1"/>
  <c r="H3183" i="1"/>
  <c r="H277" i="1"/>
  <c r="H2981" i="1"/>
  <c r="H3155" i="1"/>
  <c r="H66" i="1"/>
  <c r="H546" i="1"/>
  <c r="H282" i="1"/>
  <c r="H2367" i="1"/>
  <c r="H353" i="1"/>
  <c r="H1395" i="1"/>
  <c r="H1829" i="1"/>
  <c r="H2838" i="1"/>
  <c r="H1843" i="1"/>
  <c r="H3837" i="1"/>
  <c r="H531" i="1"/>
  <c r="H1654" i="1"/>
  <c r="H1578" i="1"/>
  <c r="H633" i="1"/>
  <c r="H13" i="1"/>
  <c r="H2862" i="1"/>
  <c r="H567" i="1"/>
  <c r="H3273" i="1"/>
  <c r="H530" i="1"/>
  <c r="H3750" i="1"/>
  <c r="H1605" i="1"/>
  <c r="H2816" i="1"/>
  <c r="H4008" i="1"/>
  <c r="H1686" i="1"/>
  <c r="H3525" i="1"/>
  <c r="H925" i="1"/>
  <c r="H2622" i="1"/>
  <c r="H3582" i="1"/>
  <c r="H1946" i="1"/>
  <c r="H2581" i="1"/>
  <c r="H3713" i="1"/>
  <c r="H3055" i="1"/>
  <c r="H22" i="1"/>
  <c r="H3597" i="1"/>
  <c r="H374" i="1"/>
  <c r="H736" i="1"/>
  <c r="H594" i="1"/>
  <c r="H4000" i="1"/>
  <c r="H1692" i="1"/>
  <c r="H3430" i="1"/>
  <c r="H64" i="1"/>
  <c r="H3624" i="1"/>
  <c r="H3526" i="1"/>
  <c r="H484" i="1"/>
  <c r="H850" i="1"/>
  <c r="H473" i="1"/>
  <c r="H755" i="1"/>
  <c r="H2975" i="1"/>
  <c r="H1613" i="1"/>
  <c r="H3827" i="1"/>
  <c r="H2163" i="1"/>
  <c r="H560" i="1"/>
  <c r="H3491" i="1"/>
  <c r="H3544" i="1"/>
  <c r="H3722" i="1"/>
  <c r="H595" i="1"/>
  <c r="H3915" i="1"/>
  <c r="H3403" i="1"/>
  <c r="H344" i="1"/>
  <c r="H2047" i="1"/>
  <c r="H253" i="1"/>
  <c r="H2745" i="1"/>
  <c r="H1683" i="1"/>
  <c r="H3195" i="1"/>
  <c r="H945" i="1"/>
  <c r="H1436" i="1"/>
  <c r="H868" i="1"/>
  <c r="H319" i="1"/>
  <c r="H3091" i="1"/>
  <c r="H2499" i="1"/>
  <c r="H1751" i="1"/>
  <c r="H252" i="1"/>
  <c r="H3928" i="1"/>
  <c r="H3339" i="1"/>
  <c r="H1978" i="1"/>
  <c r="H3709" i="1"/>
  <c r="H2188" i="1"/>
  <c r="H732" i="1"/>
  <c r="H2775" i="1"/>
  <c r="H88" i="1"/>
  <c r="H2594" i="1"/>
  <c r="H89" i="1"/>
  <c r="H2954" i="1"/>
  <c r="H3654" i="1"/>
  <c r="H958" i="1"/>
  <c r="H3819" i="1"/>
  <c r="H963" i="1"/>
  <c r="H3963" i="1"/>
  <c r="H624" i="1"/>
  <c r="H2582" i="1"/>
  <c r="H3193" i="1"/>
  <c r="H3217" i="1"/>
  <c r="H2893" i="1"/>
  <c r="H2656" i="1"/>
  <c r="H2025" i="1"/>
  <c r="H901" i="1"/>
  <c r="H306" i="1"/>
  <c r="H3142" i="1"/>
  <c r="H2226" i="1"/>
  <c r="H1580" i="1"/>
  <c r="H511" i="1"/>
  <c r="H2805" i="1"/>
  <c r="H1945" i="1"/>
  <c r="H3147" i="1"/>
  <c r="H1999" i="1"/>
  <c r="H3504" i="1"/>
  <c r="H1680" i="1"/>
  <c r="H3695" i="1"/>
  <c r="H1655" i="1"/>
  <c r="H3584" i="1"/>
  <c r="H1625" i="1"/>
  <c r="H1793" i="1"/>
  <c r="H3058" i="1"/>
  <c r="H3340" i="1"/>
  <c r="H3809" i="1"/>
  <c r="H3148" i="1"/>
  <c r="H3225" i="1"/>
  <c r="H184" i="1"/>
  <c r="H3096" i="1"/>
  <c r="H660" i="1"/>
  <c r="H3889" i="1"/>
  <c r="H3899" i="1"/>
  <c r="H3997" i="1"/>
  <c r="H3322" i="1"/>
  <c r="H3665" i="1"/>
  <c r="H3850" i="1"/>
  <c r="H848" i="1"/>
  <c r="H939" i="1"/>
  <c r="H3186" i="1"/>
  <c r="H2328" i="1"/>
  <c r="H3375" i="1"/>
  <c r="H1898" i="1"/>
  <c r="H2881" i="1"/>
  <c r="H3029" i="1"/>
  <c r="H1508" i="1"/>
  <c r="H2029" i="1"/>
  <c r="H628" i="1"/>
  <c r="H839" i="1"/>
  <c r="H2034" i="1"/>
  <c r="H2749" i="1"/>
  <c r="H2961" i="1"/>
  <c r="H2046" i="1"/>
  <c r="H135" i="1"/>
  <c r="H4115" i="1"/>
  <c r="H2930" i="1"/>
  <c r="H3372" i="1"/>
  <c r="H571" i="1"/>
  <c r="H2592" i="1"/>
  <c r="H2247" i="1"/>
  <c r="H427" i="1"/>
  <c r="H987" i="1"/>
  <c r="H1571" i="1"/>
  <c r="H553" i="1"/>
  <c r="H1794" i="1"/>
  <c r="H1889" i="1"/>
  <c r="H523" i="1"/>
  <c r="H63" i="1"/>
  <c r="H3619" i="1"/>
  <c r="H158" i="1"/>
  <c r="H1672" i="1"/>
  <c r="H2225" i="1"/>
  <c r="H3720" i="1"/>
  <c r="H1523" i="1"/>
  <c r="H2932" i="1"/>
  <c r="H3778" i="1"/>
  <c r="H1524" i="1"/>
  <c r="H2933" i="1"/>
  <c r="H3752" i="1"/>
  <c r="H3802" i="1"/>
  <c r="H30" i="1"/>
  <c r="H3220" i="1"/>
  <c r="H83" i="1"/>
  <c r="H3618" i="1"/>
  <c r="H3864" i="1"/>
  <c r="H284" i="1"/>
  <c r="H2373" i="1"/>
  <c r="H2965" i="1"/>
  <c r="H4016" i="1"/>
  <c r="H3170" i="1"/>
  <c r="H1878" i="1"/>
  <c r="H2080" i="1"/>
  <c r="H381" i="1"/>
  <c r="H2608" i="1"/>
  <c r="H2010" i="1"/>
  <c r="H2710" i="1"/>
  <c r="H3857" i="1"/>
  <c r="H3684" i="1"/>
  <c r="H3996" i="1"/>
  <c r="H4089" i="1"/>
  <c r="H3717" i="1"/>
  <c r="H3799" i="1"/>
  <c r="H870" i="1"/>
  <c r="H904" i="1"/>
  <c r="H2794" i="1"/>
  <c r="H938" i="1"/>
  <c r="H236" i="1"/>
  <c r="H3663" i="1"/>
  <c r="H813" i="1"/>
  <c r="H2086" i="1"/>
  <c r="H2087" i="1"/>
  <c r="H1718" i="1"/>
  <c r="H731" i="1"/>
  <c r="H159" i="1"/>
  <c r="H2825" i="1"/>
  <c r="H2405" i="1"/>
  <c r="H1547" i="1"/>
  <c r="H92" i="1"/>
  <c r="H2587" i="1"/>
  <c r="H2338" i="1"/>
  <c r="H3953" i="1"/>
  <c r="H2953" i="1"/>
  <c r="H908" i="1"/>
  <c r="H3122" i="1"/>
  <c r="H521" i="1"/>
  <c r="H3398" i="1"/>
  <c r="H373" i="1"/>
  <c r="H4022" i="1"/>
  <c r="H2009" i="1"/>
  <c r="H2202" i="1"/>
  <c r="H3984" i="1"/>
  <c r="H2583" i="1"/>
  <c r="H4118" i="1"/>
  <c r="H2197" i="1"/>
  <c r="H2433" i="1"/>
  <c r="H3271" i="1"/>
  <c r="H395" i="1"/>
  <c r="H74" i="1"/>
  <c r="H2927" i="1"/>
  <c r="H2486" i="1"/>
  <c r="H1749" i="1"/>
  <c r="H698" i="1"/>
  <c r="H3598" i="1"/>
  <c r="H3854" i="1"/>
  <c r="H3617" i="1"/>
  <c r="H891" i="1"/>
  <c r="H3076" i="1"/>
  <c r="H1542" i="1"/>
  <c r="H272" i="1"/>
  <c r="H2342" i="1"/>
  <c r="H3758" i="1"/>
  <c r="H3551" i="1"/>
  <c r="H3842" i="1"/>
  <c r="H3626" i="1"/>
  <c r="H3767" i="1"/>
  <c r="H1858" i="1"/>
  <c r="H3247" i="1"/>
  <c r="H1565" i="1"/>
  <c r="H2994" i="1"/>
  <c r="H1594" i="1"/>
  <c r="H2968" i="1"/>
  <c r="H4107" i="1"/>
  <c r="H3870" i="1"/>
  <c r="H3745" i="1"/>
  <c r="H943" i="1"/>
  <c r="H109" i="1"/>
  <c r="H250" i="1"/>
  <c r="H3024" i="1"/>
  <c r="H3907" i="1"/>
  <c r="H2843" i="1"/>
  <c r="H1661" i="1"/>
  <c r="H126" i="1"/>
  <c r="H774" i="1"/>
  <c r="H2760" i="1"/>
  <c r="H3045" i="1"/>
  <c r="H3894" i="1"/>
  <c r="H132" i="1"/>
  <c r="H3012" i="1"/>
  <c r="H322" i="1"/>
  <c r="H4114" i="1"/>
  <c r="H785" i="1"/>
  <c r="H2050" i="1"/>
  <c r="H400" i="1"/>
  <c r="H388" i="1"/>
  <c r="H4062" i="1"/>
  <c r="H3560" i="1"/>
  <c r="H2945" i="1"/>
  <c r="H542" i="1"/>
  <c r="H917" i="1"/>
  <c r="H2126" i="1"/>
  <c r="H2377" i="1"/>
  <c r="H1627" i="1"/>
  <c r="H347" i="1"/>
  <c r="H2099" i="1"/>
  <c r="H3197" i="1"/>
  <c r="H3267" i="1"/>
  <c r="H623" i="1"/>
  <c r="H321" i="1"/>
  <c r="H1816" i="1"/>
  <c r="H536" i="1"/>
  <c r="H3917" i="1"/>
  <c r="H1583" i="1"/>
  <c r="H2442" i="1"/>
  <c r="H4019" i="1"/>
  <c r="H1577" i="1"/>
  <c r="H369" i="1"/>
  <c r="H3843" i="1"/>
  <c r="H1554" i="1"/>
  <c r="H2986" i="1"/>
  <c r="H3483" i="1"/>
  <c r="H259" i="1"/>
  <c r="H3522" i="1"/>
  <c r="H1795" i="1"/>
  <c r="H2180" i="1"/>
  <c r="H3839" i="1"/>
  <c r="H2969" i="1"/>
  <c r="H812" i="1"/>
  <c r="H2299" i="1"/>
  <c r="H3011" i="1"/>
  <c r="H2819" i="1"/>
  <c r="H1497" i="1"/>
  <c r="H3245" i="1"/>
  <c r="H1684" i="1"/>
  <c r="H3205" i="1"/>
  <c r="H351" i="1"/>
  <c r="H4119" i="1"/>
  <c r="H308" i="1"/>
  <c r="H1915" i="1"/>
  <c r="H4093" i="1"/>
  <c r="H1679" i="1"/>
  <c r="H3154" i="1"/>
  <c r="H1975" i="1"/>
  <c r="H354" i="1"/>
  <c r="H2340" i="1"/>
  <c r="H887" i="1"/>
  <c r="H3868" i="1"/>
  <c r="H817" i="1"/>
  <c r="H2654" i="1"/>
  <c r="H2529" i="1"/>
  <c r="H2234" i="1"/>
  <c r="H1375" i="1"/>
  <c r="H512" i="1"/>
  <c r="H3224" i="1"/>
  <c r="H2690" i="1"/>
  <c r="H1706" i="1"/>
  <c r="H3057" i="1"/>
  <c r="H157" i="1"/>
  <c r="H2570" i="1"/>
  <c r="H65" i="1"/>
  <c r="H2206" i="1"/>
  <c r="H1606" i="1"/>
  <c r="H3469" i="1"/>
  <c r="H1610" i="1"/>
  <c r="H3149" i="1"/>
  <c r="H1611" i="1"/>
  <c r="H1791" i="1"/>
  <c r="H551" i="1"/>
  <c r="H2545" i="1"/>
  <c r="H93" i="1"/>
  <c r="H2990" i="1"/>
  <c r="H3791" i="1"/>
  <c r="H3432" i="1"/>
  <c r="H2700" i="1"/>
  <c r="H662" i="1"/>
  <c r="H829" i="1"/>
  <c r="H429" i="1"/>
  <c r="H25" i="1"/>
  <c r="H2820" i="1"/>
  <c r="H2088" i="1"/>
  <c r="H936" i="1"/>
  <c r="H3998" i="1"/>
  <c r="H3670" i="1"/>
  <c r="H205" i="1"/>
  <c r="H1533" i="1"/>
  <c r="H3321" i="1"/>
  <c r="H1678" i="1"/>
  <c r="H495" i="1"/>
  <c r="H2606" i="1"/>
  <c r="H4032" i="1"/>
  <c r="H641" i="1"/>
  <c r="H4088" i="1"/>
  <c r="H728" i="1"/>
  <c r="H4020" i="1"/>
  <c r="H189" i="1"/>
  <c r="H3688" i="1"/>
  <c r="H1685" i="1"/>
  <c r="H3776" i="1"/>
  <c r="H1855" i="1"/>
  <c r="H2939" i="1"/>
  <c r="H961" i="1"/>
  <c r="H320" i="1"/>
  <c r="H256" i="1"/>
  <c r="H2049" i="1"/>
  <c r="H1568" i="1"/>
  <c r="H1681" i="1"/>
  <c r="H1649" i="1"/>
  <c r="H3274" i="1"/>
  <c r="H94" i="1"/>
  <c r="H2942" i="1"/>
  <c r="H332" i="1"/>
  <c r="H2748" i="1"/>
  <c r="H1729" i="1"/>
  <c r="H665" i="1"/>
  <c r="H811" i="1"/>
  <c r="H431" i="1"/>
  <c r="H2488" i="1"/>
  <c r="H3484" i="1"/>
  <c r="H4061" i="1"/>
  <c r="H3972" i="1"/>
  <c r="H3783" i="1"/>
  <c r="H692" i="1"/>
  <c r="H1488" i="1"/>
  <c r="H472" i="1"/>
  <c r="H2716" i="1"/>
  <c r="H298" i="1"/>
  <c r="H3059" i="1"/>
  <c r="H1648" i="1"/>
  <c r="H3049" i="1"/>
  <c r="H337" i="1"/>
  <c r="H3325" i="1"/>
  <c r="H2171" i="1"/>
  <c r="H3816" i="1"/>
  <c r="H905" i="1"/>
  <c r="H2376" i="1"/>
  <c r="H2974" i="1"/>
  <c r="H1958" i="1"/>
  <c r="H2000" i="1"/>
  <c r="H2181" i="1"/>
  <c r="H356" i="1"/>
  <c r="H632" i="1"/>
  <c r="H3065" i="1"/>
  <c r="H3256" i="1"/>
  <c r="H3257" i="1"/>
  <c r="H2443" i="1"/>
  <c r="H3622" i="1"/>
  <c r="H2020" i="1"/>
  <c r="H2611" i="1"/>
  <c r="H1601" i="1"/>
  <c r="H1670" i="1"/>
  <c r="H940" i="1"/>
  <c r="H430" i="1"/>
  <c r="H305" i="1"/>
  <c r="H2978" i="1"/>
  <c r="H2826" i="1"/>
  <c r="H254" i="1"/>
  <c r="H2431" i="1"/>
  <c r="H2991" i="1"/>
  <c r="H3198" i="1"/>
  <c r="H3851" i="1"/>
  <c r="H2985" i="1"/>
  <c r="H3240" i="1"/>
  <c r="H206" i="1"/>
  <c r="H3152" i="1"/>
  <c r="H2475" i="1"/>
  <c r="H1826" i="1"/>
  <c r="H3166" i="1"/>
  <c r="H552" i="1"/>
  <c r="H845" i="1"/>
  <c r="H821" i="1"/>
  <c r="H903" i="1"/>
  <c r="H664" i="1"/>
  <c r="H127" i="1"/>
  <c r="H2910" i="1"/>
  <c r="H2368" i="1"/>
  <c r="H1434" i="1"/>
  <c r="H4121" i="1"/>
  <c r="H3781" i="1"/>
  <c r="H2989" i="1"/>
  <c r="H1719" i="1"/>
  <c r="H3502" i="1"/>
  <c r="H1701" i="1"/>
  <c r="H668" i="1"/>
  <c r="H2678" i="1"/>
  <c r="H4103" i="1"/>
  <c r="H3836" i="1"/>
  <c r="H4112" i="1"/>
  <c r="H3275" i="1"/>
  <c r="H4063" i="1"/>
  <c r="H1717" i="1"/>
  <c r="H3690" i="1"/>
  <c r="H1860" i="1"/>
  <c r="H3888" i="1"/>
  <c r="H2189" i="1"/>
  <c r="H2943" i="1"/>
  <c r="H142" i="1"/>
  <c r="H3729" i="1"/>
  <c r="H2972" i="1"/>
  <c r="H24" i="1"/>
  <c r="H3371" i="1"/>
  <c r="H3807" i="1"/>
  <c r="H2498" i="1"/>
  <c r="H3553" i="1"/>
  <c r="H450" i="1"/>
  <c r="H3772" i="1"/>
  <c r="H398" i="1"/>
  <c r="H2210" i="1"/>
  <c r="H2497" i="1"/>
  <c r="H653" i="1"/>
  <c r="H2496" i="1"/>
  <c r="H620" i="1"/>
  <c r="H515" i="1"/>
  <c r="H313" i="1"/>
  <c r="H3503" i="1"/>
  <c r="H3930" i="1"/>
  <c r="H3906" i="1"/>
  <c r="H3268" i="1"/>
  <c r="H4092" i="1"/>
  <c r="H1845" i="1"/>
  <c r="H454" i="1"/>
  <c r="H576" i="1"/>
  <c r="H420" i="1"/>
  <c r="H996" i="1"/>
  <c r="H742" i="1"/>
  <c r="H2604" i="1"/>
  <c r="H1566" i="1"/>
  <c r="H3910" i="1"/>
  <c r="H2067" i="1"/>
  <c r="H1857" i="1"/>
  <c r="H380" i="1"/>
  <c r="H3474" i="1"/>
  <c r="H479" i="1"/>
  <c r="H3408" i="1"/>
  <c r="H995" i="1"/>
  <c r="H889" i="1"/>
  <c r="H1875" i="1"/>
  <c r="H2672" i="1"/>
  <c r="H1963" i="1"/>
  <c r="H1688" i="1"/>
  <c r="H1641" i="1"/>
  <c r="H1632" i="1"/>
  <c r="H241" i="1"/>
  <c r="H3050" i="1"/>
  <c r="H3116" i="1"/>
  <c r="H3201" i="1"/>
  <c r="H3124" i="1"/>
  <c r="H1796" i="1"/>
  <c r="H3488" i="1"/>
  <c r="H1789" i="1"/>
  <c r="H3137" i="1"/>
  <c r="H2026" i="1"/>
  <c r="H2230" i="1"/>
  <c r="H2016" i="1"/>
  <c r="H1558" i="1"/>
  <c r="H3895" i="1"/>
  <c r="H860" i="1"/>
  <c r="H301" i="1"/>
  <c r="H2698" i="1"/>
  <c r="H2364" i="1"/>
  <c r="H745" i="1"/>
  <c r="H452" i="1"/>
  <c r="H3719" i="1"/>
  <c r="H3773" i="1"/>
  <c r="H3302" i="1"/>
  <c r="H593" i="1"/>
  <c r="H573" i="1"/>
  <c r="H2207" i="1"/>
  <c r="H748" i="1"/>
  <c r="H2360" i="1"/>
  <c r="H2353" i="1"/>
  <c r="H1976" i="1"/>
  <c r="H888" i="1"/>
  <c r="H697" i="1"/>
  <c r="H60" i="1"/>
  <c r="H3715" i="1"/>
  <c r="H1643" i="1"/>
  <c r="H2863" i="1"/>
  <c r="H3326" i="1"/>
  <c r="H3595" i="1"/>
  <c r="H3721" i="1"/>
  <c r="H976" i="1"/>
  <c r="H978" i="1"/>
  <c r="H2588" i="1"/>
  <c r="H2129" i="1"/>
  <c r="H3187" i="1"/>
  <c r="H619" i="1"/>
  <c r="H539" i="1"/>
  <c r="H876" i="1"/>
  <c r="H849" i="1"/>
  <c r="H1659" i="1"/>
  <c r="H1715" i="1"/>
  <c r="H991" i="1"/>
  <c r="H493" i="1"/>
  <c r="H3" i="1"/>
  <c r="H2671" i="1"/>
  <c r="H2085" i="1"/>
  <c r="H375" i="1"/>
  <c r="H4046" i="1"/>
  <c r="H3855" i="1"/>
  <c r="H2091" i="1"/>
  <c r="H3711" i="1"/>
  <c r="H2372" i="1"/>
  <c r="H835" i="1"/>
  <c r="H2977" i="1"/>
  <c r="H258" i="1"/>
  <c r="H2993" i="1"/>
  <c r="H260" i="1"/>
  <c r="H2444" i="1"/>
  <c r="H251" i="1"/>
  <c r="H2984" i="1"/>
  <c r="H3904" i="1"/>
  <c r="H190" i="1"/>
  <c r="H4001" i="1"/>
  <c r="H428" i="1"/>
  <c r="H955" i="1"/>
  <c r="H2211" i="1"/>
  <c r="H1690" i="1"/>
  <c r="H1874" i="1"/>
  <c r="H3628" i="1"/>
  <c r="H524" i="1"/>
  <c r="H621" i="1"/>
  <c r="H3964" i="1"/>
  <c r="H3643" i="1"/>
  <c r="H3865" i="1"/>
  <c r="H1496" i="1"/>
  <c r="H2470" i="1"/>
  <c r="H2381" i="1"/>
  <c r="H3852" i="1"/>
  <c r="H3940" i="1"/>
  <c r="H1556" i="1"/>
  <c r="H2774" i="1"/>
  <c r="H3974" i="1"/>
  <c r="H2934" i="1"/>
  <c r="H268" i="1"/>
  <c r="H3882" i="1"/>
  <c r="H29" i="1"/>
  <c r="H699" i="1"/>
  <c r="H2652" i="1"/>
  <c r="H1693" i="1"/>
  <c r="H367" i="1"/>
  <c r="H178" i="1"/>
  <c r="H3094" i="1"/>
  <c r="H3768" i="1"/>
  <c r="H3174" i="1"/>
  <c r="H2192" i="1"/>
  <c r="H3462" i="1"/>
  <c r="H2967" i="1"/>
  <c r="H208" i="1"/>
  <c r="H3911" i="1"/>
  <c r="H371" i="1"/>
  <c r="H2740" i="1"/>
  <c r="H1731" i="1"/>
  <c r="H1593" i="1"/>
  <c r="H467" i="1"/>
  <c r="H2196" i="1"/>
  <c r="H2058" i="1"/>
  <c r="H466" i="1"/>
  <c r="H2441" i="1"/>
  <c r="H2450" i="1"/>
  <c r="H1584" i="1"/>
  <c r="H1531" i="1"/>
  <c r="H2884" i="1"/>
  <c r="H2935" i="1"/>
  <c r="H1921" i="1"/>
  <c r="H1585" i="1"/>
  <c r="H2293" i="1"/>
  <c r="H2607" i="1"/>
  <c r="H3724" i="1"/>
  <c r="H2172" i="1"/>
  <c r="H3970" i="1"/>
  <c r="H2670" i="1"/>
  <c r="H1581" i="1"/>
  <c r="H2427" i="1"/>
  <c r="H2506" i="1"/>
  <c r="H143" i="1"/>
  <c r="H3461" i="1"/>
  <c r="H2479" i="1"/>
  <c r="H112" i="1"/>
  <c r="H3955" i="1"/>
  <c r="H3648" i="1"/>
  <c r="H3892" i="1"/>
  <c r="H3493" i="1"/>
  <c r="H3146" i="1"/>
  <c r="H2971" i="1"/>
  <c r="H2555" i="1"/>
  <c r="H2883" i="1"/>
  <c r="H2666" i="1"/>
  <c r="H2414" i="1"/>
  <c r="H1485" i="1"/>
  <c r="H926" i="1"/>
  <c r="H343" i="1"/>
  <c r="H2681" i="1"/>
  <c r="H2936" i="1"/>
  <c r="H3262" i="1"/>
  <c r="H296" i="1"/>
  <c r="H4070" i="1"/>
  <c r="H4104" i="1"/>
  <c r="H3815" i="1"/>
  <c r="H3671" i="1"/>
  <c r="H3994" i="1"/>
  <c r="H622" i="1"/>
  <c r="H796" i="1"/>
  <c r="H113" i="1"/>
  <c r="H1630" i="1"/>
  <c r="H3501" i="1"/>
  <c r="H804" i="1"/>
  <c r="H2412" i="1"/>
  <c r="H2409" i="1"/>
  <c r="H2024" i="1"/>
  <c r="H890" i="1"/>
  <c r="H330" i="1"/>
  <c r="H3078" i="1"/>
  <c r="H2500" i="1"/>
  <c r="H1626" i="1"/>
  <c r="H283" i="1"/>
  <c r="H48" i="1"/>
  <c r="H2448" i="1"/>
  <c r="H4085" i="1"/>
  <c r="H2440" i="1"/>
  <c r="H994" i="1"/>
  <c r="H3206" i="1"/>
  <c r="H526" i="1"/>
  <c r="H3859" i="1"/>
  <c r="H1914" i="1"/>
  <c r="H3746" i="1"/>
  <c r="H3056" i="1"/>
  <c r="H3845" i="1"/>
  <c r="H4076" i="1"/>
  <c r="H2929" i="1"/>
  <c r="H2170" i="1"/>
  <c r="H453" i="1"/>
  <c r="H2682" i="1"/>
  <c r="H3710" i="1"/>
  <c r="H3212" i="1"/>
  <c r="H3611" i="1"/>
  <c r="H3812" i="1"/>
  <c r="H3300" i="1"/>
  <c r="H1376" i="1"/>
  <c r="H3032" i="1"/>
  <c r="H1652" i="1"/>
  <c r="H710" i="1"/>
  <c r="H2944" i="1"/>
  <c r="H1647" i="1"/>
  <c r="H426" i="1"/>
  <c r="H3661" i="1"/>
  <c r="H2931" i="1"/>
  <c r="H3810" i="1"/>
  <c r="H1591" i="1"/>
  <c r="H441" i="1"/>
  <c r="H3310" i="1"/>
  <c r="H3785" i="1"/>
  <c r="H119" i="1"/>
  <c r="H977" i="1"/>
  <c r="H3685" i="1"/>
  <c r="H2585" i="1"/>
  <c r="H4101" i="1"/>
  <c r="H960" i="1"/>
  <c r="H878" i="1"/>
  <c r="H2877" i="1"/>
  <c r="H1617" i="1"/>
  <c r="H959" i="1"/>
  <c r="H694" i="1"/>
  <c r="H155" i="1"/>
  <c r="H378" i="1"/>
  <c r="H304" i="1"/>
  <c r="H3824" i="1"/>
  <c r="H2069" i="1"/>
  <c r="H4108" i="1"/>
  <c r="H4106" i="1"/>
  <c r="H3952" i="1"/>
  <c r="H596" i="1"/>
  <c r="H335" i="1"/>
  <c r="H1859" i="1"/>
  <c r="H419" i="1"/>
  <c r="H2378" i="1"/>
  <c r="H580" i="1"/>
  <c r="H4095" i="1"/>
  <c r="H3642" i="1"/>
  <c r="H2946" i="1"/>
  <c r="H494" i="1"/>
  <c r="H1682" i="1"/>
  <c r="H522" i="1"/>
  <c r="H2620" i="1"/>
  <c r="H1572" i="1"/>
  <c r="H3486" i="1"/>
  <c r="H1785" i="1"/>
  <c r="H1327" i="1"/>
  <c r="H1846" i="1"/>
  <c r="H186" i="1"/>
  <c r="H2198" i="1"/>
  <c r="H561" i="1"/>
  <c r="H2190" i="1"/>
  <c r="H3821" i="1"/>
  <c r="H722" i="1"/>
  <c r="H658" i="1"/>
  <c r="H863" i="1"/>
  <c r="H1548" i="1"/>
  <c r="H2919" i="1"/>
  <c r="H696" i="1"/>
  <c r="H3792" i="1"/>
  <c r="H3801" i="1"/>
  <c r="H248" i="1"/>
  <c r="H3929" i="1"/>
  <c r="H4086" i="1"/>
  <c r="H2941" i="1"/>
  <c r="H844" i="1"/>
  <c r="H21" i="1"/>
  <c r="H2955" i="1"/>
  <c r="H2750" i="1"/>
  <c r="H2090" i="1"/>
  <c r="H1841" i="1"/>
  <c r="H1326" i="1"/>
  <c r="H1579" i="1"/>
  <c r="H26" i="1"/>
  <c r="H4059" i="1"/>
  <c r="H826" i="1"/>
  <c r="H852" i="1"/>
  <c r="H1527" i="1"/>
  <c r="H361" i="1"/>
  <c r="H4047" i="1"/>
  <c r="H3053" i="1"/>
  <c r="H2758" i="1"/>
  <c r="H2097" i="1"/>
  <c r="H828" i="1"/>
  <c r="H2625" i="1"/>
  <c r="H4091" i="1"/>
  <c r="H840" i="1"/>
  <c r="H2916" i="1"/>
  <c r="H2673" i="1"/>
  <c r="H2437" i="1"/>
  <c r="H1532" i="1"/>
  <c r="H706" i="1"/>
  <c r="H79" i="1"/>
  <c r="H2858" i="1"/>
  <c r="H183" i="1"/>
  <c r="H636" i="1"/>
  <c r="H336" i="1"/>
  <c r="H2686" i="1"/>
  <c r="H263" i="1"/>
  <c r="H3433" i="1"/>
  <c r="H1764" i="1"/>
  <c r="H3683" i="1"/>
  <c r="H1576" i="1"/>
  <c r="H3470" i="1"/>
  <c r="H1569" i="1"/>
  <c r="H3770" i="1"/>
  <c r="H1546" i="1"/>
  <c r="H1784" i="1"/>
  <c r="H255" i="1"/>
  <c r="H451" i="1"/>
  <c r="H2176" i="1"/>
  <c r="H3858" i="1"/>
  <c r="H756" i="1"/>
  <c r="H3625" i="1"/>
  <c r="H1541" i="1"/>
  <c r="H2712" i="1"/>
  <c r="H3299" i="1"/>
  <c r="H3596" i="1"/>
  <c r="H3221" i="1"/>
  <c r="H4033" i="1"/>
  <c r="H1941" i="1"/>
  <c r="H3647" i="1"/>
  <c r="H3545" i="1"/>
  <c r="H883" i="1"/>
  <c r="H3798" i="1"/>
  <c r="H1592" i="1"/>
  <c r="H266" i="1"/>
  <c r="H2739" i="1"/>
  <c r="H3182" i="1"/>
  <c r="H2035" i="1"/>
  <c r="H956" i="1"/>
  <c r="H873" i="1"/>
  <c r="H3369" i="1"/>
  <c r="H2815" i="1"/>
  <c r="H533" i="1"/>
  <c r="H3826" i="1"/>
  <c r="H3833" i="1"/>
  <c r="H1567" i="1"/>
  <c r="H75" i="1"/>
  <c r="H3716" i="1"/>
  <c r="H2586" i="1"/>
  <c r="H1700" i="1"/>
  <c r="H491" i="1"/>
  <c r="H549" i="1"/>
  <c r="H740" i="1"/>
  <c r="H942" i="1"/>
  <c r="H3898" i="1"/>
  <c r="H3627" i="1"/>
  <c r="H638" i="1"/>
  <c r="H312" i="1"/>
  <c r="H3228" i="1"/>
  <c r="H257" i="1"/>
  <c r="H669" i="1"/>
  <c r="H2814" i="1"/>
  <c r="H2719" i="1"/>
  <c r="H579" i="1"/>
  <c r="H2042" i="1"/>
  <c r="H1673" i="1"/>
  <c r="H1962" i="1"/>
  <c r="H2422" i="1"/>
  <c r="H438" i="1"/>
  <c r="H1608" i="1"/>
  <c r="H2343" i="1"/>
  <c r="H1997" i="1"/>
  <c r="H462" i="1"/>
  <c r="H1663" i="1"/>
  <c r="H534" i="1"/>
  <c r="H1530" i="1"/>
  <c r="H3787" i="1"/>
  <c r="H749" i="1"/>
  <c r="H40" i="1"/>
  <c r="H2138" i="1"/>
  <c r="H2460" i="1"/>
  <c r="H1543" i="1"/>
  <c r="H896" i="1"/>
  <c r="H2696" i="1"/>
  <c r="H2949" i="1"/>
  <c r="H2365" i="1"/>
  <c r="H3689" i="1"/>
  <c r="H872" i="1"/>
  <c r="H1590" i="1"/>
  <c r="H1704" i="1"/>
  <c r="H1562" i="1"/>
  <c r="H3786" i="1"/>
  <c r="H110" i="1"/>
  <c r="H2072" i="1"/>
  <c r="H53" i="1"/>
  <c r="H489" i="1"/>
  <c r="H125" i="1"/>
  <c r="H3064" i="1"/>
  <c r="H2560" i="1"/>
  <c r="H2241" i="1"/>
  <c r="H2051" i="1"/>
  <c r="H2987" i="1"/>
  <c r="H667" i="1"/>
  <c r="H851" i="1"/>
  <c r="H1748" i="1"/>
  <c r="H1695" i="1"/>
  <c r="H1561" i="1"/>
  <c r="H1538" i="1"/>
  <c r="H3805" i="1"/>
  <c r="H3612" i="1"/>
  <c r="H2503" i="1"/>
  <c r="H3246" i="1"/>
  <c r="H2043" i="1"/>
  <c r="H3272" i="1"/>
  <c r="H1707" i="1"/>
  <c r="H4083" i="1"/>
  <c r="H116" i="1"/>
  <c r="H3090" i="1"/>
  <c r="H2772" i="1"/>
  <c r="H2154" i="1"/>
  <c r="H952" i="1"/>
  <c r="H390" i="1"/>
  <c r="H3309" i="1"/>
  <c r="H449" i="1"/>
  <c r="H1651" i="1"/>
  <c r="H695" i="1"/>
  <c r="H2885" i="1"/>
  <c r="H3797" i="1"/>
  <c r="H49" i="1"/>
  <c r="H2083" i="1"/>
  <c r="H3637" i="1"/>
  <c r="H1703" i="1"/>
  <c r="H3728" i="1"/>
  <c r="H1689" i="1"/>
  <c r="H3686" i="1"/>
  <c r="H2070" i="1"/>
  <c r="H3145" i="1"/>
  <c r="H637" i="1"/>
  <c r="H468" i="1"/>
  <c r="H1551" i="1"/>
  <c r="H3151" i="1"/>
  <c r="H2976" i="1"/>
  <c r="H3766" i="1"/>
  <c r="H3856" i="1"/>
  <c r="H957" i="1"/>
  <c r="H376" i="1"/>
  <c r="H1570" i="1"/>
  <c r="H1636" i="1"/>
  <c r="H2375" i="1"/>
  <c r="H1687" i="1"/>
  <c r="H3653" i="1"/>
  <c r="H528" i="1"/>
  <c r="H3465" i="1"/>
  <c r="H3077" i="1"/>
  <c r="H448" i="1"/>
  <c r="H2514" i="1"/>
  <c r="H3748" i="1"/>
  <c r="H3476" i="1"/>
  <c r="H498" i="1"/>
  <c r="H3825" i="1"/>
  <c r="H898" i="1"/>
  <c r="H285" i="1"/>
  <c r="H750" i="1"/>
  <c r="H1827" i="1"/>
  <c r="H1644" i="1"/>
  <c r="H570" i="1"/>
  <c r="H2463" i="1"/>
  <c r="H2432" i="1"/>
  <c r="H1884" i="1"/>
  <c r="H2462" i="1"/>
  <c r="H161" i="1"/>
  <c r="H1876" i="1"/>
  <c r="H2018" i="1"/>
  <c r="H2449" i="1"/>
  <c r="H3552" i="1"/>
  <c r="H1787" i="1"/>
  <c r="H1575" i="1"/>
  <c r="H2964" i="1"/>
  <c r="H3650" i="1"/>
  <c r="G597" i="1" l="1"/>
  <c r="G516" i="1"/>
  <c r="G499" i="1"/>
  <c r="G480" i="1"/>
  <c r="G442" i="1"/>
  <c r="G421" i="1"/>
  <c r="G314" i="1"/>
  <c r="H597" i="1"/>
  <c r="H442" i="1"/>
  <c r="H516" i="1"/>
  <c r="H421" i="1"/>
  <c r="H314" i="1"/>
  <c r="H499" i="1"/>
  <c r="H480" i="1"/>
  <c r="G598" i="1" l="1"/>
  <c r="G517" i="1"/>
  <c r="G500" i="1"/>
  <c r="G481" i="1"/>
  <c r="G443" i="1"/>
  <c r="G422" i="1"/>
  <c r="G315" i="1"/>
  <c r="H481" i="1"/>
  <c r="H443" i="1"/>
  <c r="H422" i="1"/>
  <c r="H598" i="1"/>
  <c r="H315" i="1"/>
  <c r="H500" i="1"/>
  <c r="H517" i="1"/>
  <c r="G599" i="1" l="1"/>
  <c r="G518" i="1"/>
  <c r="G501" i="1"/>
  <c r="G482" i="1"/>
  <c r="G444" i="1"/>
  <c r="G423" i="1"/>
  <c r="G316" i="1"/>
  <c r="H518" i="1"/>
  <c r="H482" i="1"/>
  <c r="H423" i="1"/>
  <c r="H599" i="1"/>
  <c r="H501" i="1"/>
  <c r="H316" i="1"/>
  <c r="H444" i="1"/>
  <c r="G600" i="1" l="1"/>
  <c r="G519" i="1"/>
  <c r="G502" i="1"/>
  <c r="G483" i="1"/>
  <c r="G445" i="1"/>
  <c r="G317" i="1"/>
  <c r="H600" i="1"/>
  <c r="H483" i="1"/>
  <c r="H519" i="1"/>
  <c r="H502" i="1"/>
  <c r="H445" i="1"/>
  <c r="H317" i="1"/>
  <c r="G601" i="1" l="1"/>
  <c r="G520" i="1"/>
  <c r="G446" i="1"/>
  <c r="H446" i="1"/>
  <c r="H601" i="1"/>
  <c r="H520" i="1"/>
  <c r="G602" i="1" l="1"/>
  <c r="G447" i="1"/>
  <c r="H447" i="1"/>
  <c r="H602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<sst xmlns="http://schemas.openxmlformats.org/spreadsheetml/2006/main" count="32007" uniqueCount="11839">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</sst>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4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1" fillId="2" borderId="2" xfId="1" applyBorder="1"/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0</xdr:row>
          <xdr:rowOff>161925</xdr:rowOff>
        </xdr:from>
        <xdr:to>
          <xdr:col>10</xdr:col>
          <xdr:colOff>438150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137"/>
  <sheetViews>
    <sheetView tabSelected="1" topLeftCell="E1" workbookViewId="0">
      <selection activeCell="D997" sqref="D997"/>
    </sheetView>
  </sheetViews>
  <sheetFormatPr defaultRowHeight="15" x14ac:dyDescent="0.25"/>
  <cols>
    <col min="1" max="1" width="39.7109375" bestFit="1" customWidth="1"/>
    <col min="2" max="2" width="36" bestFit="1" customWidth="1"/>
    <col min="3" max="3" width="29.7109375" customWidth="1"/>
    <col min="4" max="4" width="36.7109375" customWidth="1"/>
    <col min="6" max="6" width="34.85546875" bestFit="1" customWidth="1"/>
    <col min="7" max="7" width="20" style="26" customWidth="1"/>
    <col min="8" max="8" width="34.28515625" customWidth="1"/>
  </cols>
  <sheetData>
    <row r="1" spans="1:8" ht="15.75" thickBot="1" x14ac:dyDescent="0.3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>IF(ISNUMBER(SEARCH("#",B1)), LEFT(B1,FIND("#",B1)-1), B1)</f>
        <v>Cabbage</v>
      </c>
      <c r="G1" s="42">
        <f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.75" thickBot="1" x14ac:dyDescent="0.3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>IF(ISNUMBER(SEARCH("#",B2)), LEFT(B2,FIND("#",B2)-1), B2)</f>
        <v>Cart Wheel</v>
      </c>
      <c r="G2" s="26">
        <f>IF(ISNUMBER(SEARCH("#",B2)),VALUE(MID(B2,FIND("#",B2)+1,1000)),1)</f>
        <v>1</v>
      </c>
      <c r="H2" t="str">
        <f>IF(AND(regexMatch(B2,".*#[0-9]*$"),ISNUMBER(SEARCH("#",B2))),CONCATENATE(TRIM(F2)," #",G2),B2)</f>
        <v>Cart Wheel</v>
      </c>
    </row>
    <row r="3" spans="1:8" ht="15.75" thickBot="1" x14ac:dyDescent="0.3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>IF(ISNUMBER(SEARCH("#",B3)), LEFT(B3,FIND("#",B3)-1), B3)</f>
        <v xml:space="preserve">Farm Hose Reel Trailer </v>
      </c>
      <c r="G3" s="26">
        <f>IF(ISNUMBER(SEARCH("#",B3)),VALUE(MID(B3,FIND("#",B3)+1,1000)),1)</f>
        <v>1</v>
      </c>
      <c r="H3" t="str">
        <f>IF(AND(regexMatch(B3,".*#[0-9]*$"),ISNUMBER(SEARCH("#",B3))),CONCATENATE(TRIM(F3)," #",G3),B3)</f>
        <v>Farm Hose Reel Trailer #1</v>
      </c>
    </row>
    <row r="4" spans="1:8" ht="15.75" thickBot="1" x14ac:dyDescent="0.3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>IF(ISNUMBER(SEARCH("#",B4)), LEFT(B4,FIND("#",B4)-1), B4)</f>
        <v xml:space="preserve">Farm Hose Reel Trailer </v>
      </c>
      <c r="G4" s="26">
        <f>IF(ISNUMBER(SEARCH("#",B4)),VALUE(MID(B4,FIND("#",B4)+1,1000)),1)</f>
        <v>2</v>
      </c>
      <c r="H4" t="str">
        <f>IF(AND(regexMatch(B4,".*#[0-9]*$"),ISNUMBER(SEARCH("#",B4))),CONCATENATE(TRIM(F4)," #",G4),B4)</f>
        <v>Farm Hose Reel Trailer #2</v>
      </c>
    </row>
    <row r="5" spans="1:8" ht="15.75" thickBot="1" x14ac:dyDescent="0.3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>IF(ISNUMBER(SEARCH("#",B5)), LEFT(B5,FIND("#",B5)-1), B5)</f>
        <v>Farm Side Spreader</v>
      </c>
      <c r="G5" s="26">
        <f>IF(ISNUMBER(SEARCH("#",B5)),VALUE(MID(B5,FIND("#",B5)+1,1000)),1)</f>
        <v>1</v>
      </c>
      <c r="H5" t="str">
        <f>IF(AND(regexMatch(B5,".*#[0-9]*$"),ISNUMBER(SEARCH("#",B5))),CONCATENATE(TRIM(F5)," #",G5),B5)</f>
        <v>Farm Side Spreader</v>
      </c>
    </row>
    <row r="6" spans="1:8" ht="15.75" thickBot="1" x14ac:dyDescent="0.3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>IF(ISNUMBER(SEARCH("#",B6)), LEFT(B6,FIND("#",B6)-1), B6)</f>
        <v>Farm Side Spreader (Snowy)</v>
      </c>
      <c r="G6" s="26">
        <f>IF(ISNUMBER(SEARCH("#",B6)),VALUE(MID(B6,FIND("#",B6)+1,1000)),1)</f>
        <v>1</v>
      </c>
      <c r="H6" t="str">
        <f>IF(AND(regexMatch(B6,".*#[0-9]*$"),ISNUMBER(SEARCH("#",B6))),CONCATENATE(TRIM(F6)," #",G6),B6)</f>
        <v>Farm Side Spreader (Snowy)</v>
      </c>
    </row>
    <row r="7" spans="1:8" ht="15.75" thickBot="1" x14ac:dyDescent="0.3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>IF(ISNUMBER(SEARCH("#",B7)), LEFT(B7,FIND("#",B7)-1), B7)</f>
        <v>Farm Windmill</v>
      </c>
      <c r="G7" s="26">
        <f>IF(ISNUMBER(SEARCH("#",B7)),VALUE(MID(B7,FIND("#",B7)+1,1000)),1)</f>
        <v>1</v>
      </c>
      <c r="H7" t="str">
        <f>IF(AND(regexMatch(B7,".*#[0-9]*$"),ISNUMBER(SEARCH("#",B7))),CONCATENATE(TRIM(F7)," #",G7),B7)</f>
        <v>Farm Windmill</v>
      </c>
    </row>
    <row r="8" spans="1:8" ht="15.75" thickBot="1" x14ac:dyDescent="0.3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>IF(ISNUMBER(SEARCH("#",B8)), LEFT(B8,FIND("#",B8)-1), B8)</f>
        <v xml:space="preserve">Feed Sack </v>
      </c>
      <c r="G8" s="26">
        <f>IF(ISNUMBER(SEARCH("#",B8)),VALUE(MID(B8,FIND("#",B8)+1,1000)),1)</f>
        <v>1</v>
      </c>
      <c r="H8" t="str">
        <f>IF(AND(regexMatch(B8,".*#[0-9]*$"),ISNUMBER(SEARCH("#",B8))),CONCATENATE(TRIM(F8)," #",G8),B8)</f>
        <v>Feed Sack #1</v>
      </c>
    </row>
    <row r="9" spans="1:8" ht="15.75" thickBot="1" x14ac:dyDescent="0.3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>IF(ISNUMBER(SEARCH("#",B9)), LEFT(B9,FIND("#",B9)-1), B9)</f>
        <v xml:space="preserve">Feed Sack </v>
      </c>
      <c r="G9" s="26">
        <f>IF(ISNUMBER(SEARCH("#",B9)),VALUE(MID(B9,FIND("#",B9)+1,1000)),1)</f>
        <v>2</v>
      </c>
      <c r="H9" t="str">
        <f>IF(AND(regexMatch(B9,".*#[0-9]*$"),ISNUMBER(SEARCH("#",B9))),CONCATENATE(TRIM(F9)," #",G9),B9)</f>
        <v>Feed Sack #2</v>
      </c>
    </row>
    <row r="10" spans="1:8" ht="15.75" thickBot="1" x14ac:dyDescent="0.3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>IF(ISNUMBER(SEARCH("#",B10)), LEFT(B10,FIND("#",B10)-1), B10)</f>
        <v>Feeder Cage</v>
      </c>
      <c r="G10" s="26">
        <f>IF(ISNUMBER(SEARCH("#",B10)),VALUE(MID(B10,FIND("#",B10)+1,1000)),1)</f>
        <v>1</v>
      </c>
      <c r="H10" t="str">
        <f>IF(AND(regexMatch(B10,".*#[0-9]*$"),ISNUMBER(SEARCH("#",B10))),CONCATENATE(TRIM(F10)," #",G10),B10)</f>
        <v>Feeder Cage</v>
      </c>
    </row>
    <row r="11" spans="1:8" ht="15.75" thickBot="1" x14ac:dyDescent="0.3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>IF(ISNUMBER(SEARCH("#",B11)), LEFT(B11,FIND("#",B11)-1), B11)</f>
        <v>Fertilizer</v>
      </c>
      <c r="G11" s="26">
        <f>IF(ISNUMBER(SEARCH("#",B11)),VALUE(MID(B11,FIND("#",B11)+1,1000)),1)</f>
        <v>1</v>
      </c>
      <c r="H11" t="str">
        <f>IF(AND(regexMatch(B11,".*#[0-9]*$"),ISNUMBER(SEARCH("#",B11))),CONCATENATE(TRIM(F11)," #",G11),B11)</f>
        <v>Fertilizer</v>
      </c>
    </row>
    <row r="12" spans="1:8" ht="15.75" thickBot="1" x14ac:dyDescent="0.3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>IF(ISNUMBER(SEARCH("#",B12)), LEFT(B12,FIND("#",B12)-1), B12)</f>
        <v>Hay Bail</v>
      </c>
      <c r="G12" s="26">
        <f>IF(ISNUMBER(SEARCH("#",B12)),VALUE(MID(B12,FIND("#",B12)+1,1000)),1)</f>
        <v>1</v>
      </c>
      <c r="H12" t="str">
        <f>IF(AND(regexMatch(B12,".*#[0-9]*$"),ISNUMBER(SEARCH("#",B12))),CONCATENATE(TRIM(F12)," #",G12),B12)</f>
        <v>Hay Bail</v>
      </c>
    </row>
    <row r="13" spans="1:8" ht="15.75" thickBot="1" x14ac:dyDescent="0.3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>IF(ISNUMBER(SEARCH("#",B13)), LEFT(B13,FIND("#",B13)-1), B13)</f>
        <v xml:space="preserve">Hay Bale </v>
      </c>
      <c r="G13" s="26">
        <f>IF(ISNUMBER(SEARCH("#",B13)),VALUE(MID(B13,FIND("#",B13)+1,1000)),1)</f>
        <v>1</v>
      </c>
      <c r="H13" t="str">
        <f>IF(AND(regexMatch(B13,".*#[0-9]*$"),ISNUMBER(SEARCH("#",B13))),CONCATENATE(TRIM(F13)," #",G13),B13)</f>
        <v>Hay Bale #1</v>
      </c>
    </row>
    <row r="14" spans="1:8" ht="15.75" thickBot="1" x14ac:dyDescent="0.3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>IF(ISNUMBER(SEARCH("#",B14)), LEFT(B14,FIND("#",B14)-1), B14)</f>
        <v xml:space="preserve">Hay Bale </v>
      </c>
      <c r="G14" s="26">
        <f>IF(ISNUMBER(SEARCH("#",B14)),VALUE(MID(B14,FIND("#",B14)+1,1000)),1)</f>
        <v>2</v>
      </c>
      <c r="H14" t="str">
        <f>IF(AND(regexMatch(B14,".*#[0-9]*$"),ISNUMBER(SEARCH("#",B14))),CONCATENATE(TRIM(F14)," #",G14),B14)</f>
        <v>Hay Bale #2</v>
      </c>
    </row>
    <row r="15" spans="1:8" ht="15.75" thickBot="1" x14ac:dyDescent="0.3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>IF(ISNUMBER(SEARCH("#",B15)), LEFT(B15,FIND("#",B15)-1), B15)</f>
        <v xml:space="preserve">Hay Bale </v>
      </c>
      <c r="G15" s="26">
        <f>IF(ISNUMBER(SEARCH("#",B15)),VALUE(MID(B15,FIND("#",B15)+1,1000)),1)</f>
        <v>3</v>
      </c>
      <c r="H15" t="str">
        <f>IF(AND(regexMatch(B15,".*#[0-9]*$"),ISNUMBER(SEARCH("#",B15))),CONCATENATE(TRIM(F15)," #",G15),B15)</f>
        <v>Hay Bale #3</v>
      </c>
    </row>
    <row r="16" spans="1:8" ht="15.75" thickBot="1" x14ac:dyDescent="0.3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>IF(ISNUMBER(SEARCH("#",B16)), LEFT(B16,FIND("#",B16)-1), B16)</f>
        <v>Hay Bale Set</v>
      </c>
      <c r="G16" s="26">
        <f>IF(ISNUMBER(SEARCH("#",B16)),VALUE(MID(B16,FIND("#",B16)+1,1000)),1)</f>
        <v>1</v>
      </c>
      <c r="H16" t="str">
        <f>IF(AND(regexMatch(B16,".*#[0-9]*$"),ISNUMBER(SEARCH("#",B16))),CONCATENATE(TRIM(F16)," #",G16),B16)</f>
        <v>Hay Bale Set</v>
      </c>
    </row>
    <row r="17" spans="1:8" ht="15.75" thickBot="1" x14ac:dyDescent="0.3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>IF(ISNUMBER(SEARCH("#",B17)), LEFT(B17,FIND("#",B17)-1), B17)</f>
        <v>Hay Baler</v>
      </c>
      <c r="G17" s="26">
        <f>IF(ISNUMBER(SEARCH("#",B17)),VALUE(MID(B17,FIND("#",B17)+1,1000)),1)</f>
        <v>1</v>
      </c>
      <c r="H17" t="str">
        <f>IF(AND(regexMatch(B17,".*#[0-9]*$"),ISNUMBER(SEARCH("#",B17))),CONCATENATE(TRIM(F17)," #",G17),B17)</f>
        <v>Hay Baler</v>
      </c>
    </row>
    <row r="18" spans="1:8" ht="15.75" thickBot="1" x14ac:dyDescent="0.3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>IF(ISNUMBER(SEARCH("#",B18)), LEFT(B18,FIND("#",B18)-1), B18)</f>
        <v xml:space="preserve">Log </v>
      </c>
      <c r="G18" s="26">
        <f>IF(ISNUMBER(SEARCH("#",B18)),VALUE(MID(B18,FIND("#",B18)+1,1000)),1)</f>
        <v>1</v>
      </c>
      <c r="H18" t="str">
        <f>IF(AND(regexMatch(B18,".*#[0-9]*$"),ISNUMBER(SEARCH("#",B18))),CONCATENATE(TRIM(F18)," #",G18),B18)</f>
        <v>Log #1</v>
      </c>
    </row>
    <row r="19" spans="1:8" ht="15.75" thickBot="1" x14ac:dyDescent="0.3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>IF(ISNUMBER(SEARCH("#",B19)), LEFT(B19,FIND("#",B19)-1), B19)</f>
        <v xml:space="preserve">Log </v>
      </c>
      <c r="G19" s="26">
        <f>IF(ISNUMBER(SEARCH("#",B19)),VALUE(MID(B19,FIND("#",B19)+1,1000)),1)</f>
        <v>2</v>
      </c>
      <c r="H19" t="str">
        <f>IF(AND(regexMatch(B19,".*#[0-9]*$"),ISNUMBER(SEARCH("#",B19))),CONCATENATE(TRIM(F19)," #",G19),B19)</f>
        <v>Log #2</v>
      </c>
    </row>
    <row r="20" spans="1:8" ht="15.75" thickBot="1" x14ac:dyDescent="0.3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>IF(ISNUMBER(SEARCH("#",B20)), LEFT(B20,FIND("#",B20)-1), B20)</f>
        <v xml:space="preserve">Log </v>
      </c>
      <c r="G20" s="26">
        <f>IF(ISNUMBER(SEARCH("#",B20)),VALUE(MID(B20,FIND("#",B20)+1,1000)),1)</f>
        <v>3</v>
      </c>
      <c r="H20" t="str">
        <f>IF(AND(regexMatch(B20,".*#[0-9]*$"),ISNUMBER(SEARCH("#",B20))),CONCATENATE(TRIM(F20)," #",G20),B20)</f>
        <v>Log #3</v>
      </c>
    </row>
    <row r="21" spans="1:8" ht="15.75" thickBot="1" x14ac:dyDescent="0.3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>IF(ISNUMBER(SEARCH("#",B21)), LEFT(B21,FIND("#",B21)-1), B21)</f>
        <v xml:space="preserve">Log Pile </v>
      </c>
      <c r="G21" s="26">
        <f>IF(ISNUMBER(SEARCH("#",B21)),VALUE(MID(B21,FIND("#",B21)+1,1000)),1)</f>
        <v>1</v>
      </c>
      <c r="H21" t="str">
        <f>IF(AND(regexMatch(B21,".*#[0-9]*$"),ISNUMBER(SEARCH("#",B21))),CONCATENATE(TRIM(F21)," #",G21),B21)</f>
        <v>Log Pile #1</v>
      </c>
    </row>
    <row r="22" spans="1:8" ht="15.75" thickBot="1" x14ac:dyDescent="0.3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>IF(ISNUMBER(SEARCH("#",B22)), LEFT(B22,FIND("#",B22)-1), B22)</f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.75" thickBot="1" x14ac:dyDescent="0.3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>IF(ISNUMBER(SEARCH("#",B23)), LEFT(B23,FIND("#",B23)-1), B23)</f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.75" thickBot="1" x14ac:dyDescent="0.3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>IF(ISNUMBER(SEARCH("#",B24)), LEFT(B24,FIND("#",B24)-1), B24)</f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.75" thickBot="1" x14ac:dyDescent="0.3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>IF(ISNUMBER(SEARCH("#",B25)), LEFT(B25,FIND("#",B25)-1), B25)</f>
        <v xml:space="preserve">Old Churn </v>
      </c>
      <c r="G25" s="26">
        <f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.75" thickBot="1" x14ac:dyDescent="0.3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>IF(ISNUMBER(SEARCH("#",B26)), LEFT(B26,FIND("#",B26)-1), B26)</f>
        <v xml:space="preserve">Old Churn </v>
      </c>
      <c r="G26" s="26">
        <f>IF(ISNUMBER(SEARCH("#",B26)),VALUE(MID(B26,FIND("#",B26)+1,1000)),1)</f>
        <v>2</v>
      </c>
      <c r="H26" t="str">
        <f>IF(AND(regexMatch(B26,".*#[0-9]*$"),ISNUMBER(SEARCH("#",B26))),CONCATENATE(TRIM(F26)," #",G26),B26)</f>
        <v>Old Churn #2</v>
      </c>
    </row>
    <row r="27" spans="1:8" ht="15.75" thickBot="1" x14ac:dyDescent="0.3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>IF(ISNUMBER(SEARCH("#",B27)), LEFT(B27,FIND("#",B27)-1), B27)</f>
        <v>Old Farm Plough</v>
      </c>
      <c r="G27" s="26">
        <f>IF(ISNUMBER(SEARCH("#",B27)),VALUE(MID(B27,FIND("#",B27)+1,1000)),1)</f>
        <v>1</v>
      </c>
      <c r="H27" t="str">
        <f>IF(AND(regexMatch(B27,".*#[0-9]*$"),ISNUMBER(SEARCH("#",B27))),CONCATENATE(TRIM(F27)," #",G27),B27)</f>
        <v>Old Farm Plough</v>
      </c>
    </row>
    <row r="28" spans="1:8" ht="15.75" thickBot="1" x14ac:dyDescent="0.3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>IF(ISNUMBER(SEARCH("#",B28)), LEFT(B28,FIND("#",B28)-1), B28)</f>
        <v>Old Farm Wagon</v>
      </c>
      <c r="G28" s="26">
        <f>IF(ISNUMBER(SEARCH("#",B28)),VALUE(MID(B28,FIND("#",B28)+1,1000)),1)</f>
        <v>1</v>
      </c>
      <c r="H28" t="str">
        <f>IF(AND(regexMatch(B28,".*#[0-9]*$"),ISNUMBER(SEARCH("#",B28))),CONCATENATE(TRIM(F28)," #",G28),B28)</f>
        <v>Old Farm Wagon</v>
      </c>
    </row>
    <row r="29" spans="1:8" ht="15.75" thickBot="1" x14ac:dyDescent="0.3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>IF(ISNUMBER(SEARCH("#",B29)), LEFT(B29,FIND("#",B29)-1), B29)</f>
        <v xml:space="preserve">Pig House </v>
      </c>
      <c r="G29" s="26">
        <f>IF(ISNUMBER(SEARCH("#",B29)),VALUE(MID(B29,FIND("#",B29)+1,1000)),1)</f>
        <v>1</v>
      </c>
      <c r="H29" t="str">
        <f>IF(AND(regexMatch(B29,".*#[0-9]*$"),ISNUMBER(SEARCH("#",B29))),CONCATENATE(TRIM(F29)," #",G29),B29)</f>
        <v>Pig House #1</v>
      </c>
    </row>
    <row r="30" spans="1:8" ht="15.75" thickBot="1" x14ac:dyDescent="0.3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>IF(ISNUMBER(SEARCH("#",B30)), LEFT(B30,FIND("#",B30)-1), B30)</f>
        <v xml:space="preserve">Pig House </v>
      </c>
      <c r="G30" s="26">
        <f>IF(ISNUMBER(SEARCH("#",B30)),VALUE(MID(B30,FIND("#",B30)+1,1000)),1)</f>
        <v>2</v>
      </c>
      <c r="H30" t="str">
        <f>IF(AND(regexMatch(B30,".*#[0-9]*$"),ISNUMBER(SEARCH("#",B30))),CONCATENATE(TRIM(F30)," #",G30),B30)</f>
        <v>Pig House #2</v>
      </c>
    </row>
    <row r="31" spans="1:8" ht="15.75" thickBot="1" x14ac:dyDescent="0.3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>IF(ISNUMBER(SEARCH("#",B31)), LEFT(B31,FIND("#",B31)-1), B31)</f>
        <v>Plough</v>
      </c>
      <c r="G31" s="26">
        <f>IF(ISNUMBER(SEARCH("#",B31)),VALUE(MID(B31,FIND("#",B31)+1,1000)),1)</f>
        <v>1</v>
      </c>
      <c r="H31" t="str">
        <f>IF(AND(regexMatch(B31,".*#[0-9]*$"),ISNUMBER(SEARCH("#",B31))),CONCATENATE(TRIM(F31)," #",G31),B31)</f>
        <v>Plough</v>
      </c>
    </row>
    <row r="32" spans="1:8" ht="15.75" thickBot="1" x14ac:dyDescent="0.3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>IF(ISNUMBER(SEARCH("#",B32)), LEFT(B32,FIND("#",B32)-1), B32)</f>
        <v>Pumpkin</v>
      </c>
      <c r="G32" s="26">
        <f>IF(ISNUMBER(SEARCH("#",B32)),VALUE(MID(B32,FIND("#",B32)+1,1000)),1)</f>
        <v>1</v>
      </c>
      <c r="H32" t="str">
        <f>IF(AND(regexMatch(B32,".*#[0-9]*$"),ISNUMBER(SEARCH("#",B32))),CONCATENATE(TRIM(F32)," #",G32),B32)</f>
        <v>Pumpkin</v>
      </c>
    </row>
    <row r="33" spans="1:8" ht="15.75" thickBot="1" x14ac:dyDescent="0.3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>IF(ISNUMBER(SEARCH("#",B33)), LEFT(B33,FIND("#",B33)-1), B33)</f>
        <v xml:space="preserve">Round Bailer </v>
      </c>
      <c r="G33" s="26">
        <f>IF(ISNUMBER(SEARCH("#",B33)),VALUE(MID(B33,FIND("#",B33)+1,1000)),1)</f>
        <v>1</v>
      </c>
      <c r="H33" t="str">
        <f>IF(AND(regexMatch(B33,".*#[0-9]*$"),ISNUMBER(SEARCH("#",B33))),CONCATENATE(TRIM(F33)," #",G33),B33)</f>
        <v>Round Bailer #1</v>
      </c>
    </row>
    <row r="34" spans="1:8" ht="15.75" thickBot="1" x14ac:dyDescent="0.3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>IF(ISNUMBER(SEARCH("#",B34)), LEFT(B34,FIND("#",B34)-1), B34)</f>
        <v xml:space="preserve">Round Bailer </v>
      </c>
      <c r="G34" s="26">
        <f>IF(ISNUMBER(SEARCH("#",B34)),VALUE(MID(B34,FIND("#",B34)+1,1000)),1)</f>
        <v>2</v>
      </c>
      <c r="H34" t="str">
        <f>IF(AND(regexMatch(B34,".*#[0-9]*$"),ISNUMBER(SEARCH("#",B34))),CONCATENATE(TRIM(F34)," #",G34),B34)</f>
        <v>Round Bailer #2</v>
      </c>
    </row>
    <row r="35" spans="1:8" ht="15.75" thickBot="1" x14ac:dyDescent="0.3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>IF(ISNUMBER(SEARCH("#",B35)), LEFT(B35,FIND("#",B35)-1), B35)</f>
        <v>Small Windmill</v>
      </c>
      <c r="G35" s="26">
        <f>IF(ISNUMBER(SEARCH("#",B35)),VALUE(MID(B35,FIND("#",B35)+1,1000)),1)</f>
        <v>1</v>
      </c>
      <c r="H35" t="str">
        <f>IF(AND(regexMatch(B35,".*#[0-9]*$"),ISNUMBER(SEARCH("#",B35))),CONCATENATE(TRIM(F35)," #",G35),B35)</f>
        <v>Small Windmill</v>
      </c>
    </row>
    <row r="36" spans="1:8" ht="15.75" thickBot="1" x14ac:dyDescent="0.3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>IF(ISNUMBER(SEARCH("#",B36)), LEFT(B36,FIND("#",B36)-1), B36)</f>
        <v>Square Straw Bale</v>
      </c>
      <c r="G36" s="26">
        <f>IF(ISNUMBER(SEARCH("#",B36)),VALUE(MID(B36,FIND("#",B36)+1,1000)),1)</f>
        <v>1</v>
      </c>
      <c r="H36" t="str">
        <f>IF(AND(regexMatch(B36,".*#[0-9]*$"),ISNUMBER(SEARCH("#",B36))),CONCATENATE(TRIM(F36)," #",G36),B36)</f>
        <v>Square Straw Bale</v>
      </c>
    </row>
    <row r="37" spans="1:8" ht="15.75" thickBot="1" x14ac:dyDescent="0.3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>IF(ISNUMBER(SEARCH("#",B37)), LEFT(B37,FIND("#",B37)-1), B37)</f>
        <v>Aircraft Propeller</v>
      </c>
      <c r="G37" s="26">
        <f>IF(ISNUMBER(SEARCH("#",B37)),VALUE(MID(B37,FIND("#",B37)+1,1000)),1)</f>
        <v>1</v>
      </c>
      <c r="H37" t="str">
        <f>IF(AND(regexMatch(B37,".*#[0-9]*$"),ISNUMBER(SEARCH("#",B37))),CONCATENATE(TRIM(F37)," #",G37),B37)</f>
        <v>Aircraft Propeller</v>
      </c>
    </row>
    <row r="38" spans="1:8" ht="15.75" thickBot="1" x14ac:dyDescent="0.3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>IF(ISNUMBER(SEARCH("#",B38)), LEFT(B38,FIND("#",B38)-1), B38)</f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.75" thickBot="1" x14ac:dyDescent="0.3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>IF(ISNUMBER(SEARCH("#",B39)), LEFT(B39,FIND("#",B39)-1), B39)</f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.75" thickBot="1" x14ac:dyDescent="0.3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>IF(ISNUMBER(SEARCH("#",B40)), LEFT(B40,FIND("#",B40)-1), B40)</f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.75" thickBot="1" x14ac:dyDescent="0.3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>IF(ISNUMBER(SEARCH("#",B41)), LEFT(B41,FIND("#",B41)-1), B41)</f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.75" thickBot="1" x14ac:dyDescent="0.3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>IF(ISNUMBER(SEARCH("#",B42)), LEFT(B42,FIND("#",B42)-1), B42)</f>
        <v>Airfield Traffic Cone With Light</v>
      </c>
      <c r="G42" s="26">
        <f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.75" thickBot="1" x14ac:dyDescent="0.3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>IF(ISNUMBER(SEARCH("#",B43)), LEFT(B43,FIND("#",B43)-1), B43)</f>
        <v>Airfield Water Tank</v>
      </c>
      <c r="G43" s="26">
        <f>IF(ISNUMBER(SEARCH("#",B43)),VALUE(MID(B43,FIND("#",B43)+1,1000)),1)</f>
        <v>1</v>
      </c>
      <c r="H43" t="str">
        <f>IF(AND(regexMatch(B43,".*#[0-9]*$"),ISNUMBER(SEARCH("#",B43))),CONCATENATE(TRIM(F43)," #",G43),B43)</f>
        <v>Airfield Water Tank</v>
      </c>
    </row>
    <row r="44" spans="1:8" ht="15.75" thickBot="1" x14ac:dyDescent="0.3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>IF(ISNUMBER(SEARCH("#",B44)), LEFT(B44,FIND("#",B44)-1), B44)</f>
        <v>Airliner (FlyUS MP)</v>
      </c>
      <c r="G44" s="26">
        <f>IF(ISNUMBER(SEARCH("#",B44)),VALUE(MID(B44,FIND("#",B44)+1,1000)),1)</f>
        <v>1</v>
      </c>
      <c r="H44" t="str">
        <f>IF(AND(regexMatch(B44,".*#[0-9]*$"),ISNUMBER(SEARCH("#",B44))),CONCATENATE(TRIM(F44)," #",G44),B44)</f>
        <v>Airliner (FlyUS MP)</v>
      </c>
    </row>
    <row r="45" spans="1:8" ht="15.75" thickBot="1" x14ac:dyDescent="0.3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>IF(ISNUMBER(SEARCH("#",B45)), LEFT(B45,FIND("#",B45)-1), B45)</f>
        <v>Airliner (Generic)</v>
      </c>
      <c r="G45" s="26">
        <f>IF(ISNUMBER(SEARCH("#",B45)),VALUE(MID(B45,FIND("#",B45)+1,1000)),1)</f>
        <v>1</v>
      </c>
      <c r="H45" t="str">
        <f>IF(AND(regexMatch(B45,".*#[0-9]*$"),ISNUMBER(SEARCH("#",B45))),CONCATENATE(TRIM(F45)," #",G45),B45)</f>
        <v>Airliner (Generic)</v>
      </c>
    </row>
    <row r="46" spans="1:8" ht="15.75" thickBot="1" x14ac:dyDescent="0.3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>IF(ISNUMBER(SEARCH("#",B46)), LEFT(B46,FIND("#",B46)-1), B46)</f>
        <v>Airliner Interior</v>
      </c>
      <c r="G46" s="26">
        <f>IF(ISNUMBER(SEARCH("#",B46)),VALUE(MID(B46,FIND("#",B46)+1,1000)),1)</f>
        <v>1</v>
      </c>
      <c r="H46" t="str">
        <f>IF(AND(regexMatch(B46,".*#[0-9]*$"),ISNUMBER(SEARCH("#",B46))),CONCATENATE(TRIM(F46)," #",G46),B46)</f>
        <v>Airliner Interior</v>
      </c>
    </row>
    <row r="47" spans="1:8" ht="15.75" thickBot="1" x14ac:dyDescent="0.3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>IF(ISNUMBER(SEARCH("#",B47)), LEFT(B47,FIND("#",B47)-1), B47)</f>
        <v xml:space="preserve">Airport Bag Loader </v>
      </c>
      <c r="G47" s="26">
        <f>IF(ISNUMBER(SEARCH("#",B47)),VALUE(MID(B47,FIND("#",B47)+1,1000)),1)</f>
        <v>1</v>
      </c>
      <c r="H47" t="str">
        <f>IF(AND(regexMatch(B47,".*#[0-9]*$"),ISNUMBER(SEARCH("#",B47))),CONCATENATE(TRIM(F47)," #",G47),B47)</f>
        <v>Airport Bag Loader #1</v>
      </c>
    </row>
    <row r="48" spans="1:8" ht="15.75" thickBot="1" x14ac:dyDescent="0.3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>IF(ISNUMBER(SEARCH("#",B48)), LEFT(B48,FIND("#",B48)-1), B48)</f>
        <v xml:space="preserve">Airport Bag Loader </v>
      </c>
      <c r="G48" s="26">
        <f>IF(ISNUMBER(SEARCH("#",B48)),VALUE(MID(B48,FIND("#",B48)+1,1000)),1)</f>
        <v>2</v>
      </c>
      <c r="H48" t="str">
        <f>IF(AND(regexMatch(B48,".*#[0-9]*$"),ISNUMBER(SEARCH("#",B48))),CONCATENATE(TRIM(F48)," #",G48),B48)</f>
        <v>Airport Bag Loader #2</v>
      </c>
    </row>
    <row r="49" spans="1:8" ht="15.75" thickBot="1" x14ac:dyDescent="0.3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>IF(ISNUMBER(SEARCH("#",B49)), LEFT(B49,FIND("#",B49)-1), B49)</f>
        <v xml:space="preserve">Airport Blast Fence </v>
      </c>
      <c r="G49" s="26">
        <f>IF(ISNUMBER(SEARCH("#",B49)),VALUE(MID(B49,FIND("#",B49)+1,1000)),1)</f>
        <v>1</v>
      </c>
      <c r="H49" t="str">
        <f>IF(AND(regexMatch(B49,".*#[0-9]*$"),ISNUMBER(SEARCH("#",B49))),CONCATENATE(TRIM(F49)," #",G49),B49)</f>
        <v>Airport Blast Fence #1</v>
      </c>
    </row>
    <row r="50" spans="1:8" ht="15.75" thickBot="1" x14ac:dyDescent="0.3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>IF(ISNUMBER(SEARCH("#",B50)), LEFT(B50,FIND("#",B50)-1), B50)</f>
        <v xml:space="preserve">Airport Blast Fence </v>
      </c>
      <c r="G50" s="26">
        <f>IF(ISNUMBER(SEARCH("#",B50)),VALUE(MID(B50,FIND("#",B50)+1,1000)),1)</f>
        <v>2</v>
      </c>
      <c r="H50" t="str">
        <f>IF(AND(regexMatch(B50,".*#[0-9]*$"),ISNUMBER(SEARCH("#",B50))),CONCATENATE(TRIM(F50)," #",G50),B50)</f>
        <v>Airport Blast Fence #2</v>
      </c>
    </row>
    <row r="51" spans="1:8" ht="15.75" thickBot="1" x14ac:dyDescent="0.3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>IF(ISNUMBER(SEARCH("#",B51)), LEFT(B51,FIND("#",B51)-1), B51)</f>
        <v xml:space="preserve">Airport Cargo </v>
      </c>
      <c r="G51" s="26">
        <f>IF(ISNUMBER(SEARCH("#",B51)),VALUE(MID(B51,FIND("#",B51)+1,1000)),1)</f>
        <v>1</v>
      </c>
      <c r="H51" t="str">
        <f>IF(AND(regexMatch(B51,".*#[0-9]*$"),ISNUMBER(SEARCH("#",B51))),CONCATENATE(TRIM(F51)," #",G51),B51)</f>
        <v>Airport Cargo #1</v>
      </c>
    </row>
    <row r="52" spans="1:8" ht="15.75" thickBot="1" x14ac:dyDescent="0.3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>IF(ISNUMBER(SEARCH("#",B52)), LEFT(B52,FIND("#",B52)-1), B52)</f>
        <v xml:space="preserve">Airport Cargo </v>
      </c>
      <c r="G52" s="26">
        <f>IF(ISNUMBER(SEARCH("#",B52)),VALUE(MID(B52,FIND("#",B52)+1,1000)),1)</f>
        <v>2</v>
      </c>
      <c r="H52" t="str">
        <f>IF(AND(regexMatch(B52,".*#[0-9]*$"),ISNUMBER(SEARCH("#",B52))),CONCATENATE(TRIM(F52)," #",G52),B52)</f>
        <v>Airport Cargo #2</v>
      </c>
    </row>
    <row r="53" spans="1:8" ht="15.75" thickBot="1" x14ac:dyDescent="0.3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>IF(ISNUMBER(SEARCH("#",B53)), LEFT(B53,FIND("#",B53)-1), B53)</f>
        <v xml:space="preserve">Airport Cargo </v>
      </c>
      <c r="G53" s="26">
        <f>IF(ISNUMBER(SEARCH("#",B53)),VALUE(MID(B53,FIND("#",B53)+1,1000)),1)</f>
        <v>3</v>
      </c>
      <c r="H53" t="str">
        <f>IF(AND(regexMatch(B53,".*#[0-9]*$"),ISNUMBER(SEARCH("#",B53))),CONCATENATE(TRIM(F53)," #",G53),B53)</f>
        <v>Airport Cargo #3</v>
      </c>
    </row>
    <row r="54" spans="1:8" ht="15.75" thickBot="1" x14ac:dyDescent="0.3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>IF(ISNUMBER(SEARCH("#",B54)), LEFT(B54,FIND("#",B54)-1), B54)</f>
        <v xml:space="preserve">Airport Cargo </v>
      </c>
      <c r="G54" s="26">
        <f>IF(ISNUMBER(SEARCH("#",B54)),VALUE(MID(B54,FIND("#",B54)+1,1000)),1)</f>
        <v>4</v>
      </c>
      <c r="H54" t="str">
        <f>IF(AND(regexMatch(B54,".*#[0-9]*$"),ISNUMBER(SEARCH("#",B54))),CONCATENATE(TRIM(F54)," #",G54),B54)</f>
        <v>Airport Cargo #4</v>
      </c>
    </row>
    <row r="55" spans="1:8" ht="15.75" thickBot="1" x14ac:dyDescent="0.3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>IF(ISNUMBER(SEARCH("#",B55)), LEFT(B55,FIND("#",B55)-1), B55)</f>
        <v xml:space="preserve">Airport Cargo </v>
      </c>
      <c r="G55" s="26">
        <f>IF(ISNUMBER(SEARCH("#",B55)),VALUE(MID(B55,FIND("#",B55)+1,1000)),1)</f>
        <v>5</v>
      </c>
      <c r="H55" t="str">
        <f>IF(AND(regexMatch(B55,".*#[0-9]*$"),ISNUMBER(SEARCH("#",B55))),CONCATENATE(TRIM(F55)," #",G55),B55)</f>
        <v>Airport Cargo #5</v>
      </c>
    </row>
    <row r="56" spans="1:8" ht="15.75" thickBot="1" x14ac:dyDescent="0.3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>IF(ISNUMBER(SEARCH("#",B56)), LEFT(B56,FIND("#",B56)-1), B56)</f>
        <v xml:space="preserve">Airport Cargo </v>
      </c>
      <c r="G56" s="26">
        <f>IF(ISNUMBER(SEARCH("#",B56)),VALUE(MID(B56,FIND("#",B56)+1,1000)),1)</f>
        <v>6</v>
      </c>
      <c r="H56" t="str">
        <f>IF(AND(regexMatch(B56,".*#[0-9]*$"),ISNUMBER(SEARCH("#",B56))),CONCATENATE(TRIM(F56)," #",G56),B56)</f>
        <v>Airport Cargo #6</v>
      </c>
    </row>
    <row r="57" spans="1:8" ht="15.75" thickBot="1" x14ac:dyDescent="0.3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>IF(ISNUMBER(SEARCH("#",B57)), LEFT(B57,FIND("#",B57)-1), B57)</f>
        <v xml:space="preserve">Airport Cargo </v>
      </c>
      <c r="G57" s="26">
        <f>IF(ISNUMBER(SEARCH("#",B57)),VALUE(MID(B57,FIND("#",B57)+1,1000)),1)</f>
        <v>7</v>
      </c>
      <c r="H57" t="str">
        <f>IF(AND(regexMatch(B57,".*#[0-9]*$"),ISNUMBER(SEARCH("#",B57))),CONCATENATE(TRIM(F57)," #",G57),B57)</f>
        <v>Airport Cargo #7</v>
      </c>
    </row>
    <row r="58" spans="1:8" ht="15.75" thickBot="1" x14ac:dyDescent="0.3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>IF(ISNUMBER(SEARCH("#",B58)), LEFT(B58,FIND("#",B58)-1), B58)</f>
        <v xml:space="preserve">Airport Cargo </v>
      </c>
      <c r="G58" s="26">
        <f>IF(ISNUMBER(SEARCH("#",B58)),VALUE(MID(B58,FIND("#",B58)+1,1000)),1)</f>
        <v>8</v>
      </c>
      <c r="H58" t="str">
        <f>IF(AND(regexMatch(B58,".*#[0-9]*$"),ISNUMBER(SEARCH("#",B58))),CONCATENATE(TRIM(F58)," #",G58),B58)</f>
        <v>Airport Cargo #8</v>
      </c>
    </row>
    <row r="59" spans="1:8" ht="15.75" thickBot="1" x14ac:dyDescent="0.3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>IF(ISNUMBER(SEARCH("#",B59)), LEFT(B59,FIND("#",B59)-1), B59)</f>
        <v xml:space="preserve">Airport Chock </v>
      </c>
      <c r="G59" s="26">
        <f>IF(ISNUMBER(SEARCH("#",B59)),VALUE(MID(B59,FIND("#",B59)+1,1000)),1)</f>
        <v>1</v>
      </c>
      <c r="H59" t="str">
        <f>IF(AND(regexMatch(B59,".*#[0-9]*$"),ISNUMBER(SEARCH("#",B59))),CONCATENATE(TRIM(F59)," #",G59),B59)</f>
        <v>Airport Chock #1</v>
      </c>
    </row>
    <row r="60" spans="1:8" ht="15.75" thickBot="1" x14ac:dyDescent="0.3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>IF(ISNUMBER(SEARCH("#",B60)), LEFT(B60,FIND("#",B60)-1), B60)</f>
        <v xml:space="preserve">Airport Chock </v>
      </c>
      <c r="G60" s="26">
        <f>IF(ISNUMBER(SEARCH("#",B60)),VALUE(MID(B60,FIND("#",B60)+1,1000)),1)</f>
        <v>2</v>
      </c>
      <c r="H60" t="str">
        <f>IF(AND(regexMatch(B60,".*#[0-9]*$"),ISNUMBER(SEARCH("#",B60))),CONCATENATE(TRIM(F60)," #",G60),B60)</f>
        <v>Airport Chock #2</v>
      </c>
    </row>
    <row r="61" spans="1:8" ht="15.75" thickBot="1" x14ac:dyDescent="0.3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>IF(ISNUMBER(SEARCH("#",B61)), LEFT(B61,FIND("#",B61)-1), B61)</f>
        <v xml:space="preserve">Airport Chock </v>
      </c>
      <c r="G61" s="26">
        <f>IF(ISNUMBER(SEARCH("#",B61)),VALUE(MID(B61,FIND("#",B61)+1,1000)),1)</f>
        <v>3</v>
      </c>
      <c r="H61" t="str">
        <f>IF(AND(regexMatch(B61,".*#[0-9]*$"),ISNUMBER(SEARCH("#",B61))),CONCATENATE(TRIM(F61)," #",G61),B61)</f>
        <v>Airport Chock #3</v>
      </c>
    </row>
    <row r="62" spans="1:8" ht="15.75" thickBot="1" x14ac:dyDescent="0.3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>IF(ISNUMBER(SEARCH("#",B62)), LEFT(B62,FIND("#",B62)-1), B62)</f>
        <v>Airport Fire Extinguisher</v>
      </c>
      <c r="G62" s="26">
        <f>IF(ISNUMBER(SEARCH("#",B62)),VALUE(MID(B62,FIND("#",B62)+1,1000)),1)</f>
        <v>1</v>
      </c>
      <c r="H62" t="str">
        <f>IF(AND(regexMatch(B62,".*#[0-9]*$"),ISNUMBER(SEARCH("#",B62))),CONCATENATE(TRIM(F62)," #",G62),B62)</f>
        <v>Airport Fire Extinguisher</v>
      </c>
    </row>
    <row r="63" spans="1:8" ht="15.75" thickBot="1" x14ac:dyDescent="0.3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>IF(ISNUMBER(SEARCH("#",B63)), LEFT(B63,FIND("#",B63)-1), B63)</f>
        <v xml:space="preserve">Airport Floodlights </v>
      </c>
      <c r="G63" s="26">
        <f>IF(ISNUMBER(SEARCH("#",B63)),VALUE(MID(B63,FIND("#",B63)+1,1000)),1)</f>
        <v>1</v>
      </c>
      <c r="H63" t="str">
        <f>IF(AND(regexMatch(B63,".*#[0-9]*$"),ISNUMBER(SEARCH("#",B63))),CONCATENATE(TRIM(F63)," #",G63),B63)</f>
        <v>Airport Floodlights #1</v>
      </c>
    </row>
    <row r="64" spans="1:8" ht="15.75" thickBot="1" x14ac:dyDescent="0.3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>IF(ISNUMBER(SEARCH("#",B64)), LEFT(B64,FIND("#",B64)-1), B64)</f>
        <v xml:space="preserve">Airport Floodlights </v>
      </c>
      <c r="G64" s="26">
        <f>IF(ISNUMBER(SEARCH("#",B64)),VALUE(MID(B64,FIND("#",B64)+1,1000)),1)</f>
        <v>2</v>
      </c>
      <c r="H64" t="str">
        <f>IF(AND(regexMatch(B64,".*#[0-9]*$"),ISNUMBER(SEARCH("#",B64))),CONCATENATE(TRIM(F64)," #",G64),B64)</f>
        <v>Airport Floodlights #2</v>
      </c>
    </row>
    <row r="65" spans="1:8" ht="15.75" thickBot="1" x14ac:dyDescent="0.3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>IF(ISNUMBER(SEARCH("#",B65)), LEFT(B65,FIND("#",B65)-1), B65)</f>
        <v xml:space="preserve">Airport Floodlights </v>
      </c>
      <c r="G65" s="26">
        <f>IF(ISNUMBER(SEARCH("#",B65)),VALUE(MID(B65,FIND("#",B65)+1,1000)),1)</f>
        <v>3</v>
      </c>
      <c r="H65" t="str">
        <f>IF(AND(regexMatch(B65,".*#[0-9]*$"),ISNUMBER(SEARCH("#",B65))),CONCATENATE(TRIM(F65)," #",G65),B65)</f>
        <v>Airport Floodlights #3</v>
      </c>
    </row>
    <row r="66" spans="1:8" ht="15.75" thickBot="1" x14ac:dyDescent="0.3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>IF(ISNUMBER(SEARCH("#",B66)), LEFT(B66,FIND("#",B66)-1), B66)</f>
        <v xml:space="preserve">Airport Fuel Trailer </v>
      </c>
      <c r="G66" s="26">
        <f>IF(ISNUMBER(SEARCH("#",B66)),VALUE(MID(B66,FIND("#",B66)+1,1000)),1)</f>
        <v>1</v>
      </c>
      <c r="H66" t="str">
        <f>IF(AND(regexMatch(B66,".*#[0-9]*$"),ISNUMBER(SEARCH("#",B66))),CONCATENATE(TRIM(F66)," #",G66),B66)</f>
        <v>Airport Fuel Trailer #1</v>
      </c>
    </row>
    <row r="67" spans="1:8" ht="15.75" thickBot="1" x14ac:dyDescent="0.3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>IF(ISNUMBER(SEARCH("#",B67)), LEFT(B67,FIND("#",B67)-1), B67)</f>
        <v xml:space="preserve">Airport Fuel Trailer </v>
      </c>
      <c r="G67" s="26">
        <f>IF(ISNUMBER(SEARCH("#",B67)),VALUE(MID(B67,FIND("#",B67)+1,1000)),1)</f>
        <v>2</v>
      </c>
      <c r="H67" t="str">
        <f>IF(AND(regexMatch(B67,".*#[0-9]*$"),ISNUMBER(SEARCH("#",B67))),CONCATENATE(TRIM(F67)," #",G67),B67)</f>
        <v>Airport Fuel Trailer #2</v>
      </c>
    </row>
    <row r="68" spans="1:8" ht="15.75" thickBot="1" x14ac:dyDescent="0.3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>IF(ISNUMBER(SEARCH("#",B68)), LEFT(B68,FIND("#",B68)-1), B68)</f>
        <v>Airport Gas Bogey</v>
      </c>
      <c r="G68" s="26">
        <f>IF(ISNUMBER(SEARCH("#",B68)),VALUE(MID(B68,FIND("#",B68)+1,1000)),1)</f>
        <v>1</v>
      </c>
      <c r="H68" t="str">
        <f>IF(AND(regexMatch(B68,".*#[0-9]*$"),ISNUMBER(SEARCH("#",B68))),CONCATENATE(TRIM(F68)," #",G68),B68)</f>
        <v>Airport Gas Bogey</v>
      </c>
    </row>
    <row r="69" spans="1:8" ht="15.75" thickBot="1" x14ac:dyDescent="0.3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>IF(ISNUMBER(SEARCH("#",B69)), LEFT(B69,FIND("#",B69)-1), B69)</f>
        <v>Airport Generator</v>
      </c>
      <c r="G69" s="26">
        <f>IF(ISNUMBER(SEARCH("#",B69)),VALUE(MID(B69,FIND("#",B69)+1,1000)),1)</f>
        <v>1</v>
      </c>
      <c r="H69" t="str">
        <f>IF(AND(regexMatch(B69,".*#[0-9]*$"),ISNUMBER(SEARCH("#",B69))),CONCATENATE(TRIM(F69)," #",G69),B69)</f>
        <v>Airport Generator</v>
      </c>
    </row>
    <row r="70" spans="1:8" ht="15.75" thickBot="1" x14ac:dyDescent="0.3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>IF(ISNUMBER(SEARCH("#",B70)), LEFT(B70,FIND("#",B70)-1), B70)</f>
        <v>Airport Luggage Trolley</v>
      </c>
      <c r="G70" s="26">
        <f>IF(ISNUMBER(SEARCH("#",B70)),VALUE(MID(B70,FIND("#",B70)+1,1000)),1)</f>
        <v>1</v>
      </c>
      <c r="H70" t="str">
        <f>IF(AND(regexMatch(B70,".*#[0-9]*$"),ISNUMBER(SEARCH("#",B70))),CONCATENATE(TRIM(F70)," #",G70),B70)</f>
        <v>Airport Luggage Trolley</v>
      </c>
    </row>
    <row r="71" spans="1:8" ht="15.75" thickBot="1" x14ac:dyDescent="0.3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>IF(ISNUMBER(SEARCH("#",B71)), LEFT(B71,FIND("#",B71)-1), B71)</f>
        <v>Airport Monitoring Hut</v>
      </c>
      <c r="G71" s="26">
        <f>IF(ISNUMBER(SEARCH("#",B71)),VALUE(MID(B71,FIND("#",B71)+1,1000)),1)</f>
        <v>1</v>
      </c>
      <c r="H71" t="str">
        <f>IF(AND(regexMatch(B71,".*#[0-9]*$"),ISNUMBER(SEARCH("#",B71))),CONCATENATE(TRIM(F71)," #",G71),B71)</f>
        <v>Airport Monitoring Hut</v>
      </c>
    </row>
    <row r="72" spans="1:8" ht="15.75" thickBot="1" x14ac:dyDescent="0.3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>IF(ISNUMBER(SEARCH("#",B72)), LEFT(B72,FIND("#",B72)-1), B72)</f>
        <v>Airport Radar</v>
      </c>
      <c r="G72" s="26">
        <f>IF(ISNUMBER(SEARCH("#",B72)),VALUE(MID(B72,FIND("#",B72)+1,1000)),1)</f>
        <v>1</v>
      </c>
      <c r="H72" t="str">
        <f>IF(AND(regexMatch(B72,".*#[0-9]*$"),ISNUMBER(SEARCH("#",B72))),CONCATENATE(TRIM(F72)," #",G72),B72)</f>
        <v>Airport Radar</v>
      </c>
    </row>
    <row r="73" spans="1:8" ht="15.75" thickBot="1" x14ac:dyDescent="0.3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>IF(ISNUMBER(SEARCH("#",B73)), LEFT(B73,FIND("#",B73)-1), B73)</f>
        <v>Airport Runway Light</v>
      </c>
      <c r="G73" s="26">
        <f>IF(ISNUMBER(SEARCH("#",B73)),VALUE(MID(B73,FIND("#",B73)+1,1000)),1)</f>
        <v>1</v>
      </c>
      <c r="H73" t="str">
        <f>IF(AND(regexMatch(B73,".*#[0-9]*$"),ISNUMBER(SEARCH("#",B73))),CONCATENATE(TRIM(F73)," #",G73),B73)</f>
        <v>Airport Runway Light</v>
      </c>
    </row>
    <row r="74" spans="1:8" ht="15.75" thickBot="1" x14ac:dyDescent="0.3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>IF(ISNUMBER(SEARCH("#",B74)), LEFT(B74,FIND("#",B74)-1), B74)</f>
        <v xml:space="preserve">Airport Sign </v>
      </c>
      <c r="G74" s="26">
        <f>IF(ISNUMBER(SEARCH("#",B74)),VALUE(MID(B74,FIND("#",B74)+1,1000)),1)</f>
        <v>1</v>
      </c>
      <c r="H74" t="str">
        <f>IF(AND(regexMatch(B74,".*#[0-9]*$"),ISNUMBER(SEARCH("#",B74))),CONCATENATE(TRIM(F74)," #",G74),B74)</f>
        <v>Airport Sign #1</v>
      </c>
    </row>
    <row r="75" spans="1:8" ht="15.75" thickBot="1" x14ac:dyDescent="0.3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>IF(ISNUMBER(SEARCH("#",B75)), LEFT(B75,FIND("#",B75)-1), B75)</f>
        <v xml:space="preserve">Airport Sign </v>
      </c>
      <c r="G75" s="26">
        <f>IF(ISNUMBER(SEARCH("#",B75)),VALUE(MID(B75,FIND("#",B75)+1,1000)),1)</f>
        <v>2</v>
      </c>
      <c r="H75" t="str">
        <f>IF(AND(regexMatch(B75,".*#[0-9]*$"),ISNUMBER(SEARCH("#",B75))),CONCATENATE(TRIM(F75)," #",G75),B75)</f>
        <v>Airport Sign #2</v>
      </c>
    </row>
    <row r="76" spans="1:8" ht="15.75" thickBot="1" x14ac:dyDescent="0.3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>IF(ISNUMBER(SEARCH("#",B76)), LEFT(B76,FIND("#",B76)-1), B76)</f>
        <v xml:space="preserve">Airport Stairs </v>
      </c>
      <c r="G76" s="26">
        <f>IF(ISNUMBER(SEARCH("#",B76)),VALUE(MID(B76,FIND("#",B76)+1,1000)),1)</f>
        <v>1</v>
      </c>
      <c r="H76" t="str">
        <f>IF(AND(regexMatch(B76,".*#[0-9]*$"),ISNUMBER(SEARCH("#",B76))),CONCATENATE(TRIM(F76)," #",G76),B76)</f>
        <v>Airport Stairs #1</v>
      </c>
    </row>
    <row r="77" spans="1:8" ht="15.75" thickBot="1" x14ac:dyDescent="0.3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>IF(ISNUMBER(SEARCH("#",B77)), LEFT(B77,FIND("#",B77)-1), B77)</f>
        <v xml:space="preserve">Airport Stairs </v>
      </c>
      <c r="G77" s="26">
        <f>IF(ISNUMBER(SEARCH("#",B77)),VALUE(MID(B77,FIND("#",B77)+1,1000)),1)</f>
        <v>2</v>
      </c>
      <c r="H77" t="str">
        <f>IF(AND(regexMatch(B77,".*#[0-9]*$"),ISNUMBER(SEARCH("#",B77))),CONCATENATE(TRIM(F77)," #",G77),B77)</f>
        <v>Airport Stairs #2</v>
      </c>
    </row>
    <row r="78" spans="1:8" ht="15.75" thickBot="1" x14ac:dyDescent="0.3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>IF(ISNUMBER(SEARCH("#",B78)), LEFT(B78,FIND("#",B78)-1), B78)</f>
        <v xml:space="preserve">Airport Stairs </v>
      </c>
      <c r="G78" s="26">
        <f>IF(ISNUMBER(SEARCH("#",B78)),VALUE(MID(B78,FIND("#",B78)+1,1000)),1)</f>
        <v>3</v>
      </c>
      <c r="H78" t="str">
        <f>IF(AND(regexMatch(B78,".*#[0-9]*$"),ISNUMBER(SEARCH("#",B78))),CONCATENATE(TRIM(F78)," #",G78),B78)</f>
        <v>Airport Stairs #3</v>
      </c>
    </row>
    <row r="79" spans="1:8" ht="15.75" thickBot="1" x14ac:dyDescent="0.3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>IF(ISNUMBER(SEARCH("#",B79)), LEFT(B79,FIND("#",B79)-1), B79)</f>
        <v xml:space="preserve">Airport Stairs </v>
      </c>
      <c r="G79" s="26">
        <f>IF(ISNUMBER(SEARCH("#",B79)),VALUE(MID(B79,FIND("#",B79)+1,1000)),1)</f>
        <v>4</v>
      </c>
      <c r="H79" t="str">
        <f>IF(AND(regexMatch(B79,".*#[0-9]*$"),ISNUMBER(SEARCH("#",B79))),CONCATENATE(TRIM(F79)," #",G79),B79)</f>
        <v>Airport Stairs #4</v>
      </c>
    </row>
    <row r="80" spans="1:8" ht="15.75" thickBot="1" x14ac:dyDescent="0.3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>IF(ISNUMBER(SEARCH("#",B80)), LEFT(B80,FIND("#",B80)-1), B80)</f>
        <v xml:space="preserve">Airport Stairs </v>
      </c>
      <c r="G80" s="26">
        <f>IF(ISNUMBER(SEARCH("#",B80)),VALUE(MID(B80,FIND("#",B80)+1,1000)),1)</f>
        <v>5</v>
      </c>
      <c r="H80" t="str">
        <f>IF(AND(regexMatch(B80,".*#[0-9]*$"),ISNUMBER(SEARCH("#",B80))),CONCATENATE(TRIM(F80)," #",G80),B80)</f>
        <v>Airport Stairs #5</v>
      </c>
    </row>
    <row r="81" spans="1:8" ht="15.75" thickBot="1" x14ac:dyDescent="0.3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>IF(ISNUMBER(SEARCH("#",B81)), LEFT(B81,FIND("#",B81)-1), B81)</f>
        <v>Airport Taxiway Sign</v>
      </c>
      <c r="G81" s="26">
        <f>IF(ISNUMBER(SEARCH("#",B81)),VALUE(MID(B81,FIND("#",B81)+1,1000)),1)</f>
        <v>1</v>
      </c>
      <c r="H81" t="str">
        <f>IF(AND(regexMatch(B81,".*#[0-9]*$"),ISNUMBER(SEARCH("#",B81))),CONCATENATE(TRIM(F81)," #",G81),B81)</f>
        <v>Airport Taxiway Sign</v>
      </c>
    </row>
    <row r="82" spans="1:8" ht="15.75" thickBot="1" x14ac:dyDescent="0.3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>IF(ISNUMBER(SEARCH("#",B82)), LEFT(B82,FIND("#",B82)-1), B82)</f>
        <v xml:space="preserve">Airport Taxiway Sign </v>
      </c>
      <c r="G82" s="26">
        <f>IF(ISNUMBER(SEARCH("#",B82)),VALUE(MID(B82,FIND("#",B82)+1,1000)),1)</f>
        <v>2</v>
      </c>
      <c r="H82" t="str">
        <f>IF(AND(regexMatch(B82,".*#[0-9]*$"),ISNUMBER(SEARCH("#",B82))),CONCATENATE(TRIM(F82)," #",G82),B82)</f>
        <v>Airport Taxiway Sign #2</v>
      </c>
    </row>
    <row r="83" spans="1:8" ht="15.75" thickBot="1" x14ac:dyDescent="0.3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>IF(ISNUMBER(SEARCH("#",B83)), LEFT(B83,FIND("#",B83)-1), B83)</f>
        <v xml:space="preserve">Airport Taxiway Sign </v>
      </c>
      <c r="G83" s="26">
        <f>IF(ISNUMBER(SEARCH("#",B83)),VALUE(MID(B83,FIND("#",B83)+1,1000)),1)</f>
        <v>3</v>
      </c>
      <c r="H83" t="str">
        <f>IF(AND(regexMatch(B83,".*#[0-9]*$"),ISNUMBER(SEARCH("#",B83))),CONCATENATE(TRIM(F83)," #",G83),B83)</f>
        <v>Airport Taxiway Sign #3</v>
      </c>
    </row>
    <row r="84" spans="1:8" ht="15.75" thickBot="1" x14ac:dyDescent="0.3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>IF(ISNUMBER(SEARCH("#",B84)), LEFT(B84,FIND("#",B84)-1), B84)</f>
        <v xml:space="preserve">Airport Towbar </v>
      </c>
      <c r="G84" s="26">
        <f>IF(ISNUMBER(SEARCH("#",B84)),VALUE(MID(B84,FIND("#",B84)+1,1000)),1)</f>
        <v>1</v>
      </c>
      <c r="H84" t="str">
        <f>IF(AND(regexMatch(B84,".*#[0-9]*$"),ISNUMBER(SEARCH("#",B84))),CONCATENATE(TRIM(F84)," #",G84),B84)</f>
        <v>Airport Towbar #1</v>
      </c>
    </row>
    <row r="85" spans="1:8" ht="15.75" thickBot="1" x14ac:dyDescent="0.3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>IF(ISNUMBER(SEARCH("#",B85)), LEFT(B85,FIND("#",B85)-1), B85)</f>
        <v xml:space="preserve">Airport Towbar </v>
      </c>
      <c r="G85" s="26">
        <f>IF(ISNUMBER(SEARCH("#",B85)),VALUE(MID(B85,FIND("#",B85)+1,1000)),1)</f>
        <v>2</v>
      </c>
      <c r="H85" t="str">
        <f>IF(AND(regexMatch(B85,".*#[0-9]*$"),ISNUMBER(SEARCH("#",B85))),CONCATENATE(TRIM(F85)," #",G85),B85)</f>
        <v>Airport Towbar #2</v>
      </c>
    </row>
    <row r="86" spans="1:8" ht="15.75" thickBot="1" x14ac:dyDescent="0.3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>IF(ISNUMBER(SEARCH("#",B86)), LEFT(B86,FIND("#",B86)-1), B86)</f>
        <v xml:space="preserve">Airport Towbar </v>
      </c>
      <c r="G86" s="26">
        <f>IF(ISNUMBER(SEARCH("#",B86)),VALUE(MID(B86,FIND("#",B86)+1,1000)),1)</f>
        <v>3</v>
      </c>
      <c r="H86" t="str">
        <f>IF(AND(regexMatch(B86,".*#[0-9]*$"),ISNUMBER(SEARCH("#",B86))),CONCATENATE(TRIM(F86)," #",G86),B86)</f>
        <v>Airport Towbar #3</v>
      </c>
    </row>
    <row r="87" spans="1:8" ht="15.75" thickBot="1" x14ac:dyDescent="0.3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>IF(ISNUMBER(SEARCH("#",B87)), LEFT(B87,FIND("#",B87)-1), B87)</f>
        <v>Airport Wooden Steps</v>
      </c>
      <c r="G87" s="26">
        <f>IF(ISNUMBER(SEARCH("#",B87)),VALUE(MID(B87,FIND("#",B87)+1,1000)),1)</f>
        <v>1</v>
      </c>
      <c r="H87" t="str">
        <f>IF(AND(regexMatch(B87,".*#[0-9]*$"),ISNUMBER(SEARCH("#",B87))),CONCATENATE(TRIM(F87)," #",G87),B87)</f>
        <v>Airport Wooden Steps</v>
      </c>
    </row>
    <row r="88" spans="1:8" ht="15.75" thickBot="1" x14ac:dyDescent="0.3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>IF(ISNUMBER(SEARCH("#",B88)), LEFT(B88,FIND("#",B88)-1), B88)</f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.75" thickBot="1" x14ac:dyDescent="0.3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>IF(ISNUMBER(SEARCH("#",B89)), LEFT(B89,FIND("#",B89)-1), B89)</f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.75" thickBot="1" x14ac:dyDescent="0.3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>IF(ISNUMBER(SEARCH("#",B90)), LEFT(B90,FIND("#",B90)-1), B90)</f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.75" thickBot="1" x14ac:dyDescent="0.3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>IF(ISNUMBER(SEARCH("#",B91)), LEFT(B91,FIND("#",B91)-1), B91)</f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.75" thickBot="1" x14ac:dyDescent="0.3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>IF(ISNUMBER(SEARCH("#",B92)), LEFT(B92,FIND("#",B92)-1), B92)</f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.75" thickBot="1" x14ac:dyDescent="0.3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>IF(ISNUMBER(SEARCH("#",B93)), LEFT(B93,FIND("#",B93)-1), B93)</f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.75" thickBot="1" x14ac:dyDescent="0.3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>IF(ISNUMBER(SEARCH("#",B94)), LEFT(B94,FIND("#",B94)-1), B94)</f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.75" thickBot="1" x14ac:dyDescent="0.3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>IF(ISNUMBER(SEARCH("#",B95)), LEFT(B95,FIND("#",B95)-1), B95)</f>
        <v>Cargo Plane Interior</v>
      </c>
      <c r="G95" s="26">
        <f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.75" thickBot="1" x14ac:dyDescent="0.3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>IF(ISNUMBER(SEARCH("#",B96)), LEFT(B96,FIND("#",B96)-1), B96)</f>
        <v>Crashed Maverick</v>
      </c>
      <c r="G96" s="26">
        <f>IF(ISNUMBER(SEARCH("#",B96)),VALUE(MID(B96,FIND("#",B96)+1,1000)),1)</f>
        <v>1</v>
      </c>
      <c r="H96" t="str">
        <f>IF(AND(regexMatch(B96,".*#[0-9]*$"),ISNUMBER(SEARCH("#",B96))),CONCATENATE(TRIM(F96)," #",G96),B96)</f>
        <v>Crashed Maverick</v>
      </c>
    </row>
    <row r="97" spans="1:8" ht="15.75" thickBot="1" x14ac:dyDescent="0.3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>IF(ISNUMBER(SEARCH("#",B97)), LEFT(B97,FIND("#",B97)-1), B97)</f>
        <v>Flight Recorder</v>
      </c>
      <c r="G97" s="26">
        <f>IF(ISNUMBER(SEARCH("#",B97)),VALUE(MID(B97,FIND("#",B97)+1,1000)),1)</f>
        <v>1</v>
      </c>
      <c r="H97" t="str">
        <f>IF(AND(regexMatch(B97,".*#[0-9]*$"),ISNUMBER(SEARCH("#",B97))),CONCATENATE(TRIM(F97)," #",G97),B97)</f>
        <v>Flight Recorder</v>
      </c>
    </row>
    <row r="98" spans="1:8" ht="15.75" thickBot="1" x14ac:dyDescent="0.3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>IF(ISNUMBER(SEARCH("#",B98)), LEFT(B98,FIND("#",B98)-1), B98)</f>
        <v>Flight Recorder Insert</v>
      </c>
      <c r="G98" s="26">
        <f>IF(ISNUMBER(SEARCH("#",B98)),VALUE(MID(B98,FIND("#",B98)+1,1000)),1)</f>
        <v>1</v>
      </c>
      <c r="H98" t="str">
        <f>IF(AND(regexMatch(B98,".*#[0-9]*$"),ISNUMBER(SEARCH("#",B98))),CONCATENATE(TRIM(F98)," #",G98),B98)</f>
        <v>Flight Recorder Insert</v>
      </c>
    </row>
    <row r="99" spans="1:8" ht="15.75" thickBot="1" x14ac:dyDescent="0.3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>IF(ISNUMBER(SEARCH("#",B99)), LEFT(B99,FIND("#",B99)-1), B99)</f>
        <v>Jet Blood Splat</v>
      </c>
      <c r="G99" s="26">
        <f>IF(ISNUMBER(SEARCH("#",B99)),VALUE(MID(B99,FIND("#",B99)+1,1000)),1)</f>
        <v>1</v>
      </c>
      <c r="H99" t="str">
        <f>IF(AND(regexMatch(B99,".*#[0-9]*$"),ISNUMBER(SEARCH("#",B99))),CONCATENATE(TRIM(F99)," #",G99),B99)</f>
        <v>Jet Blood Splat</v>
      </c>
    </row>
    <row r="100" spans="1:8" ht="15.75" thickBot="1" x14ac:dyDescent="0.3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>IF(ISNUMBER(SEARCH("#",B100)), LEFT(B100,FIND("#",B100)-1), B100)</f>
        <v>Parking Wand</v>
      </c>
      <c r="G100" s="26">
        <f>IF(ISNUMBER(SEARCH("#",B100)),VALUE(MID(B100,FIND("#",B100)+1,1000)),1)</f>
        <v>1</v>
      </c>
      <c r="H100" t="str">
        <f>IF(AND(regexMatch(B100,".*#[0-9]*$"),ISNUMBER(SEARCH("#",B100))),CONCATENATE(TRIM(F100)," #",G100),B100)</f>
        <v>Parking Wand</v>
      </c>
    </row>
    <row r="101" spans="1:8" ht="15.75" thickBot="1" x14ac:dyDescent="0.3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>IF(ISNUMBER(SEARCH("#",B101)), LEFT(B101,FIND("#",B101)-1), B101)</f>
        <v>Security Hut</v>
      </c>
      <c r="G101" s="26">
        <f>IF(ISNUMBER(SEARCH("#",B101)),VALUE(MID(B101,FIND("#",B101)+1,1000)),1)</f>
        <v>1</v>
      </c>
      <c r="H101" t="str">
        <f>IF(AND(regexMatch(B101,".*#[0-9]*$"),ISNUMBER(SEARCH("#",B101))),CONCATENATE(TRIM(F101)," #",G101),B101)</f>
        <v>Security Hut</v>
      </c>
    </row>
    <row r="102" spans="1:8" ht="15.75" thickBot="1" x14ac:dyDescent="0.3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>IF(ISNUMBER(SEARCH("#",B102)), LEFT(B102,FIND("#",B102)-1), B102)</f>
        <v>Shamal Crash</v>
      </c>
      <c r="G102" s="26">
        <f>IF(ISNUMBER(SEARCH("#",B102)),VALUE(MID(B102,FIND("#",B102)+1,1000)),1)</f>
        <v>1</v>
      </c>
      <c r="H102" t="str">
        <f>IF(AND(regexMatch(B102,".*#[0-9]*$"),ISNUMBER(SEARCH("#",B102))),CONCATENATE(TRIM(F102)," #",G102),B102)</f>
        <v>Shamal Crash</v>
      </c>
    </row>
    <row r="103" spans="1:8" ht="15.75" thickBot="1" x14ac:dyDescent="0.3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>IF(ISNUMBER(SEARCH("#",B103)), LEFT(B103,FIND("#",B103)-1), B103)</f>
        <v>Wind Sock Pole</v>
      </c>
      <c r="G103" s="26">
        <f>IF(ISNUMBER(SEARCH("#",B103)),VALUE(MID(B103,FIND("#",B103)+1,1000)),1)</f>
        <v>1</v>
      </c>
      <c r="H103" t="str">
        <f>IF(AND(regexMatch(B103,".*#[0-9]*$"),ISNUMBER(SEARCH("#",B103))),CONCATENATE(TRIM(F103)," #",G103),B103)</f>
        <v>Wind Sock Pole</v>
      </c>
    </row>
    <row r="104" spans="1:8" ht="15.75" thickBot="1" x14ac:dyDescent="0.3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>IF(ISNUMBER(SEARCH("#",B104)), LEFT(B104,FIND("#",B104)-1), B104)</f>
        <v>Wrecked Buzzard</v>
      </c>
      <c r="G104" s="26">
        <f>IF(ISNUMBER(SEARCH("#",B104)),VALUE(MID(B104,FIND("#",B104)+1,1000)),1)</f>
        <v>1</v>
      </c>
      <c r="H104" t="str">
        <f>IF(AND(regexMatch(B104,".*#[0-9]*$"),ISNUMBER(SEARCH("#",B104))),CONCATENATE(TRIM(F104)," #",G104),B104)</f>
        <v>Wrecked Buzzard</v>
      </c>
    </row>
    <row r="105" spans="1:8" ht="15.75" thickBot="1" x14ac:dyDescent="0.3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>IF(ISNUMBER(SEARCH("#",B105)), LEFT(B105,FIND("#",B105)-1), B105)</f>
        <v>Attache Case</v>
      </c>
      <c r="G105" s="26">
        <f>IF(ISNUMBER(SEARCH("#",B105)),VALUE(MID(B105,FIND("#",B105)+1,1000)),1)</f>
        <v>1</v>
      </c>
      <c r="H105" t="str">
        <f>IF(AND(regexMatch(B105,".*#[0-9]*$"),ISNUMBER(SEARCH("#",B105))),CONCATENATE(TRIM(F105)," #",G105),B105)</f>
        <v>Attache Case</v>
      </c>
    </row>
    <row r="106" spans="1:8" ht="15.75" thickBot="1" x14ac:dyDescent="0.3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>IF(ISNUMBER(SEARCH("#",B106)), LEFT(B106,FIND("#",B106)-1), B106)</f>
        <v>Bag Strap</v>
      </c>
      <c r="G106" s="26">
        <f>IF(ISNUMBER(SEARCH("#",B106)),VALUE(MID(B106,FIND("#",B106)+1,1000)),1)</f>
        <v>1</v>
      </c>
      <c r="H106" t="str">
        <f>IF(AND(regexMatch(B106,".*#[0-9]*$"),ISNUMBER(SEARCH("#",B106))),CONCATENATE(TRIM(F106)," #",G106),B106)</f>
        <v>Bag Strap</v>
      </c>
    </row>
    <row r="107" spans="1:8" ht="15.75" thickBot="1" x14ac:dyDescent="0.3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>IF(ISNUMBER(SEARCH("#",B107)), LEFT(B107,FIND("#",B107)-1), B107)</f>
        <v xml:space="preserve">Beach Bag </v>
      </c>
      <c r="G107" s="26">
        <f>IF(ISNUMBER(SEARCH("#",B107)),VALUE(MID(B107,FIND("#",B107)+1,1000)),1)</f>
        <v>1</v>
      </c>
      <c r="H107" t="str">
        <f>IF(AND(regexMatch(B107,".*#[0-9]*$"),ISNUMBER(SEARCH("#",B107))),CONCATENATE(TRIM(F107)," #",G107),B107)</f>
        <v>Beach Bag #1</v>
      </c>
    </row>
    <row r="108" spans="1:8" ht="15.75" thickBot="1" x14ac:dyDescent="0.3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>IF(ISNUMBER(SEARCH("#",B108)), LEFT(B108,FIND("#",B108)-1), B108)</f>
        <v xml:space="preserve">Beach Bag </v>
      </c>
      <c r="G108" s="26">
        <f>IF(ISNUMBER(SEARCH("#",B108)),VALUE(MID(B108,FIND("#",B108)+1,1000)),1)</f>
        <v>2</v>
      </c>
      <c r="H108" t="str">
        <f>IF(AND(regexMatch(B108,".*#[0-9]*$"),ISNUMBER(SEARCH("#",B108))),CONCATENATE(TRIM(F108)," #",G108),B108)</f>
        <v>Beach Bag #2</v>
      </c>
    </row>
    <row r="109" spans="1:8" ht="15.75" thickBot="1" x14ac:dyDescent="0.3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>IF(ISNUMBER(SEARCH("#",B109)), LEFT(B109,FIND("#",B109)-1), B109)</f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.75" thickBot="1" x14ac:dyDescent="0.3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>IF(ISNUMBER(SEARCH("#",B110)), LEFT(B110,FIND("#",B110)-1), B110)</f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.75" thickBot="1" x14ac:dyDescent="0.3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>IF(ISNUMBER(SEARCH("#",B111)), LEFT(B111,FIND("#",B111)-1), B111)</f>
        <v>Big Bag</v>
      </c>
      <c r="G111" s="26">
        <f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.75" thickBot="1" x14ac:dyDescent="0.3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>IF(ISNUMBER(SEARCH("#",B112)), LEFT(B112,FIND("#",B112)-1), B112)</f>
        <v xml:space="preserve">Briefcase </v>
      </c>
      <c r="G112" s="26">
        <f>IF(ISNUMBER(SEARCH("#",B112)),VALUE(MID(B112,FIND("#",B112)+1,1000)),1)</f>
        <v>1</v>
      </c>
      <c r="H112" t="str">
        <f>IF(AND(regexMatch(B112,".*#[0-9]*$"),ISNUMBER(SEARCH("#",B112))),CONCATENATE(TRIM(F112)," #",G112),B112)</f>
        <v>Briefcase #1</v>
      </c>
    </row>
    <row r="113" spans="1:8" ht="15.75" thickBot="1" x14ac:dyDescent="0.3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>IF(ISNUMBER(SEARCH("#",B113)), LEFT(B113,FIND("#",B113)-1), B113)</f>
        <v xml:space="preserve">Briefcase </v>
      </c>
      <c r="G113" s="26">
        <f>IF(ISNUMBER(SEARCH("#",B113)),VALUE(MID(B113,FIND("#",B113)+1,1000)),1)</f>
        <v>2</v>
      </c>
      <c r="H113" t="str">
        <f>IF(AND(regexMatch(B113,".*#[0-9]*$"),ISNUMBER(SEARCH("#",B113))),CONCATENATE(TRIM(F113)," #",G113),B113)</f>
        <v>Briefcase #2</v>
      </c>
    </row>
    <row r="114" spans="1:8" ht="15.75" thickBot="1" x14ac:dyDescent="0.3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>IF(ISNUMBER(SEARCH("#",B114)), LEFT(B114,FIND("#",B114)-1), B114)</f>
        <v>Drinks Can: Sprunk Open</v>
      </c>
      <c r="G114" s="26">
        <f>IF(ISNUMBER(SEARCH("#",B114)),VALUE(MID(B114,FIND("#",B114)+1,1000)),1)</f>
        <v>1</v>
      </c>
      <c r="H114" t="str">
        <f>IF(AND(regexMatch(B114,".*#[0-9]*$"),ISNUMBER(SEARCH("#",B114))),CONCATENATE(TRIM(F114)," #",G114),B114)</f>
        <v>Drinks Can: Sprunk Open</v>
      </c>
    </row>
    <row r="115" spans="1:8" ht="15.75" thickBot="1" x14ac:dyDescent="0.3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>IF(ISNUMBER(SEARCH("#",B115)), LEFT(B115,FIND("#",B115)-1), B115)</f>
        <v xml:space="preserve">Duffel Bag </v>
      </c>
      <c r="G115" s="26">
        <f>IF(ISNUMBER(SEARCH("#",B115)),VALUE(MID(B115,FIND("#",B115)+1,1000)),1)</f>
        <v>1</v>
      </c>
      <c r="H115" t="str">
        <f>IF(AND(regexMatch(B115,".*#[0-9]*$"),ISNUMBER(SEARCH("#",B115))),CONCATENATE(TRIM(F115)," #",G115),B115)</f>
        <v>Duffel Bag #1</v>
      </c>
    </row>
    <row r="116" spans="1:8" ht="15.75" thickBot="1" x14ac:dyDescent="0.3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>IF(ISNUMBER(SEARCH("#",B116)), LEFT(B116,FIND("#",B116)-1), B116)</f>
        <v xml:space="preserve">Duffel Bag </v>
      </c>
      <c r="G116" s="26">
        <f>IF(ISNUMBER(SEARCH("#",B116)),VALUE(MID(B116,FIND("#",B116)+1,1000)),1)</f>
        <v>2</v>
      </c>
      <c r="H116" t="str">
        <f>IF(AND(regexMatch(B116,".*#[0-9]*$"),ISNUMBER(SEARCH("#",B116))),CONCATENATE(TRIM(F116)," #",G116),B116)</f>
        <v>Duffel Bag #2</v>
      </c>
    </row>
    <row r="117" spans="1:8" ht="15.75" thickBot="1" x14ac:dyDescent="0.3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>IF(ISNUMBER(SEARCH("#",B117)), LEFT(B117,FIND("#",B117)-1), B117)</f>
        <v>Fruit Basket</v>
      </c>
      <c r="G117" s="26">
        <f>IF(ISNUMBER(SEARCH("#",B117)),VALUE(MID(B117,FIND("#",B117)+1,1000)),1)</f>
        <v>1</v>
      </c>
      <c r="H117" t="str">
        <f>IF(AND(regexMatch(B117,".*#[0-9]*$"),ISNUMBER(SEARCH("#",B117))),CONCATENATE(TRIM(F117)," #",G117),B117)</f>
        <v>Fruit Basket</v>
      </c>
    </row>
    <row r="118" spans="1:8" ht="15.75" thickBot="1" x14ac:dyDescent="0.3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>IF(ISNUMBER(SEARCH("#",B118)), LEFT(B118,FIND("#",B118)-1), B118)</f>
        <v xml:space="preserve">Golf Bag </v>
      </c>
      <c r="G118" s="26">
        <f>IF(ISNUMBER(SEARCH("#",B118)),VALUE(MID(B118,FIND("#",B118)+1,1000)),1)</f>
        <v>1</v>
      </c>
      <c r="H118" t="str">
        <f>IF(AND(regexMatch(B118,".*#[0-9]*$"),ISNUMBER(SEARCH("#",B118))),CONCATENATE(TRIM(F118)," #",G118),B118)</f>
        <v>Golf Bag #1</v>
      </c>
    </row>
    <row r="119" spans="1:8" ht="15.75" thickBot="1" x14ac:dyDescent="0.3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>IF(ISNUMBER(SEARCH("#",B119)), LEFT(B119,FIND("#",B119)-1), B119)</f>
        <v xml:space="preserve">Golf Bag </v>
      </c>
      <c r="G119" s="26">
        <f>IF(ISNUMBER(SEARCH("#",B119)),VALUE(MID(B119,FIND("#",B119)+1,1000)),1)</f>
        <v>2</v>
      </c>
      <c r="H119" t="str">
        <f>IF(AND(regexMatch(B119,".*#[0-9]*$"),ISNUMBER(SEARCH("#",B119))),CONCATENATE(TRIM(F119)," #",G119),B119)</f>
        <v>Golf Bag #2</v>
      </c>
    </row>
    <row r="120" spans="1:8" ht="15.75" thickBot="1" x14ac:dyDescent="0.3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>IF(ISNUMBER(SEARCH("#",B120)), LEFT(B120,FIND("#",B120)-1), B120)</f>
        <v xml:space="preserve">Golf Bag </v>
      </c>
      <c r="G120" s="26">
        <f>IF(ISNUMBER(SEARCH("#",B120)),VALUE(MID(B120,FIND("#",B120)+1,1000)),1)</f>
        <v>3</v>
      </c>
      <c r="H120" t="str">
        <f>IF(AND(regexMatch(B120,".*#[0-9]*$"),ISNUMBER(SEARCH("#",B120))),CONCATENATE(TRIM(F120)," #",G120),B120)</f>
        <v>Golf Bag #3</v>
      </c>
    </row>
    <row r="121" spans="1:8" ht="15.75" thickBot="1" x14ac:dyDescent="0.3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>IF(ISNUMBER(SEARCH("#",B121)), LEFT(B121,FIND("#",B121)-1), B121)</f>
        <v>Handbag</v>
      </c>
      <c r="G121" s="26">
        <f>IF(ISNUMBER(SEARCH("#",B121)),VALUE(MID(B121,FIND("#",B121)+1,1000)),1)</f>
        <v>1</v>
      </c>
      <c r="H121" t="str">
        <f>IF(AND(regexMatch(B121,".*#[0-9]*$"),ISNUMBER(SEARCH("#",B121))),CONCATENATE(TRIM(F121)," #",G121),B121)</f>
        <v>Handbag</v>
      </c>
    </row>
    <row r="122" spans="1:8" ht="15.75" thickBot="1" x14ac:dyDescent="0.3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>IF(ISNUMBER(SEARCH("#",B122)), LEFT(B122,FIND("#",B122)-1), B122)</f>
        <v xml:space="preserve">Handbag </v>
      </c>
      <c r="G122" s="26">
        <f>IF(ISNUMBER(SEARCH("#",B122)),VALUE(MID(B122,FIND("#",B122)+1,1000)),1)</f>
        <v>1</v>
      </c>
      <c r="H122" t="str">
        <f>IF(AND(regexMatch(B122,".*#[0-9]*$"),ISNUMBER(SEARCH("#",B122))),CONCATENATE(TRIM(F122)," #",G122),B122)</f>
        <v>Handbag #1</v>
      </c>
    </row>
    <row r="123" spans="1:8" ht="15.75" thickBot="1" x14ac:dyDescent="0.3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>IF(ISNUMBER(SEARCH("#",B123)), LEFT(B123,FIND("#",B123)-1), B123)</f>
        <v xml:space="preserve">Handbag </v>
      </c>
      <c r="G123" s="26">
        <f>IF(ISNUMBER(SEARCH("#",B123)),VALUE(MID(B123,FIND("#",B123)+1,1000)),1)</f>
        <v>2</v>
      </c>
      <c r="H123" t="str">
        <f>IF(AND(regexMatch(B123,".*#[0-9]*$"),ISNUMBER(SEARCH("#",B123))),CONCATENATE(TRIM(F123)," #",G123),B123)</f>
        <v>Handbag #2</v>
      </c>
    </row>
    <row r="124" spans="1:8" ht="15.75" thickBot="1" x14ac:dyDescent="0.3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>IF(ISNUMBER(SEARCH("#",B124)), LEFT(B124,FIND("#",B124)-1), B124)</f>
        <v>Health Pack</v>
      </c>
      <c r="G124" s="26">
        <f>IF(ISNUMBER(SEARCH("#",B124)),VALUE(MID(B124,FIND("#",B124)+1,1000)),1)</f>
        <v>1</v>
      </c>
      <c r="H124" t="str">
        <f>IF(AND(regexMatch(B124,".*#[0-9]*$"),ISNUMBER(SEARCH("#",B124))),CONCATENATE(TRIM(F124)," #",G124),B124)</f>
        <v>Health Pack</v>
      </c>
    </row>
    <row r="125" spans="1:8" ht="15.75" thickBot="1" x14ac:dyDescent="0.3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>IF(ISNUMBER(SEARCH("#",B125)), LEFT(B125,FIND("#",B125)-1), B125)</f>
        <v xml:space="preserve">Heist Bag </v>
      </c>
      <c r="G125" s="26">
        <f>IF(ISNUMBER(SEARCH("#",B125)),VALUE(MID(B125,FIND("#",B125)+1,1000)),1)</f>
        <v>1</v>
      </c>
      <c r="H125" t="str">
        <f>IF(AND(regexMatch(B125,".*#[0-9]*$"),ISNUMBER(SEARCH("#",B125))),CONCATENATE(TRIM(F125)," #",G125),B125)</f>
        <v>Heist Bag #1</v>
      </c>
    </row>
    <row r="126" spans="1:8" ht="15.75" thickBot="1" x14ac:dyDescent="0.3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>IF(ISNUMBER(SEARCH("#",B126)), LEFT(B126,FIND("#",B126)-1), B126)</f>
        <v xml:space="preserve">Heist Bag </v>
      </c>
      <c r="G126" s="26">
        <f>IF(ISNUMBER(SEARCH("#",B126)),VALUE(MID(B126,FIND("#",B126)+1,1000)),1)</f>
        <v>1</v>
      </c>
      <c r="H126" t="str">
        <f>IF(AND(regexMatch(B126,".*#[0-9]*$"),ISNUMBER(SEARCH("#",B126))),CONCATENATE(TRIM(F126)," #",G126),B126)</f>
        <v>Heist Bag #1</v>
      </c>
    </row>
    <row r="127" spans="1:8" ht="15.75" thickBot="1" x14ac:dyDescent="0.3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>IF(ISNUMBER(SEARCH("#",B127)), LEFT(B127,FIND("#",B127)-1), B127)</f>
        <v xml:space="preserve">Heist Bag </v>
      </c>
      <c r="G127" s="26">
        <f>IF(ISNUMBER(SEARCH("#",B127)),VALUE(MID(B127,FIND("#",B127)+1,1000)),1)</f>
        <v>2</v>
      </c>
      <c r="H127" t="str">
        <f>IF(AND(regexMatch(B127,".*#[0-9]*$"),ISNUMBER(SEARCH("#",B127))),CONCATENATE(TRIM(F127)," #",G127),B127)</f>
        <v>Heist Bag #2</v>
      </c>
    </row>
    <row r="128" spans="1:8" ht="15.75" thickBot="1" x14ac:dyDescent="0.3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>IF(ISNUMBER(SEARCH("#",B128)), LEFT(B128,FIND("#",B128)-1), B128)</f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.75" thickBot="1" x14ac:dyDescent="0.3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.75" thickBot="1" x14ac:dyDescent="0.3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>IF(ISNUMBER(SEARCH("#",B130)), LEFT(B130,FIND("#",B130)-1), B130)</f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.75" thickBot="1" x14ac:dyDescent="0.3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>IF(ISNUMBER(SEARCH("#",B131)), LEFT(B131,FIND("#",B131)-1), B131)</f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.75" thickBot="1" x14ac:dyDescent="0.3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>IF(ISNUMBER(SEARCH("#",B132)), LEFT(B132,FIND("#",B132)-1), B132)</f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.75" thickBot="1" x14ac:dyDescent="0.3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>IF(ISNUMBER(SEARCH("#",B133)), LEFT(B133,FIND("#",B133)-1), B133)</f>
        <v>Heist Bag Strap</v>
      </c>
      <c r="G133" s="26">
        <f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.75" thickBot="1" x14ac:dyDescent="0.3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>IF(ISNUMBER(SEARCH("#",B134)), LEFT(B134,FIND("#",B134)-1), B134)</f>
        <v>Hockey Bag</v>
      </c>
      <c r="G134" s="26">
        <f>IF(ISNUMBER(SEARCH("#",B134)),VALUE(MID(B134,FIND("#",B134)+1,1000)),1)</f>
        <v>1</v>
      </c>
      <c r="H134" t="str">
        <f>IF(AND(regexMatch(B134,".*#[0-9]*$"),ISNUMBER(SEARCH("#",B134))),CONCATENATE(TRIM(F134)," #",G134),B134)</f>
        <v>Hockey Bag</v>
      </c>
    </row>
    <row r="135" spans="1:8" ht="15.75" thickBot="1" x14ac:dyDescent="0.3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>IF(ISNUMBER(SEARCH("#",B135)), LEFT(B135,FIND("#",B135)-1), B135)</f>
        <v xml:space="preserve">Luggage </v>
      </c>
      <c r="G135" s="26">
        <f>IF(ISNUMBER(SEARCH("#",B135)),VALUE(MID(B135,FIND("#",B135)+1,1000)),1)</f>
        <v>1</v>
      </c>
      <c r="H135" t="str">
        <f>IF(AND(regexMatch(B135,".*#[0-9]*$"),ISNUMBER(SEARCH("#",B135))),CONCATENATE(TRIM(F135)," #",G135),B135)</f>
        <v>Luggage #1</v>
      </c>
    </row>
    <row r="136" spans="1:8" ht="15.75" thickBot="1" x14ac:dyDescent="0.3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>IF(ISNUMBER(SEARCH("#",B136)), LEFT(B136,FIND("#",B136)-1), B136)</f>
        <v xml:space="preserve">Luggage </v>
      </c>
      <c r="G136" s="26">
        <f>IF(ISNUMBER(SEARCH("#",B136)),VALUE(MID(B136,FIND("#",B136)+1,1000)),1)</f>
        <v>2</v>
      </c>
      <c r="H136" t="str">
        <f>IF(AND(regexMatch(B136,".*#[0-9]*$"),ISNUMBER(SEARCH("#",B136))),CONCATENATE(TRIM(F136)," #",G136),B136)</f>
        <v>Luggage #2</v>
      </c>
    </row>
    <row r="137" spans="1:8" ht="15.75" thickBot="1" x14ac:dyDescent="0.3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>IF(ISNUMBER(SEARCH("#",B137)), LEFT(B137,FIND("#",B137)-1), B137)</f>
        <v xml:space="preserve">Luggage </v>
      </c>
      <c r="G137" s="26">
        <f>IF(ISNUMBER(SEARCH("#",B137)),VALUE(MID(B137,FIND("#",B137)+1,1000)),1)</f>
        <v>3</v>
      </c>
      <c r="H137" t="str">
        <f>IF(AND(regexMatch(B137,".*#[0-9]*$"),ISNUMBER(SEARCH("#",B137))),CONCATENATE(TRIM(F137)," #",G137),B137)</f>
        <v>Luggage #3</v>
      </c>
    </row>
    <row r="138" spans="1:8" ht="15.75" thickBot="1" x14ac:dyDescent="0.3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>IF(ISNUMBER(SEARCH("#",B138)), LEFT(B138,FIND("#",B138)-1), B138)</f>
        <v xml:space="preserve">Luggage </v>
      </c>
      <c r="G138" s="26">
        <f>IF(ISNUMBER(SEARCH("#",B138)),VALUE(MID(B138,FIND("#",B138)+1,1000)),1)</f>
        <v>4</v>
      </c>
      <c r="H138" t="str">
        <f>IF(AND(regexMatch(B138,".*#[0-9]*$"),ISNUMBER(SEARCH("#",B138))),CONCATENATE(TRIM(F138)," #",G138),B138)</f>
        <v>Luggage #4</v>
      </c>
    </row>
    <row r="139" spans="1:8" ht="15.75" thickBot="1" x14ac:dyDescent="0.3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>IF(ISNUMBER(SEARCH("#",B139)), LEFT(B139,FIND("#",B139)-1), B139)</f>
        <v xml:space="preserve">Luggage </v>
      </c>
      <c r="G139" s="26">
        <f>IF(ISNUMBER(SEARCH("#",B139)),VALUE(MID(B139,FIND("#",B139)+1,1000)),1)</f>
        <v>5</v>
      </c>
      <c r="H139" t="str">
        <f>IF(AND(regexMatch(B139,".*#[0-9]*$"),ISNUMBER(SEARCH("#",B139))),CONCATENATE(TRIM(F139)," #",G139),B139)</f>
        <v>Luggage #5</v>
      </c>
    </row>
    <row r="140" spans="1:8" ht="15.75" thickBot="1" x14ac:dyDescent="0.3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>IF(ISNUMBER(SEARCH("#",B140)), LEFT(B140,FIND("#",B140)-1), B140)</f>
        <v xml:space="preserve">Luggage </v>
      </c>
      <c r="G140" s="26">
        <f>IF(ISNUMBER(SEARCH("#",B140)),VALUE(MID(B140,FIND("#",B140)+1,1000)),1)</f>
        <v>6</v>
      </c>
      <c r="H140" t="str">
        <f>IF(AND(regexMatch(B140,".*#[0-9]*$"),ISNUMBER(SEARCH("#",B140))),CONCATENATE(TRIM(F140)," #",G140),B140)</f>
        <v>Luggage #6</v>
      </c>
    </row>
    <row r="141" spans="1:8" ht="15.75" thickBot="1" x14ac:dyDescent="0.3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>IF(ISNUMBER(SEARCH("#",B141)), LEFT(B141,FIND("#",B141)-1), B141)</f>
        <v xml:space="preserve">Luggage </v>
      </c>
      <c r="G141" s="26">
        <f>IF(ISNUMBER(SEARCH("#",B141)),VALUE(MID(B141,FIND("#",B141)+1,1000)),1)</f>
        <v>7</v>
      </c>
      <c r="H141" t="str">
        <f>IF(AND(regexMatch(B141,".*#[0-9]*$"),ISNUMBER(SEARCH("#",B141))),CONCATENATE(TRIM(F141)," #",G141),B141)</f>
        <v>Luggage #7</v>
      </c>
    </row>
    <row r="142" spans="1:8" ht="15.75" thickBot="1" x14ac:dyDescent="0.3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>IF(ISNUMBER(SEARCH("#",B142)), LEFT(B142,FIND("#",B142)-1), B142)</f>
        <v xml:space="preserve">Luggage </v>
      </c>
      <c r="G142" s="26">
        <f>IF(ISNUMBER(SEARCH("#",B142)),VALUE(MID(B142,FIND("#",B142)+1,1000)),1)</f>
        <v>8</v>
      </c>
      <c r="H142" t="str">
        <f>IF(AND(regexMatch(B142,".*#[0-9]*$"),ISNUMBER(SEARCH("#",B142))),CONCATENATE(TRIM(F142)," #",G142),B142)</f>
        <v>Luggage #8</v>
      </c>
    </row>
    <row r="143" spans="1:8" ht="15.75" thickBot="1" x14ac:dyDescent="0.3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>IF(ISNUMBER(SEARCH("#",B143)), LEFT(B143,FIND("#",B143)-1), B143)</f>
        <v xml:space="preserve">Luggage </v>
      </c>
      <c r="G143" s="26">
        <f>IF(ISNUMBER(SEARCH("#",B143)),VALUE(MID(B143,FIND("#",B143)+1,1000)),1)</f>
        <v>9</v>
      </c>
      <c r="H143" t="str">
        <f>IF(AND(regexMatch(B143,".*#[0-9]*$"),ISNUMBER(SEARCH("#",B143))),CONCATENATE(TRIM(F143)," #",G143),B143)</f>
        <v>Luggage #9</v>
      </c>
    </row>
    <row r="144" spans="1:8" ht="15.75" thickBot="1" x14ac:dyDescent="0.3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>IF(ISNUMBER(SEARCH("#",B144)), LEFT(B144,FIND("#",B144)-1), B144)</f>
        <v xml:space="preserve">Med Bag </v>
      </c>
      <c r="G144" s="26">
        <f>IF(ISNUMBER(SEARCH("#",B144)),VALUE(MID(B144,FIND("#",B144)+1,1000)),1)</f>
        <v>1</v>
      </c>
      <c r="H144" t="str">
        <f>IF(AND(regexMatch(B144,".*#[0-9]*$"),ISNUMBER(SEARCH("#",B144))),CONCATENATE(TRIM(F144)," #",G144),B144)</f>
        <v>Med Bag #1</v>
      </c>
    </row>
    <row r="145" spans="1:8" ht="15.75" thickBot="1" x14ac:dyDescent="0.3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>IF(ISNUMBER(SEARCH("#",B145)), LEFT(B145,FIND("#",B145)-1), B145)</f>
        <v xml:space="preserve">Med Bag </v>
      </c>
      <c r="G145" s="26">
        <f>IF(ISNUMBER(SEARCH("#",B145)),VALUE(MID(B145,FIND("#",B145)+1,1000)),1)</f>
        <v>2</v>
      </c>
      <c r="H145" t="str">
        <f>IF(AND(regexMatch(B145,".*#[0-9]*$"),ISNUMBER(SEARCH("#",B145))),CONCATENATE(TRIM(F145)," #",G145),B145)</f>
        <v>Med Bag #2</v>
      </c>
    </row>
    <row r="146" spans="1:8" ht="15.75" thickBot="1" x14ac:dyDescent="0.3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>IF(ISNUMBER(SEARCH("#",B146)), LEFT(B146,FIND("#",B146)-1), B146)</f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.75" thickBot="1" x14ac:dyDescent="0.3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>IF(ISNUMBER(SEARCH("#",B147)), LEFT(B147,FIND("#",B147)-1), B147)</f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.75" thickBot="1" x14ac:dyDescent="0.3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>IF(ISNUMBER(SEARCH("#",B148)), LEFT(B148,FIND("#",B148)-1), B148)</f>
        <v>Nigel Bag Pickup</v>
      </c>
      <c r="G148" s="26">
        <f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.75" thickBot="1" x14ac:dyDescent="0.3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>IF(ISNUMBER(SEARCH("#",B149)), LEFT(B149,FIND("#",B149)-1), B149)</f>
        <v>Paper Bag</v>
      </c>
      <c r="G149" s="26">
        <f>IF(ISNUMBER(SEARCH("#",B149)),VALUE(MID(B149,FIND("#",B149)+1,1000)),1)</f>
        <v>1</v>
      </c>
      <c r="H149" t="str">
        <f>IF(AND(regexMatch(B149,".*#[0-9]*$"),ISNUMBER(SEARCH("#",B149))),CONCATENATE(TRIM(F149)," #",G149),B149)</f>
        <v>Paper Bag</v>
      </c>
    </row>
    <row r="150" spans="1:8" ht="15.75" thickBot="1" x14ac:dyDescent="0.3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>IF(ISNUMBER(SEARCH("#",B150)), LEFT(B150,FIND("#",B150)-1), B150)</f>
        <v>Paper Bag Small</v>
      </c>
      <c r="G150" s="26">
        <f>IF(ISNUMBER(SEARCH("#",B150)),VALUE(MID(B150,FIND("#",B150)+1,1000)),1)</f>
        <v>1</v>
      </c>
      <c r="H150" t="str">
        <f>IF(AND(regexMatch(B150,".*#[0-9]*$"),ISNUMBER(SEARCH("#",B150))),CONCATENATE(TRIM(F150)," #",G150),B150)</f>
        <v>Paper Bag Small</v>
      </c>
    </row>
    <row r="151" spans="1:8" ht="15.75" thickBot="1" x14ac:dyDescent="0.3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>IF(ISNUMBER(SEARCH("#",B151)), LEFT(B151,FIND("#",B151)-1), B151)</f>
        <v>Parachute Pack</v>
      </c>
      <c r="G151" s="26">
        <f>IF(ISNUMBER(SEARCH("#",B151)),VALUE(MID(B151,FIND("#",B151)+1,1000)),1)</f>
        <v>1</v>
      </c>
      <c r="H151" t="str">
        <f>IF(AND(regexMatch(B151,".*#[0-9]*$"),ISNUMBER(SEARCH("#",B151))),CONCATENATE(TRIM(F151)," #",G151),B151)</f>
        <v>Parachute Pack</v>
      </c>
    </row>
    <row r="152" spans="1:8" ht="15.75" thickBot="1" x14ac:dyDescent="0.3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>IF(ISNUMBER(SEARCH("#",B152)), LEFT(B152,FIND("#",B152)-1), B152)</f>
        <v>Security Case Closed</v>
      </c>
      <c r="G152" s="26">
        <f>IF(ISNUMBER(SEARCH("#",B152)),VALUE(MID(B152,FIND("#",B152)+1,1000)),1)</f>
        <v>1</v>
      </c>
      <c r="H152" t="str">
        <f>IF(AND(regexMatch(B152,".*#[0-9]*$"),ISNUMBER(SEARCH("#",B152))),CONCATENATE(TRIM(F152)," #",G152),B152)</f>
        <v>Security Case Closed</v>
      </c>
    </row>
    <row r="153" spans="1:8" ht="15.75" thickBot="1" x14ac:dyDescent="0.3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>IF(ISNUMBER(SEARCH("#",B153)), LEFT(B153,FIND("#",B153)-1), B153)</f>
        <v>Security Case Open</v>
      </c>
      <c r="G153" s="26">
        <f>IF(ISNUMBER(SEARCH("#",B153)),VALUE(MID(B153,FIND("#",B153)+1,1000)),1)</f>
        <v>1</v>
      </c>
      <c r="H153" t="str">
        <f>IF(AND(regexMatch(B153,".*#[0-9]*$"),ISNUMBER(SEARCH("#",B153))),CONCATENATE(TRIM(F153)," #",G153),B153)</f>
        <v>Security Case Open</v>
      </c>
    </row>
    <row r="154" spans="1:8" ht="15.75" thickBot="1" x14ac:dyDescent="0.3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>IF(ISNUMBER(SEARCH("#",B154)), LEFT(B154,FIND("#",B154)-1), B154)</f>
        <v>Stat Pack</v>
      </c>
      <c r="G154" s="26">
        <f>IF(ISNUMBER(SEARCH("#",B154)),VALUE(MID(B154,FIND("#",B154)+1,1000)),1)</f>
        <v>1</v>
      </c>
      <c r="H154" t="str">
        <f>IF(AND(regexMatch(B154,".*#[0-9]*$"),ISNUMBER(SEARCH("#",B154))),CONCATENATE(TRIM(F154)," #",G154),B154)</f>
        <v>Stat Pack</v>
      </c>
    </row>
    <row r="155" spans="1:8" ht="15.75" thickBot="1" x14ac:dyDescent="0.3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>IF(ISNUMBER(SEARCH("#",B155)), LEFT(B155,FIND("#",B155)-1), B155)</f>
        <v xml:space="preserve">Suitcase </v>
      </c>
      <c r="G155" s="26">
        <f>IF(ISNUMBER(SEARCH("#",B155)),VALUE(MID(B155,FIND("#",B155)+1,1000)),1)</f>
        <v>1</v>
      </c>
      <c r="H155" t="str">
        <f>IF(AND(regexMatch(B155,".*#[0-9]*$"),ISNUMBER(SEARCH("#",B155))),CONCATENATE(TRIM(F155)," #",G155),B155)</f>
        <v>Suitcase #1</v>
      </c>
    </row>
    <row r="156" spans="1:8" ht="15.75" thickBot="1" x14ac:dyDescent="0.3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>IF(ISNUMBER(SEARCH("#",B156)), LEFT(B156,FIND("#",B156)-1), B156)</f>
        <v xml:space="preserve">Suitcase </v>
      </c>
      <c r="G156" s="26">
        <f>IF(ISNUMBER(SEARCH("#",B156)),VALUE(MID(B156,FIND("#",B156)+1,1000)),1)</f>
        <v>2</v>
      </c>
      <c r="H156" t="str">
        <f>IF(AND(regexMatch(B156,".*#[0-9]*$"),ISNUMBER(SEARCH("#",B156))),CONCATENATE(TRIM(F156)," #",G156),B156)</f>
        <v>Suitcase #2</v>
      </c>
    </row>
    <row r="157" spans="1:8" ht="15.75" thickBot="1" x14ac:dyDescent="0.3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>IF(ISNUMBER(SEARCH("#",B157)), LEFT(B157,FIND("#",B157)-1), B157)</f>
        <v xml:space="preserve">Suitcase </v>
      </c>
      <c r="G157" s="26">
        <f>IF(ISNUMBER(SEARCH("#",B157)),VALUE(MID(B157,FIND("#",B157)+1,1000)),1)</f>
        <v>3</v>
      </c>
      <c r="H157" t="str">
        <f>IF(AND(regexMatch(B157,".*#[0-9]*$"),ISNUMBER(SEARCH("#",B157))),CONCATENATE(TRIM(F157)," #",G157),B157)</f>
        <v>Suitcase #3</v>
      </c>
    </row>
    <row r="158" spans="1:8" ht="15.75" thickBot="1" x14ac:dyDescent="0.3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>IF(ISNUMBER(SEARCH("#",B158)), LEFT(B158,FIND("#",B158)-1), B158)</f>
        <v xml:space="preserve">Suitcase </v>
      </c>
      <c r="G158" s="26">
        <f>IF(ISNUMBER(SEARCH("#",B158)),VALUE(MID(B158,FIND("#",B158)+1,1000)),1)</f>
        <v>4</v>
      </c>
      <c r="H158" t="str">
        <f>IF(AND(regexMatch(B158,".*#[0-9]*$"),ISNUMBER(SEARCH("#",B158))),CONCATENATE(TRIM(F158)," #",G158),B158)</f>
        <v>Suitcase #4</v>
      </c>
    </row>
    <row r="159" spans="1:8" ht="15.75" thickBot="1" x14ac:dyDescent="0.3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>IF(ISNUMBER(SEARCH("#",B159)), LEFT(B159,FIND("#",B159)-1), B159)</f>
        <v xml:space="preserve">Suitcase </v>
      </c>
      <c r="G159" s="26">
        <f>IF(ISNUMBER(SEARCH("#",B159)),VALUE(MID(B159,FIND("#",B159)+1,1000)),1)</f>
        <v>5</v>
      </c>
      <c r="H159" t="str">
        <f>IF(AND(regexMatch(B159,".*#[0-9]*$"),ISNUMBER(SEARCH("#",B159))),CONCATENATE(TRIM(F159)," #",G159),B159)</f>
        <v>Suitcase #5</v>
      </c>
    </row>
    <row r="160" spans="1:8" ht="15.75" thickBot="1" x14ac:dyDescent="0.3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>IF(ISNUMBER(SEARCH("#",B160)), LEFT(B160,FIND("#",B160)-1), B160)</f>
        <v xml:space="preserve">Suitcase </v>
      </c>
      <c r="G160" s="26">
        <f>IF(ISNUMBER(SEARCH("#",B160)),VALUE(MID(B160,FIND("#",B160)+1,1000)),1)</f>
        <v>6</v>
      </c>
      <c r="H160" t="str">
        <f>IF(AND(regexMatch(B160,".*#[0-9]*$"),ISNUMBER(SEARCH("#",B160))),CONCATENATE(TRIM(F160)," #",G160),B160)</f>
        <v>Suitcase #6</v>
      </c>
    </row>
    <row r="161" spans="1:8" ht="15.75" thickBot="1" x14ac:dyDescent="0.3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>IF(ISNUMBER(SEARCH("#",B161)), LEFT(B161,FIND("#",B161)-1), B161)</f>
        <v xml:space="preserve">Suitcase </v>
      </c>
      <c r="G161" s="26">
        <f>IF(ISNUMBER(SEARCH("#",B161)),VALUE(MID(B161,FIND("#",B161)+1,1000)),1)</f>
        <v>7</v>
      </c>
      <c r="H161" t="str">
        <f>IF(AND(regexMatch(B161,".*#[0-9]*$"),ISNUMBER(SEARCH("#",B161))),CONCATENATE(TRIM(F161)," #",G161),B161)</f>
        <v>Suitcase #7</v>
      </c>
    </row>
    <row r="162" spans="1:8" ht="15.75" thickBot="1" x14ac:dyDescent="0.3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>IF(ISNUMBER(SEARCH("#",B162)), LEFT(B162,FIND("#",B162)-1), B162)</f>
        <v xml:space="preserve">Suitcase </v>
      </c>
      <c r="G162" s="26">
        <f>IF(ISNUMBER(SEARCH("#",B162)),VALUE(MID(B162,FIND("#",B162)+1,1000)),1)</f>
        <v>8</v>
      </c>
      <c r="H162" t="str">
        <f>IF(AND(regexMatch(B162,".*#[0-9]*$"),ISNUMBER(SEARCH("#",B162))),CONCATENATE(TRIM(F162)," #",G162),B162)</f>
        <v>Suitcase #8</v>
      </c>
    </row>
    <row r="163" spans="1:8" ht="15.75" thickBot="1" x14ac:dyDescent="0.3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>IF(ISNUMBER(SEARCH("#",B163)), LEFT(B163,FIND("#",B163)-1), B163)</f>
        <v xml:space="preserve">Suitcase </v>
      </c>
      <c r="G163" s="26">
        <f>IF(ISNUMBER(SEARCH("#",B163)),VALUE(MID(B163,FIND("#",B163)+1,1000)),1)</f>
        <v>9</v>
      </c>
      <c r="H163" t="str">
        <f>IF(AND(regexMatch(B163,".*#[0-9]*$"),ISNUMBER(SEARCH("#",B163))),CONCATENATE(TRIM(F163)," #",G163),B163)</f>
        <v>Suitcase #9</v>
      </c>
    </row>
    <row r="164" spans="1:8" ht="15.75" thickBot="1" x14ac:dyDescent="0.3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>IF(ISNUMBER(SEARCH("#",B164)), LEFT(B164,FIND("#",B164)-1), B164)</f>
        <v>Tennis Bag</v>
      </c>
      <c r="G164" s="26">
        <f>IF(ISNUMBER(SEARCH("#",B164)),VALUE(MID(B164,FIND("#",B164)+1,1000)),1)</f>
        <v>1</v>
      </c>
      <c r="H164" t="str">
        <f>IF(AND(regexMatch(B164,".*#[0-9]*$"),ISNUMBER(SEARCH("#",B164))),CONCATENATE(TRIM(F164)," #",G164),B164)</f>
        <v>Tennis Bag</v>
      </c>
    </row>
    <row r="165" spans="1:8" ht="15.75" thickBot="1" x14ac:dyDescent="0.3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>IF(ISNUMBER(SEARCH("#",B165)), LEFT(B165,FIND("#",B165)-1), B165)</f>
        <v>Ashtray</v>
      </c>
      <c r="G165" s="26">
        <f>IF(ISNUMBER(SEARCH("#",B165)),VALUE(MID(B165,FIND("#",B165)+1,1000)),1)</f>
        <v>1</v>
      </c>
      <c r="H165" t="str">
        <f>IF(AND(regexMatch(B165,".*#[0-9]*$"),ISNUMBER(SEARCH("#",B165))),CONCATENATE(TRIM(F165)," #",G165),B165)</f>
        <v>Ashtray</v>
      </c>
    </row>
    <row r="166" spans="1:8" ht="15.75" thickBot="1" x14ac:dyDescent="0.3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>IF(ISNUMBER(SEARCH("#",B166)), LEFT(B166,FIND("#",B166)-1), B166)</f>
        <v>Bahama Mamas Menu</v>
      </c>
      <c r="G166" s="26">
        <f>IF(ISNUMBER(SEARCH("#",B166)),VALUE(MID(B166,FIND("#",B166)+1,1000)),1)</f>
        <v>1</v>
      </c>
      <c r="H166" t="str">
        <f>IF(AND(regexMatch(B166,".*#[0-9]*$"),ISNUMBER(SEARCH("#",B166))),CONCATENATE(TRIM(F166)," #",G166),B166)</f>
        <v>Bahama Mamas Menu</v>
      </c>
    </row>
    <row r="167" spans="1:8" ht="15.75" thickBot="1" x14ac:dyDescent="0.3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>IF(ISNUMBER(SEARCH("#",B167)), LEFT(B167,FIND("#",B167)-1), B167)</f>
        <v>Bar Caddy</v>
      </c>
      <c r="G167" s="26">
        <f>IF(ISNUMBER(SEARCH("#",B167)),VALUE(MID(B167,FIND("#",B167)+1,1000)),1)</f>
        <v>1</v>
      </c>
      <c r="H167" t="str">
        <f>IF(AND(regexMatch(B167,".*#[0-9]*$"),ISNUMBER(SEARCH("#",B167))),CONCATENATE(TRIM(F167)," #",G167),B167)</f>
        <v>Bar Caddy</v>
      </c>
    </row>
    <row r="168" spans="1:8" ht="15.75" thickBot="1" x14ac:dyDescent="0.3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>IF(ISNUMBER(SEARCH("#",B168)), LEFT(B168,FIND("#",B168)-1), B168)</f>
        <v>Bar Coaster Barracho</v>
      </c>
      <c r="G168" s="26">
        <f>IF(ISNUMBER(SEARCH("#",B168)),VALUE(MID(B168,FIND("#",B168)+1,1000)),1)</f>
        <v>1</v>
      </c>
      <c r="H168" t="str">
        <f>IF(AND(regexMatch(B168,".*#[0-9]*$"),ISNUMBER(SEARCH("#",B168))),CONCATENATE(TRIM(F168)," #",G168),B168)</f>
        <v>Bar Coaster Barracho</v>
      </c>
    </row>
    <row r="169" spans="1:8" ht="15.75" thickBot="1" x14ac:dyDescent="0.3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>IF(ISNUMBER(SEARCH("#",B169)), LEFT(B169,FIND("#",B169)-1), B169)</f>
        <v>Bar Coaster Bleuter'd</v>
      </c>
      <c r="G169" s="26">
        <f>IF(ISNUMBER(SEARCH("#",B169)),VALUE(MID(B169,FIND("#",B169)+1,1000)),1)</f>
        <v>1</v>
      </c>
      <c r="H169" t="str">
        <f>IF(AND(regexMatch(B169,".*#[0-9]*$"),ISNUMBER(SEARCH("#",B169))),CONCATENATE(TRIM(F169)," #",G169),B169)</f>
        <v>Bar Coaster Bleuter'd</v>
      </c>
    </row>
    <row r="170" spans="1:8" ht="15.75" thickBot="1" x14ac:dyDescent="0.3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>IF(ISNUMBER(SEARCH("#",B170)), LEFT(B170,FIND("#",B170)-1), B170)</f>
        <v>Bar Coaster Dispenser</v>
      </c>
      <c r="G170" s="26">
        <f>IF(ISNUMBER(SEARCH("#",B170)),VALUE(MID(B170,FIND("#",B170)+1,1000)),1)</f>
        <v>1</v>
      </c>
      <c r="H170" t="str">
        <f>IF(AND(regexMatch(B170,".*#[0-9]*$"),ISNUMBER(SEARCH("#",B170))),CONCATENATE(TRIM(F170)," #",G170),B170)</f>
        <v>Bar Coaster Dispenser</v>
      </c>
    </row>
    <row r="171" spans="1:8" ht="15.75" thickBot="1" x14ac:dyDescent="0.3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>IF(ISNUMBER(SEARCH("#",B171)), LEFT(B171,FIND("#",B171)-1), B171)</f>
        <v>Bar Coaster Dusche</v>
      </c>
      <c r="G171" s="26">
        <f>IF(ISNUMBER(SEARCH("#",B171)),VALUE(MID(B171,FIND("#",B171)+1,1000)),1)</f>
        <v>1</v>
      </c>
      <c r="H171" t="str">
        <f>IF(AND(regexMatch(B171,".*#[0-9]*$"),ISNUMBER(SEARCH("#",B171))),CONCATENATE(TRIM(F171)," #",G171),B171)</f>
        <v>Bar Coaster Dusche</v>
      </c>
    </row>
    <row r="172" spans="1:8" ht="15.75" thickBot="1" x14ac:dyDescent="0.3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>IF(ISNUMBER(SEARCH("#",B172)), LEFT(B172,FIND("#",B172)-1), B172)</f>
        <v>Bar Coaster The Mount</v>
      </c>
      <c r="G172" s="26">
        <f>IF(ISNUMBER(SEARCH("#",B172)),VALUE(MID(B172,FIND("#",B172)+1,1000)),1)</f>
        <v>1</v>
      </c>
      <c r="H172" t="str">
        <f>IF(AND(regexMatch(B172,".*#[0-9]*$"),ISNUMBER(SEARCH("#",B172))),CONCATENATE(TRIM(F172)," #",G172),B172)</f>
        <v>Bar Coaster The Mount</v>
      </c>
    </row>
    <row r="173" spans="1:8" ht="15.75" thickBot="1" x14ac:dyDescent="0.3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>IF(ISNUMBER(SEARCH("#",B173)), LEFT(B173,FIND("#",B173)-1), B173)</f>
        <v>Bar Coffee Machine</v>
      </c>
      <c r="G173" s="26">
        <f>IF(ISNUMBER(SEARCH("#",B173)),VALUE(MID(B173,FIND("#",B173)+1,1000)),1)</f>
        <v>1</v>
      </c>
      <c r="H173" t="str">
        <f>IF(AND(regexMatch(B173,".*#[0-9]*$"),ISNUMBER(SEARCH("#",B173))),CONCATENATE(TRIM(F173)," #",G173),B173)</f>
        <v>Bar Coffee Machine</v>
      </c>
    </row>
    <row r="174" spans="1:8" ht="15.75" thickBot="1" x14ac:dyDescent="0.3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>IF(ISNUMBER(SEARCH("#",B174)), LEFT(B174,FIND("#",B174)-1), B174)</f>
        <v>Bar Snacks: Jelly Beans</v>
      </c>
      <c r="G174" s="26">
        <f>IF(ISNUMBER(SEARCH("#",B174)),VALUE(MID(B174,FIND("#",B174)+1,1000)),1)</f>
        <v>1</v>
      </c>
      <c r="H174" t="str">
        <f>IF(AND(regexMatch(B174,".*#[0-9]*$"),ISNUMBER(SEARCH("#",B174))),CONCATENATE(TRIM(F174)," #",G174),B174)</f>
        <v>Bar Snacks: Jelly Beans</v>
      </c>
    </row>
    <row r="175" spans="1:8" ht="15.75" thickBot="1" x14ac:dyDescent="0.3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>IF(ISNUMBER(SEARCH("#",B175)), LEFT(B175,FIND("#",B175)-1), B175)</f>
        <v>Bar Snacks: Nuts</v>
      </c>
      <c r="G175" s="26">
        <f>IF(ISNUMBER(SEARCH("#",B175)),VALUE(MID(B175,FIND("#",B175)+1,1000)),1)</f>
        <v>1</v>
      </c>
      <c r="H175" t="str">
        <f>IF(AND(regexMatch(B175,".*#[0-9]*$"),ISNUMBER(SEARCH("#",B175))),CONCATENATE(TRIM(F175)," #",G175),B175)</f>
        <v>Bar Snacks: Nuts</v>
      </c>
    </row>
    <row r="176" spans="1:8" ht="15.75" thickBot="1" x14ac:dyDescent="0.3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>IF(ISNUMBER(SEARCH("#",B176)), LEFT(B176,FIND("#",B176)-1), B176)</f>
        <v>Bar Stirrers</v>
      </c>
      <c r="G176" s="26">
        <f>IF(ISNUMBER(SEARCH("#",B176)),VALUE(MID(B176,FIND("#",B176)+1,1000)),1)</f>
        <v>1</v>
      </c>
      <c r="H176" t="str">
        <f>IF(AND(regexMatch(B176,".*#[0-9]*$"),ISNUMBER(SEARCH("#",B176))),CONCATENATE(TRIM(F176)," #",G176),B176)</f>
        <v>Bar Stirrers</v>
      </c>
    </row>
    <row r="177" spans="1:8" ht="15.75" thickBot="1" x14ac:dyDescent="0.3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>IF(ISNUMBER(SEARCH("#",B177)), LEFT(B177,FIND("#",B177)-1), B177)</f>
        <v xml:space="preserve">Bar Stool </v>
      </c>
      <c r="G177" s="26">
        <f>IF(ISNUMBER(SEARCH("#",B177)),VALUE(MID(B177,FIND("#",B177)+1,1000)),1)</f>
        <v>1</v>
      </c>
      <c r="H177" t="str">
        <f>IF(AND(regexMatch(B177,".*#[0-9]*$"),ISNUMBER(SEARCH("#",B177))),CONCATENATE(TRIM(F177)," #",G177),B177)</f>
        <v>Bar Stool #1</v>
      </c>
    </row>
    <row r="178" spans="1:8" ht="15.75" thickBot="1" x14ac:dyDescent="0.3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>IF(ISNUMBER(SEARCH("#",B178)), LEFT(B178,FIND("#",B178)-1), B178)</f>
        <v xml:space="preserve">Bar Stool </v>
      </c>
      <c r="G178" s="26">
        <f>IF(ISNUMBER(SEARCH("#",B178)),VALUE(MID(B178,FIND("#",B178)+1,1000)),1)</f>
        <v>2</v>
      </c>
      <c r="H178" t="str">
        <f>IF(AND(regexMatch(B178,".*#[0-9]*$"),ISNUMBER(SEARCH("#",B178))),CONCATENATE(TRIM(F178)," #",G178),B178)</f>
        <v>Bar Stool #2</v>
      </c>
    </row>
    <row r="179" spans="1:8" ht="15.75" thickBot="1" x14ac:dyDescent="0.3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>IF(ISNUMBER(SEARCH("#",B179)), LEFT(B179,FIND("#",B179)-1), B179)</f>
        <v>Cocktail Glass</v>
      </c>
      <c r="G179" s="26">
        <f>IF(ISNUMBER(SEARCH("#",B179)),VALUE(MID(B179,FIND("#",B179)+1,1000)),1)</f>
        <v>1</v>
      </c>
      <c r="H179" t="str">
        <f>IF(AND(regexMatch(B179,".*#[0-9]*$"),ISNUMBER(SEARCH("#",B179))),CONCATENATE(TRIM(F179)," #",G179),B179)</f>
        <v>Cocktail Glass</v>
      </c>
    </row>
    <row r="180" spans="1:8" ht="15.75" thickBot="1" x14ac:dyDescent="0.3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>IF(ISNUMBER(SEARCH("#",B180)), LEFT(B180,FIND("#",B180)-1), B180)</f>
        <v>Cocktail Shaker</v>
      </c>
      <c r="G180" s="26">
        <f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.75" thickBot="1" x14ac:dyDescent="0.3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>IF(ISNUMBER(SEARCH("#",B181)), LEFT(B181,FIND("#",B181)-1), B181)</f>
        <v>Cocktail Shaker Open</v>
      </c>
      <c r="G181" s="26">
        <f>IF(ISNUMBER(SEARCH("#",B181)),VALUE(MID(B181,FIND("#",B181)+1,1000)),1)</f>
        <v>1</v>
      </c>
      <c r="H181" t="str">
        <f>IF(AND(regexMatch(B181,".*#[0-9]*$"),ISNUMBER(SEARCH("#",B181))),CONCATENATE(TRIM(F181)," #",G181),B181)</f>
        <v>Cocktail Shaker Open</v>
      </c>
    </row>
    <row r="182" spans="1:8" ht="15.75" thickBot="1" x14ac:dyDescent="0.3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>IF(ISNUMBER(SEARCH("#",B182)), LEFT(B182,FIND("#",B182)-1), B182)</f>
        <v xml:space="preserve">Drinking Glasses Stack </v>
      </c>
      <c r="G182" s="26">
        <f>IF(ISNUMBER(SEARCH("#",B182)),VALUE(MID(B182,FIND("#",B182)+1,1000)),1)</f>
        <v>1</v>
      </c>
      <c r="H182" t="str">
        <f>IF(AND(regexMatch(B182,".*#[0-9]*$"),ISNUMBER(SEARCH("#",B182))),CONCATENATE(TRIM(F182)," #",G182),B182)</f>
        <v>Drinking Glasses Stack #1</v>
      </c>
    </row>
    <row r="183" spans="1:8" ht="15.75" thickBot="1" x14ac:dyDescent="0.3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>IF(ISNUMBER(SEARCH("#",B183)), LEFT(B183,FIND("#",B183)-1), B183)</f>
        <v xml:space="preserve">Drinking Glasses Stack </v>
      </c>
      <c r="G183" s="26">
        <f>IF(ISNUMBER(SEARCH("#",B183)),VALUE(MID(B183,FIND("#",B183)+1,1000)),1)</f>
        <v>2</v>
      </c>
      <c r="H183" t="str">
        <f>IF(AND(regexMatch(B183,".*#[0-9]*$"),ISNUMBER(SEARCH("#",B183))),CONCATENATE(TRIM(F183)," #",G183),B183)</f>
        <v>Drinking Glasses Stack #2</v>
      </c>
    </row>
    <row r="184" spans="1:8" ht="15.75" thickBot="1" x14ac:dyDescent="0.3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>IF(ISNUMBER(SEARCH("#",B184)), LEFT(B184,FIND("#",B184)-1), B184)</f>
        <v xml:space="preserve">Drinking Glasses Stack </v>
      </c>
      <c r="G184" s="26">
        <f>IF(ISNUMBER(SEARCH("#",B184)),VALUE(MID(B184,FIND("#",B184)+1,1000)),1)</f>
        <v>3</v>
      </c>
      <c r="H184" t="str">
        <f>IF(AND(regexMatch(B184,".*#[0-9]*$"),ISNUMBER(SEARCH("#",B184))),CONCATENATE(TRIM(F184)," #",G184),B184)</f>
        <v>Drinking Glasses Stack #3</v>
      </c>
    </row>
    <row r="185" spans="1:8" ht="15.75" thickBot="1" x14ac:dyDescent="0.3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>IF(ISNUMBER(SEARCH("#",B185)), LEFT(B185,FIND("#",B185)-1), B185)</f>
        <v xml:space="preserve">Drinking Glasses Stack </v>
      </c>
      <c r="G185" s="26">
        <f>IF(ISNUMBER(SEARCH("#",B185)),VALUE(MID(B185,FIND("#",B185)+1,1000)),1)</f>
        <v>4</v>
      </c>
      <c r="H185" t="str">
        <f>IF(AND(regexMatch(B185,".*#[0-9]*$"),ISNUMBER(SEARCH("#",B185))),CONCATENATE(TRIM(F185)," #",G185),B185)</f>
        <v>Drinking Glasses Stack #4</v>
      </c>
    </row>
    <row r="186" spans="1:8" ht="15.75" thickBot="1" x14ac:dyDescent="0.3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>IF(ISNUMBER(SEARCH("#",B186)), LEFT(B186,FIND("#",B186)-1), B186)</f>
        <v xml:space="preserve">Drinking Glasses Stack </v>
      </c>
      <c r="G186" s="26">
        <f>IF(ISNUMBER(SEARCH("#",B186)),VALUE(MID(B186,FIND("#",B186)+1,1000)),1)</f>
        <v>5</v>
      </c>
      <c r="H186" t="str">
        <f>IF(AND(regexMatch(B186,".*#[0-9]*$"),ISNUMBER(SEARCH("#",B186))),CONCATENATE(TRIM(F186)," #",G186),B186)</f>
        <v>Drinking Glasses Stack #5</v>
      </c>
    </row>
    <row r="187" spans="1:8" ht="15.75" thickBot="1" x14ac:dyDescent="0.3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>IF(ISNUMBER(SEARCH("#",B187)), LEFT(B187,FIND("#",B187)-1), B187)</f>
        <v xml:space="preserve">Drinking Glasses Stack </v>
      </c>
      <c r="G187" s="26">
        <f>IF(ISNUMBER(SEARCH("#",B187)),VALUE(MID(B187,FIND("#",B187)+1,1000)),1)</f>
        <v>6</v>
      </c>
      <c r="H187" t="str">
        <f>IF(AND(regexMatch(B187,".*#[0-9]*$"),ISNUMBER(SEARCH("#",B187))),CONCATENATE(TRIM(F187)," #",G187),B187)</f>
        <v>Drinking Glasses Stack #6</v>
      </c>
    </row>
    <row r="188" spans="1:8" ht="15.75" thickBot="1" x14ac:dyDescent="0.3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>IF(ISNUMBER(SEARCH("#",B188)), LEFT(B188,FIND("#",B188)-1), B188)</f>
        <v xml:space="preserve">Drinking Glasses Stack </v>
      </c>
      <c r="G188" s="26">
        <f>IF(ISNUMBER(SEARCH("#",B188)),VALUE(MID(B188,FIND("#",B188)+1,1000)),1)</f>
        <v>7</v>
      </c>
      <c r="H188" t="str">
        <f>IF(AND(regexMatch(B188,".*#[0-9]*$"),ISNUMBER(SEARCH("#",B188))),CONCATENATE(TRIM(F188)," #",G188),B188)</f>
        <v>Drinking Glasses Stack #7</v>
      </c>
    </row>
    <row r="189" spans="1:8" ht="15.75" thickBot="1" x14ac:dyDescent="0.3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>IF(ISNUMBER(SEARCH("#",B189)), LEFT(B189,FIND("#",B189)-1), B189)</f>
        <v xml:space="preserve">Drinking Glasses Stack </v>
      </c>
      <c r="G189" s="26">
        <f>IF(ISNUMBER(SEARCH("#",B189)),VALUE(MID(B189,FIND("#",B189)+1,1000)),1)</f>
        <v>8</v>
      </c>
      <c r="H189" t="str">
        <f>IF(AND(regexMatch(B189,".*#[0-9]*$"),ISNUMBER(SEARCH("#",B189))),CONCATENATE(TRIM(F189)," #",G189),B189)</f>
        <v>Drinking Glasses Stack #8</v>
      </c>
    </row>
    <row r="190" spans="1:8" ht="15.75" thickBot="1" x14ac:dyDescent="0.3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>IF(ISNUMBER(SEARCH("#",B190)), LEFT(B190,FIND("#",B190)-1), B190)</f>
        <v xml:space="preserve">Drinking Glasses Stack </v>
      </c>
      <c r="G190" s="26">
        <f>IF(ISNUMBER(SEARCH("#",B190)),VALUE(MID(B190,FIND("#",B190)+1,1000)),1)</f>
        <v>9</v>
      </c>
      <c r="H190" t="str">
        <f>IF(AND(regexMatch(B190,".*#[0-9]*$"),ISNUMBER(SEARCH("#",B190))),CONCATENATE(TRIM(F190)," #",G190),B190)</f>
        <v>Drinking Glasses Stack #9</v>
      </c>
    </row>
    <row r="191" spans="1:8" ht="15.75" thickBot="1" x14ac:dyDescent="0.3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>IF(ISNUMBER(SEARCH("#",B191)), LEFT(B191,FIND("#",B191)-1), B191)</f>
        <v xml:space="preserve">Drinking Glasses Stack </v>
      </c>
      <c r="G191" s="26">
        <f>IF(ISNUMBER(SEARCH("#",B191)),VALUE(MID(B191,FIND("#",B191)+1,1000)),1)</f>
        <v>10</v>
      </c>
      <c r="H191" t="str">
        <f>IF(AND(regexMatch(B191,".*#[0-9]*$"),ISNUMBER(SEARCH("#",B191))),CONCATENATE(TRIM(F191)," #",G191),B191)</f>
        <v>Drinking Glasses Stack #10</v>
      </c>
    </row>
    <row r="192" spans="1:8" ht="15.75" thickBot="1" x14ac:dyDescent="0.3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>IF(ISNUMBER(SEARCH("#",B192)), LEFT(B192,FIND("#",B192)-1), B192)</f>
        <v>Drinking Straws</v>
      </c>
      <c r="G192" s="26">
        <f>IF(ISNUMBER(SEARCH("#",B192)),VALUE(MID(B192,FIND("#",B192)+1,1000)),1)</f>
        <v>1</v>
      </c>
      <c r="H192" t="str">
        <f>IF(AND(regexMatch(B192,".*#[0-9]*$"),ISNUMBER(SEARCH("#",B192))),CONCATENATE(TRIM(F192)," #",G192),B192)</f>
        <v>Drinking Straws</v>
      </c>
    </row>
    <row r="193" spans="1:8" ht="15.75" thickBot="1" x14ac:dyDescent="0.3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>IF(ISNUMBER(SEARCH("#",B193)), LEFT(B193,FIND("#",B193)-1), B193)</f>
        <v>Drinks Menu</v>
      </c>
      <c r="G193" s="26">
        <f>IF(ISNUMBER(SEARCH("#",B193)),VALUE(MID(B193,FIND("#",B193)+1,1000)),1)</f>
        <v>1</v>
      </c>
      <c r="H193" t="str">
        <f>IF(AND(regexMatch(B193,".*#[0-9]*$"),ISNUMBER(SEARCH("#",B193))),CONCATENATE(TRIM(F193)," #",G193),B193)</f>
        <v>Drinks Menu</v>
      </c>
    </row>
    <row r="194" spans="1:8" ht="15.75" thickBot="1" x14ac:dyDescent="0.3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>IF(ISNUMBER(SEARCH("#",B194)), LEFT(B194,FIND("#",B194)-1), B194)</f>
        <v>Drinks Set: Bikers</v>
      </c>
      <c r="G194" s="26">
        <f>IF(ISNUMBER(SEARCH("#",B194)),VALUE(MID(B194,FIND("#",B194)+1,1000)),1)</f>
        <v>1</v>
      </c>
      <c r="H194" t="str">
        <f>IF(AND(regexMatch(B194,".*#[0-9]*$"),ISNUMBER(SEARCH("#",B194))),CONCATENATE(TRIM(F194)," #",G194),B194)</f>
        <v>Drinks Set: Bikers</v>
      </c>
    </row>
    <row r="195" spans="1:8" ht="15.75" thickBot="1" x14ac:dyDescent="0.3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>IF(ISNUMBER(SEARCH("#",B195)), LEFT(B195,FIND("#",B195)-1), B195)</f>
        <v>Drinks Set: Club</v>
      </c>
      <c r="G195" s="26">
        <f>IF(ISNUMBER(SEARCH("#",B195)),VALUE(MID(B195,FIND("#",B195)+1,1000)),1)</f>
        <v>1</v>
      </c>
      <c r="H195" t="str">
        <f>IF(AND(regexMatch(B195,".*#[0-9]*$"),ISNUMBER(SEARCH("#",B195))),CONCATENATE(TRIM(F195)," #",G195),B195)</f>
        <v>Drinks Set: Club</v>
      </c>
    </row>
    <row r="196" spans="1:8" ht="15.75" thickBot="1" x14ac:dyDescent="0.3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>IF(ISNUMBER(SEARCH("#",B196)), LEFT(B196,FIND("#",B196)-1), B196)</f>
        <v>Drinks Set: Strip Club</v>
      </c>
      <c r="G196" s="26">
        <f>IF(ISNUMBER(SEARCH("#",B196)),VALUE(MID(B196,FIND("#",B196)+1,1000)),1)</f>
        <v>1</v>
      </c>
      <c r="H196" t="str">
        <f>IF(AND(regexMatch(B196,".*#[0-9]*$"),ISNUMBER(SEARCH("#",B196))),CONCATENATE(TRIM(F196)," #",G196),B196)</f>
        <v>Drinks Set: Strip Club</v>
      </c>
    </row>
    <row r="197" spans="1:8" ht="15.75" thickBot="1" x14ac:dyDescent="0.3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>IF(ISNUMBER(SEARCH("#",B197)), LEFT(B197,FIND("#",B197)-1), B197)</f>
        <v>Fruit Slices</v>
      </c>
      <c r="G197" s="26">
        <f>IF(ISNUMBER(SEARCH("#",B197)),VALUE(MID(B197,FIND("#",B197)+1,1000)),1)</f>
        <v>1</v>
      </c>
      <c r="H197" t="str">
        <f>IF(AND(regexMatch(B197,".*#[0-9]*$"),ISNUMBER(SEARCH("#",B197))),CONCATENATE(TRIM(F197)," #",G197),B197)</f>
        <v>Fruit Slices</v>
      </c>
    </row>
    <row r="198" spans="1:8" ht="15.75" thickBot="1" x14ac:dyDescent="0.3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>IF(ISNUMBER(SEARCH("#",B198)), LEFT(B198,FIND("#",B198)-1), B198)</f>
        <v>Keg</v>
      </c>
      <c r="G198" s="26">
        <f>IF(ISNUMBER(SEARCH("#",B198)),VALUE(MID(B198,FIND("#",B198)+1,1000)),1)</f>
        <v>1</v>
      </c>
      <c r="H198" t="str">
        <f>IF(AND(regexMatch(B198,".*#[0-9]*$"),ISNUMBER(SEARCH("#",B198))),CONCATENATE(TRIM(F198)," #",G198),B198)</f>
        <v>Keg</v>
      </c>
    </row>
    <row r="199" spans="1:8" ht="15.75" thickBot="1" x14ac:dyDescent="0.3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>IF(ISNUMBER(SEARCH("#",B199)), LEFT(B199,FIND("#",B199)-1), B199)</f>
        <v>Lemon Slices</v>
      </c>
      <c r="G199" s="26">
        <f>IF(ISNUMBER(SEARCH("#",B199)),VALUE(MID(B199,FIND("#",B199)+1,1000)),1)</f>
        <v>1</v>
      </c>
      <c r="H199" t="str">
        <f>IF(AND(regexMatch(B199,".*#[0-9]*$"),ISNUMBER(SEARCH("#",B199))),CONCATENATE(TRIM(F199)," #",G199),B199)</f>
        <v>Lemon Slices</v>
      </c>
    </row>
    <row r="200" spans="1:8" ht="15.75" thickBot="1" x14ac:dyDescent="0.3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>IF(ISNUMBER(SEARCH("#",B200)), LEFT(B200,FIND("#",B200)-1), B200)</f>
        <v>Lime Slices</v>
      </c>
      <c r="G200" s="26">
        <f>IF(ISNUMBER(SEARCH("#",B200)),VALUE(MID(B200,FIND("#",B200)+1,1000)),1)</f>
        <v>1</v>
      </c>
      <c r="H200" t="str">
        <f>IF(AND(regexMatch(B200,".*#[0-9]*$"),ISNUMBER(SEARCH("#",B200))),CONCATENATE(TRIM(F200)," #",G200),B200)</f>
        <v>Lime Slices</v>
      </c>
    </row>
    <row r="201" spans="1:8" ht="15.75" thickBot="1" x14ac:dyDescent="0.3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>IF(ISNUMBER(SEARCH("#",B201)), LEFT(B201,FIND("#",B201)-1), B201)</f>
        <v>Measuring Jug</v>
      </c>
      <c r="G201" s="26">
        <f>IF(ISNUMBER(SEARCH("#",B201)),VALUE(MID(B201,FIND("#",B201)+1,1000)),1)</f>
        <v>1</v>
      </c>
      <c r="H201" t="str">
        <f>IF(AND(regexMatch(B201,".*#[0-9]*$"),ISNUMBER(SEARCH("#",B201))),CONCATENATE(TRIM(F201)," #",G201),B201)</f>
        <v>Measuring Jug</v>
      </c>
    </row>
    <row r="202" spans="1:8" ht="15.75" thickBot="1" x14ac:dyDescent="0.3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>IF(ISNUMBER(SEARCH("#",B202)), LEFT(B202,FIND("#",B202)-1), B202)</f>
        <v>Optic (JD)</v>
      </c>
      <c r="G202" s="26">
        <f>IF(ISNUMBER(SEARCH("#",B202)),VALUE(MID(B202,FIND("#",B202)+1,1000)),1)</f>
        <v>1</v>
      </c>
      <c r="H202" t="str">
        <f>IF(AND(regexMatch(B202,".*#[0-9]*$"),ISNUMBER(SEARCH("#",B202))),CONCATENATE(TRIM(F202)," #",G202),B202)</f>
        <v>Optic (JD)</v>
      </c>
    </row>
    <row r="203" spans="1:8" ht="15.75" thickBot="1" x14ac:dyDescent="0.3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>IF(ISNUMBER(SEARCH("#",B203)), LEFT(B203,FIND("#",B203)-1), B203)</f>
        <v>Optic (Rum)</v>
      </c>
      <c r="G203" s="26">
        <f>IF(ISNUMBER(SEARCH("#",B203)),VALUE(MID(B203,FIND("#",B203)+1,1000)),1)</f>
        <v>1</v>
      </c>
      <c r="H203" t="str">
        <f>IF(AND(regexMatch(B203,".*#[0-9]*$"),ISNUMBER(SEARCH("#",B203))),CONCATENATE(TRIM(F203)," #",G203),B203)</f>
        <v>Optic (Rum)</v>
      </c>
    </row>
    <row r="204" spans="1:8" ht="15.75" thickBot="1" x14ac:dyDescent="0.3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>IF(ISNUMBER(SEARCH("#",B204)), LEFT(B204,FIND("#",B204)-1), B204)</f>
        <v>Optic (Vodka)</v>
      </c>
      <c r="G204" s="26">
        <f>IF(ISNUMBER(SEARCH("#",B204)),VALUE(MID(B204,FIND("#",B204)+1,1000)),1)</f>
        <v>1</v>
      </c>
      <c r="H204" t="str">
        <f>IF(AND(regexMatch(B204,".*#[0-9]*$"),ISNUMBER(SEARCH("#",B204))),CONCATENATE(TRIM(F204)," #",G204),B204)</f>
        <v>Optic (Vodka)</v>
      </c>
    </row>
    <row r="205" spans="1:8" ht="15.75" thickBot="1" x14ac:dyDescent="0.3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>IF(ISNUMBER(SEARCH("#",B205)), LEFT(B205,FIND("#",B205)-1), B205)</f>
        <v xml:space="preserve">Pint Glass </v>
      </c>
      <c r="G205" s="26">
        <f>IF(ISNUMBER(SEARCH("#",B205)),VALUE(MID(B205,FIND("#",B205)+1,1000)),1)</f>
        <v>1</v>
      </c>
      <c r="H205" t="str">
        <f>IF(AND(regexMatch(B205,".*#[0-9]*$"),ISNUMBER(SEARCH("#",B205))),CONCATENATE(TRIM(F205)," #",G205),B205)</f>
        <v>Pint Glass #1</v>
      </c>
    </row>
    <row r="206" spans="1:8" ht="15.75" thickBot="1" x14ac:dyDescent="0.3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>IF(ISNUMBER(SEARCH("#",B206)), LEFT(B206,FIND("#",B206)-1), B206)</f>
        <v xml:space="preserve">Pint Glass </v>
      </c>
      <c r="G206" s="26">
        <f>IF(ISNUMBER(SEARCH("#",B206)),VALUE(MID(B206,FIND("#",B206)+1,1000)),1)</f>
        <v>2</v>
      </c>
      <c r="H206" t="str">
        <f>IF(AND(regexMatch(B206,".*#[0-9]*$"),ISNUMBER(SEARCH("#",B206))),CONCATENATE(TRIM(F206)," #",G206),B206)</f>
        <v>Pint Glass #2</v>
      </c>
    </row>
    <row r="207" spans="1:8" ht="15.75" thickBot="1" x14ac:dyDescent="0.3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>IF(ISNUMBER(SEARCH("#",B207)), LEFT(B207,FIND("#",B207)-1), B207)</f>
        <v>Pint Glass Tall</v>
      </c>
      <c r="G207" s="26">
        <f>IF(ISNUMBER(SEARCH("#",B207)),VALUE(MID(B207,FIND("#",B207)+1,1000)),1)</f>
        <v>1</v>
      </c>
      <c r="H207" t="str">
        <f>IF(AND(regexMatch(B207,".*#[0-9]*$"),ISNUMBER(SEARCH("#",B207))),CONCATENATE(TRIM(F207)," #",G207),B207)</f>
        <v>Pint Glass Tall</v>
      </c>
    </row>
    <row r="208" spans="1:8" ht="15.75" thickBot="1" x14ac:dyDescent="0.3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>IF(ISNUMBER(SEARCH("#",B208)), LEFT(B208,FIND("#",B208)-1), B208)</f>
        <v xml:space="preserve">Pitcher </v>
      </c>
      <c r="G208" s="26">
        <f>IF(ISNUMBER(SEARCH("#",B208)),VALUE(MID(B208,FIND("#",B208)+1,1000)),1)</f>
        <v>1</v>
      </c>
      <c r="H208" t="str">
        <f>IF(AND(regexMatch(B208,".*#[0-9]*$"),ISNUMBER(SEARCH("#",B208))),CONCATENATE(TRIM(F208)," #",G208),B208)</f>
        <v>Pitcher #1</v>
      </c>
    </row>
    <row r="209" spans="1:8" ht="15.75" thickBot="1" x14ac:dyDescent="0.3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>IF(ISNUMBER(SEARCH("#",B209)), LEFT(B209,FIND("#",B209)-1), B209)</f>
        <v xml:space="preserve">Pitcher </v>
      </c>
      <c r="G209" s="26">
        <f>IF(ISNUMBER(SEARCH("#",B209)),VALUE(MID(B209,FIND("#",B209)+1,1000)),1)</f>
        <v>2</v>
      </c>
      <c r="H209" t="str">
        <f>IF(AND(regexMatch(B209,".*#[0-9]*$"),ISNUMBER(SEARCH("#",B209))),CONCATENATE(TRIM(F209)," #",G209),B209)</f>
        <v>Pitcher #2</v>
      </c>
    </row>
    <row r="210" spans="1:8" ht="15.75" thickBot="1" x14ac:dyDescent="0.3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>IF(ISNUMBER(SEARCH("#",B210)), LEFT(B210,FIND("#",B210)-1), B210)</f>
        <v>Row Of Beer Bottles: Local</v>
      </c>
      <c r="G210" s="26">
        <f>IF(ISNUMBER(SEARCH("#",B210)),VALUE(MID(B210,FIND("#",B210)+1,1000)),1)</f>
        <v>1</v>
      </c>
      <c r="H210" t="str">
        <f>IF(AND(regexMatch(B210,".*#[0-9]*$"),ISNUMBER(SEARCH("#",B210))),CONCATENATE(TRIM(F210)," #",G210),B210)</f>
        <v>Row Of Beer Bottles: Local</v>
      </c>
    </row>
    <row r="211" spans="1:8" ht="15.75" thickBot="1" x14ac:dyDescent="0.3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>IF(ISNUMBER(SEARCH("#",B211)), LEFT(B211,FIND("#",B211)-1), B211)</f>
        <v>Row Of Beer Bottles: World</v>
      </c>
      <c r="G211" s="26">
        <f>IF(ISNUMBER(SEARCH("#",B211)),VALUE(MID(B211,FIND("#",B211)+1,1000)),1)</f>
        <v>1</v>
      </c>
      <c r="H211" t="str">
        <f>IF(AND(regexMatch(B211,".*#[0-9]*$"),ISNUMBER(SEARCH("#",B211))),CONCATENATE(TRIM(F211)," #",G211),B211)</f>
        <v>Row Of Beer Bottles: World</v>
      </c>
    </row>
    <row r="212" spans="1:8" ht="15.75" thickBot="1" x14ac:dyDescent="0.3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>IF(ISNUMBER(SEARCH("#",B212)), LEFT(B212,FIND("#",B212)-1), B212)</f>
        <v>Spirits Row</v>
      </c>
      <c r="G212" s="26">
        <f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.75" thickBot="1" x14ac:dyDescent="0.3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>IF(ISNUMBER(SEARCH("#",B213)), LEFT(B213,FIND("#",B213)-1), B213)</f>
        <v>Strip Club Menu</v>
      </c>
      <c r="G213" s="26">
        <f>IF(ISNUMBER(SEARCH("#",B213)),VALUE(MID(B213,FIND("#",B213)+1,1000)),1)</f>
        <v>1</v>
      </c>
      <c r="H213" t="str">
        <f>IF(AND(regexMatch(B213,".*#[0-9]*$"),ISNUMBER(SEARCH("#",B213))),CONCATENATE(TRIM(F213)," #",G213),B213)</f>
        <v>Strip Club Menu</v>
      </c>
    </row>
    <row r="214" spans="1:8" ht="15.75" thickBot="1" x14ac:dyDescent="0.3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>IF(ISNUMBER(SEARCH("#",B214)), LEFT(B214,FIND("#",B214)-1), B214)</f>
        <v>Stripper's Pole</v>
      </c>
      <c r="G214" s="26">
        <f>IF(ISNUMBER(SEARCH("#",B214)),VALUE(MID(B214,FIND("#",B214)+1,1000)),1)</f>
        <v>1</v>
      </c>
      <c r="H214" t="str">
        <f>IF(AND(regexMatch(B214,".*#[0-9]*$"),ISNUMBER(SEARCH("#",B214))),CONCATENATE(TRIM(F214)," #",G214),B214)</f>
        <v>Stripper's Pole</v>
      </c>
    </row>
    <row r="215" spans="1:8" ht="15.75" thickBot="1" x14ac:dyDescent="0.3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>IF(ISNUMBER(SEARCH("#",B215)), LEFT(B215,FIND("#",B215)-1), B215)</f>
        <v>Tequila &amp; Glasses</v>
      </c>
      <c r="G215" s="26">
        <f>IF(ISNUMBER(SEARCH("#",B215)),VALUE(MID(B215,FIND("#",B215)+1,1000)),1)</f>
        <v>1</v>
      </c>
      <c r="H215" t="str">
        <f>IF(AND(regexMatch(B215,".*#[0-9]*$"),ISNUMBER(SEARCH("#",B215))),CONCATENATE(TRIM(F215)," #",G215),B215)</f>
        <v>Tequila &amp; Glasses</v>
      </c>
    </row>
    <row r="216" spans="1:8" ht="15.75" thickBot="1" x14ac:dyDescent="0.3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>IF(ISNUMBER(SEARCH("#",B216)), LEFT(B216,FIND("#",B216)-1), B216)</f>
        <v>Vodka Bottle Row</v>
      </c>
      <c r="G216" s="26">
        <f>IF(ISNUMBER(SEARCH("#",B216)),VALUE(MID(B216,FIND("#",B216)+1,1000)),1)</f>
        <v>1</v>
      </c>
      <c r="H216" t="str">
        <f>IF(AND(regexMatch(B216,".*#[0-9]*$"),ISNUMBER(SEARCH("#",B216))),CONCATENATE(TRIM(F216)," #",G216),B216)</f>
        <v>Vodka Bottle Row</v>
      </c>
    </row>
    <row r="217" spans="1:8" ht="15.75" thickBot="1" x14ac:dyDescent="0.3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>IF(ISNUMBER(SEARCH("#",B217)), LEFT(B217,FIND("#",B217)-1), B217)</f>
        <v>Whiskey Glasses</v>
      </c>
      <c r="G217" s="26">
        <f>IF(ISNUMBER(SEARCH("#",B217)),VALUE(MID(B217,FIND("#",B217)+1,1000)),1)</f>
        <v>1</v>
      </c>
      <c r="H217" t="str">
        <f>IF(AND(regexMatch(B217,".*#[0-9]*$"),ISNUMBER(SEARCH("#",B217))),CONCATENATE(TRIM(F217)," #",G217),B217)</f>
        <v>Whiskey Glasses</v>
      </c>
    </row>
    <row r="218" spans="1:8" ht="15.75" thickBot="1" x14ac:dyDescent="0.3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>IF(ISNUMBER(SEARCH("#",B218)), LEFT(B218,FIND("#",B218)-1), B218)</f>
        <v>Bathroom Pot</v>
      </c>
      <c r="G218" s="26">
        <f>IF(ISNUMBER(SEARCH("#",B218)),VALUE(MID(B218,FIND("#",B218)+1,1000)),1)</f>
        <v>1</v>
      </c>
      <c r="H218" t="str">
        <f>IF(AND(regexMatch(B218,".*#[0-9]*$"),ISNUMBER(SEARCH("#",B218))),CONCATENATE(TRIM(F218)," #",G218),B218)</f>
        <v>Bathroom Pot</v>
      </c>
    </row>
    <row r="219" spans="1:8" ht="15.75" thickBot="1" x14ac:dyDescent="0.3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>IF(ISNUMBER(SEARCH("#",B219)), LEFT(B219,FIND("#",B219)-1), B219)</f>
        <v>Brylcreem</v>
      </c>
      <c r="G219" s="26">
        <f>IF(ISNUMBER(SEARCH("#",B219)),VALUE(MID(B219,FIND("#",B219)+1,1000)),1)</f>
        <v>1</v>
      </c>
      <c r="H219" t="str">
        <f>IF(AND(regexMatch(B219,".*#[0-9]*$"),ISNUMBER(SEARCH("#",B219))),CONCATENATE(TRIM(F219)," #",G219),B219)</f>
        <v>Brylcreem</v>
      </c>
    </row>
    <row r="220" spans="1:8" ht="15.75" thickBot="1" x14ac:dyDescent="0.3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>IF(ISNUMBER(SEARCH("#",B220)), LEFT(B220,FIND("#",B220)-1), B220)</f>
        <v>Bubble Bath Bottle</v>
      </c>
      <c r="G220" s="26">
        <f>IF(ISNUMBER(SEARCH("#",B220)),VALUE(MID(B220,FIND("#",B220)+1,1000)),1)</f>
        <v>1</v>
      </c>
      <c r="H220" t="str">
        <f>IF(AND(regexMatch(B220,".*#[0-9]*$"),ISNUMBER(SEARCH("#",B220))),CONCATENATE(TRIM(F220)," #",G220),B220)</f>
        <v>Bubble Bath Bottle</v>
      </c>
    </row>
    <row r="221" spans="1:8" ht="15.75" thickBot="1" x14ac:dyDescent="0.3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>IF(ISNUMBER(SEARCH("#",B221)), LEFT(B221,FIND("#",B221)-1), B221)</f>
        <v>Clippers</v>
      </c>
      <c r="G221" s="26">
        <f>IF(ISNUMBER(SEARCH("#",B221)),VALUE(MID(B221,FIND("#",B221)+1,1000)),1)</f>
        <v>1</v>
      </c>
      <c r="H221" t="str">
        <f>IF(AND(regexMatch(B221,".*#[0-9]*$"),ISNUMBER(SEARCH("#",B221))),CONCATENATE(TRIM(F221)," #",G221),B221)</f>
        <v>Clippers</v>
      </c>
    </row>
    <row r="222" spans="1:8" ht="15.75" thickBot="1" x14ac:dyDescent="0.3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>IF(ISNUMBER(SEARCH("#",B222)), LEFT(B222,FIND("#",B222)-1), B222)</f>
        <v>Comb</v>
      </c>
      <c r="G222" s="26">
        <f>IF(ISNUMBER(SEARCH("#",B222)),VALUE(MID(B222,FIND("#",B222)+1,1000)),1)</f>
        <v>1</v>
      </c>
      <c r="H222" t="str">
        <f>IF(AND(regexMatch(B222,".*#[0-9]*$"),ISNUMBER(SEARCH("#",B222))),CONCATENATE(TRIM(F222)," #",G222),B222)</f>
        <v>Comb</v>
      </c>
    </row>
    <row r="223" spans="1:8" ht="15.75" thickBot="1" x14ac:dyDescent="0.3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>IF(ISNUMBER(SEARCH("#",B223)), LEFT(B223,FIND("#",B223)-1), B223)</f>
        <v>Cough Medicine Bottle</v>
      </c>
      <c r="G223" s="26">
        <f>IF(ISNUMBER(SEARCH("#",B223)),VALUE(MID(B223,FIND("#",B223)+1,1000)),1)</f>
        <v>1</v>
      </c>
      <c r="H223" t="str">
        <f>IF(AND(regexMatch(B223,".*#[0-9]*$"),ISNUMBER(SEARCH("#",B223))),CONCATENATE(TRIM(F223)," #",G223),B223)</f>
        <v>Cough Medicine Bottle</v>
      </c>
    </row>
    <row r="224" spans="1:8" ht="15.75" thickBot="1" x14ac:dyDescent="0.3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>IF(ISNUMBER(SEARCH("#",B224)), LEFT(B224,FIND("#",B224)-1), B224)</f>
        <v>Dirty Toilet</v>
      </c>
      <c r="G224" s="26">
        <f>IF(ISNUMBER(SEARCH("#",B224)),VALUE(MID(B224,FIND("#",B224)+1,1000)),1)</f>
        <v>1</v>
      </c>
      <c r="H224" t="str">
        <f>IF(AND(regexMatch(B224,".*#[0-9]*$"),ISNUMBER(SEARCH("#",B224))),CONCATENATE(TRIM(F224)," #",G224),B224)</f>
        <v>Dirty Toilet</v>
      </c>
    </row>
    <row r="225" spans="1:8" ht="15.75" thickBot="1" x14ac:dyDescent="0.3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>IF(ISNUMBER(SEARCH("#",B225)), LEFT(B225,FIND("#",B225)-1), B225)</f>
        <v>Disposable Razor</v>
      </c>
      <c r="G225" s="26">
        <f>IF(ISNUMBER(SEARCH("#",B225)),VALUE(MID(B225,FIND("#",B225)+1,1000)),1)</f>
        <v>1</v>
      </c>
      <c r="H225" t="str">
        <f>IF(AND(regexMatch(B225,".*#[0-9]*$"),ISNUMBER(SEARCH("#",B225))),CONCATENATE(TRIM(F225)," #",G225),B225)</f>
        <v>Disposable Razor</v>
      </c>
    </row>
    <row r="226" spans="1:8" ht="15.75" thickBot="1" x14ac:dyDescent="0.3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>IF(ISNUMBER(SEARCH("#",B226)), LEFT(B226,FIND("#",B226)-1), B226)</f>
        <v>Face Rag</v>
      </c>
      <c r="G226" s="26">
        <f>IF(ISNUMBER(SEARCH("#",B226)),VALUE(MID(B226,FIND("#",B226)+1,1000)),1)</f>
        <v>1</v>
      </c>
      <c r="H226" t="str">
        <f>IF(AND(regexMatch(B226,".*#[0-9]*$"),ISNUMBER(SEARCH("#",B226))),CONCATENATE(TRIM(F226)," #",G226),B226)</f>
        <v>Face Rag</v>
      </c>
    </row>
    <row r="227" spans="1:8" ht="15.75" thickBot="1" x14ac:dyDescent="0.3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>IF(ISNUMBER(SEARCH("#",B227)), LEFT(B227,FIND("#",B227)-1), B227)</f>
        <v>Foundation Sponge</v>
      </c>
      <c r="G227" s="26">
        <f>IF(ISNUMBER(SEARCH("#",B227)),VALUE(MID(B227,FIND("#",B227)+1,1000)),1)</f>
        <v>1</v>
      </c>
      <c r="H227" t="str">
        <f>IF(AND(regexMatch(B227,".*#[0-9]*$"),ISNUMBER(SEARCH("#",B227))),CONCATENATE(TRIM(F227)," #",G227),B227)</f>
        <v>Foundation Sponge</v>
      </c>
    </row>
    <row r="228" spans="1:8" ht="15.75" thickBot="1" x14ac:dyDescent="0.3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>IF(ISNUMBER(SEARCH("#",B228)), LEFT(B228,FIND("#",B228)-1), B228)</f>
        <v>Hair Gel</v>
      </c>
      <c r="G228" s="26">
        <f>IF(ISNUMBER(SEARCH("#",B228)),VALUE(MID(B228,FIND("#",B228)+1,1000)),1)</f>
        <v>1</v>
      </c>
      <c r="H228" t="str">
        <f>IF(AND(regexMatch(B228,".*#[0-9]*$"),ISNUMBER(SEARCH("#",B228))),CONCATENATE(TRIM(F228)," #",G228),B228)</f>
        <v>Hair Gel</v>
      </c>
    </row>
    <row r="229" spans="1:8" ht="15.75" thickBot="1" x14ac:dyDescent="0.3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>IF(ISNUMBER(SEARCH("#",B229)), LEFT(B229,FIND("#",B229)-1), B229)</f>
        <v>Hair Mouse</v>
      </c>
      <c r="G229" s="26">
        <f>IF(ISNUMBER(SEARCH("#",B229)),VALUE(MID(B229,FIND("#",B229)+1,1000)),1)</f>
        <v>1</v>
      </c>
      <c r="H229" t="str">
        <f>IF(AND(regexMatch(B229,".*#[0-9]*$"),ISNUMBER(SEARCH("#",B229))),CONCATENATE(TRIM(F229)," #",G229),B229)</f>
        <v>Hair Mouse</v>
      </c>
    </row>
    <row r="230" spans="1:8" ht="15.75" thickBot="1" x14ac:dyDescent="0.3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>IF(ISNUMBER(SEARCH("#",B230)), LEFT(B230,FIND("#",B230)-1), B230)</f>
        <v>Lotion Bottle</v>
      </c>
      <c r="G230" s="26">
        <f>IF(ISNUMBER(SEARCH("#",B230)),VALUE(MID(B230,FIND("#",B230)+1,1000)),1)</f>
        <v>1</v>
      </c>
      <c r="H230" t="str">
        <f>IF(AND(regexMatch(B230,".*#[0-9]*$"),ISNUMBER(SEARCH("#",B230))),CONCATENATE(TRIM(F230)," #",G230),B230)</f>
        <v>Lotion Bottle</v>
      </c>
    </row>
    <row r="231" spans="1:8" ht="15.75" thickBot="1" x14ac:dyDescent="0.3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>IF(ISNUMBER(SEARCH("#",B231)), LEFT(B231,FIND("#",B231)-1), B231)</f>
        <v>Makeup Brush</v>
      </c>
      <c r="G231" s="26">
        <f>IF(ISNUMBER(SEARCH("#",B231)),VALUE(MID(B231,FIND("#",B231)+1,1000)),1)</f>
        <v>1</v>
      </c>
      <c r="H231" t="str">
        <f>IF(AND(regexMatch(B231,".*#[0-9]*$"),ISNUMBER(SEARCH("#",B231))),CONCATENATE(TRIM(F231)," #",G231),B231)</f>
        <v>Makeup Brush</v>
      </c>
    </row>
    <row r="232" spans="1:8" ht="15.75" thickBot="1" x14ac:dyDescent="0.3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>IF(ISNUMBER(SEARCH("#",B232)), LEFT(B232,FIND("#",B232)-1), B232)</f>
        <v>Nail File</v>
      </c>
      <c r="G232" s="26">
        <f>IF(ISNUMBER(SEARCH("#",B232)),VALUE(MID(B232,FIND("#",B232)+1,1000)),1)</f>
        <v>1</v>
      </c>
      <c r="H232" t="str">
        <f>IF(AND(regexMatch(B232,".*#[0-9]*$"),ISNUMBER(SEARCH("#",B232))),CONCATENATE(TRIM(F232)," #",G232),B232)</f>
        <v>Nail File</v>
      </c>
    </row>
    <row r="233" spans="1:8" ht="15.75" thickBot="1" x14ac:dyDescent="0.3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>IF(ISNUMBER(SEARCH("#",B233)), LEFT(B233,FIND("#",B233)-1), B233)</f>
        <v>Perfume Bottle</v>
      </c>
      <c r="G233" s="26">
        <f>IF(ISNUMBER(SEARCH("#",B233)),VALUE(MID(B233,FIND("#",B233)+1,1000)),1)</f>
        <v>1</v>
      </c>
      <c r="H233" t="str">
        <f>IF(AND(regexMatch(B233,".*#[0-9]*$"),ISNUMBER(SEARCH("#",B233))),CONCATENATE(TRIM(F233)," #",G233),B233)</f>
        <v>Perfume Bottle</v>
      </c>
    </row>
    <row r="234" spans="1:8" ht="15.75" thickBot="1" x14ac:dyDescent="0.3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>IF(ISNUMBER(SEARCH("#",B234)), LEFT(B234,FIND("#",B234)-1), B234)</f>
        <v>Pills</v>
      </c>
      <c r="G234" s="26">
        <f>IF(ISNUMBER(SEARCH("#",B234)),VALUE(MID(B234,FIND("#",B234)+1,1000)),1)</f>
        <v>1</v>
      </c>
      <c r="H234" t="str">
        <f>IF(AND(regexMatch(B234,".*#[0-9]*$"),ISNUMBER(SEARCH("#",B234))),CONCATENATE(TRIM(F234)," #",G234),B234)</f>
        <v>Pills</v>
      </c>
    </row>
    <row r="235" spans="1:8" ht="15.75" thickBot="1" x14ac:dyDescent="0.3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>IF(ISNUMBER(SEARCH("#",B235)), LEFT(B235,FIND("#",B235)-1), B235)</f>
        <v>Pills Bottle</v>
      </c>
      <c r="G235" s="26">
        <f>IF(ISNUMBER(SEARCH("#",B235)),VALUE(MID(B235,FIND("#",B235)+1,1000)),1)</f>
        <v>1</v>
      </c>
      <c r="H235" t="str">
        <f>IF(AND(regexMatch(B235,".*#[0-9]*$"),ISNUMBER(SEARCH("#",B235))),CONCATENATE(TRIM(F235)," #",G235),B235)</f>
        <v>Pills Bottle</v>
      </c>
    </row>
    <row r="236" spans="1:8" ht="15.75" thickBot="1" x14ac:dyDescent="0.3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>IF(ISNUMBER(SEARCH("#",B236)), LEFT(B236,FIND("#",B236)-1), B236)</f>
        <v xml:space="preserve">Shampoo Bottle </v>
      </c>
      <c r="G236" s="26">
        <f>IF(ISNUMBER(SEARCH("#",B236)),VALUE(MID(B236,FIND("#",B236)+1,1000)),1)</f>
        <v>1</v>
      </c>
      <c r="H236" t="str">
        <f>IF(AND(regexMatch(B236,".*#[0-9]*$"),ISNUMBER(SEARCH("#",B236))),CONCATENATE(TRIM(F236)," #",G236),B236)</f>
        <v>Shampoo Bottle #1</v>
      </c>
    </row>
    <row r="237" spans="1:8" ht="15.75" thickBot="1" x14ac:dyDescent="0.3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>IF(ISNUMBER(SEARCH("#",B237)), LEFT(B237,FIND("#",B237)-1), B237)</f>
        <v xml:space="preserve">Shampoo Bottle </v>
      </c>
      <c r="G237" s="26">
        <f>IF(ISNUMBER(SEARCH("#",B237)),VALUE(MID(B237,FIND("#",B237)+1,1000)),1)</f>
        <v>2</v>
      </c>
      <c r="H237" t="str">
        <f>IF(AND(regexMatch(B237,".*#[0-9]*$"),ISNUMBER(SEARCH("#",B237))),CONCATENATE(TRIM(F237)," #",G237),B237)</f>
        <v>Shampoo Bottle #2</v>
      </c>
    </row>
    <row r="238" spans="1:8" ht="15.75" thickBot="1" x14ac:dyDescent="0.3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>IF(ISNUMBER(SEARCH("#",B238)), LEFT(B238,FIND("#",B238)-1), B238)</f>
        <v>Shaving Foam</v>
      </c>
      <c r="G238" s="26">
        <f>IF(ISNUMBER(SEARCH("#",B238)),VALUE(MID(B238,FIND("#",B238)+1,1000)),1)</f>
        <v>1</v>
      </c>
      <c r="H238" t="str">
        <f>IF(AND(regexMatch(B238,".*#[0-9]*$"),ISNUMBER(SEARCH("#",B238))),CONCATENATE(TRIM(F238)," #",G238),B238)</f>
        <v>Shaving Foam</v>
      </c>
    </row>
    <row r="239" spans="1:8" ht="15.75" thickBot="1" x14ac:dyDescent="0.3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>IF(ISNUMBER(SEARCH("#",B239)), LEFT(B239,FIND("#",B239)-1), B239)</f>
        <v>Shower Towel</v>
      </c>
      <c r="G239" s="26">
        <f>IF(ISNUMBER(SEARCH("#",B239)),VALUE(MID(B239,FIND("#",B239)+1,1000)),1)</f>
        <v>1</v>
      </c>
      <c r="H239" t="str">
        <f>IF(AND(regexMatch(B239,".*#[0-9]*$"),ISNUMBER(SEARCH("#",B239))),CONCATENATE(TRIM(F239)," #",G239),B239)</f>
        <v>Shower Towel</v>
      </c>
    </row>
    <row r="240" spans="1:8" ht="15.75" thickBot="1" x14ac:dyDescent="0.3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>IF(ISNUMBER(SEARCH("#",B240)), LEFT(B240,FIND("#",B240)-1), B240)</f>
        <v>Toothbrush</v>
      </c>
      <c r="G240" s="26">
        <f>IF(ISNUMBER(SEARCH("#",B240)),VALUE(MID(B240,FIND("#",B240)+1,1000)),1)</f>
        <v>1</v>
      </c>
      <c r="H240" t="str">
        <f>IF(AND(regexMatch(B240,".*#[0-9]*$"),ISNUMBER(SEARCH("#",B240))),CONCATENATE(TRIM(F240)," #",G240),B240)</f>
        <v>Toothbrush</v>
      </c>
    </row>
    <row r="241" spans="1:8" ht="15.75" thickBot="1" x14ac:dyDescent="0.3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>IF(ISNUMBER(SEARCH("#",B241)), LEFT(B241,FIND("#",B241)-1), B241)</f>
        <v xml:space="preserve">Beach Ball </v>
      </c>
      <c r="G241" s="26">
        <f>IF(ISNUMBER(SEARCH("#",B241)),VALUE(MID(B241,FIND("#",B241)+1,1000)),1)</f>
        <v>1</v>
      </c>
      <c r="H241" t="str">
        <f>IF(AND(regexMatch(B241,".*#[0-9]*$"),ISNUMBER(SEARCH("#",B241))),CONCATENATE(TRIM(F241)," #",G241),B241)</f>
        <v>Beach Ball #1</v>
      </c>
    </row>
    <row r="242" spans="1:8" ht="15.75" thickBot="1" x14ac:dyDescent="0.3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>IF(ISNUMBER(SEARCH("#",B242)), LEFT(B242,FIND("#",B242)-1), B242)</f>
        <v xml:space="preserve">Beach Ball </v>
      </c>
      <c r="G242" s="26">
        <f>IF(ISNUMBER(SEARCH("#",B242)),VALUE(MID(B242,FIND("#",B242)+1,1000)),1)</f>
        <v>2</v>
      </c>
      <c r="H242" t="str">
        <f>IF(AND(regexMatch(B242,".*#[0-9]*$"),ISNUMBER(SEARCH("#",B242))),CONCATENATE(TRIM(F242)," #",G242),B242)</f>
        <v>Beach Ball #2</v>
      </c>
    </row>
    <row r="243" spans="1:8" ht="15.75" thickBot="1" x14ac:dyDescent="0.3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>IF(ISNUMBER(SEARCH("#",B243)), LEFT(B243,FIND("#",B243)-1), B243)</f>
        <v>Beach BBQ</v>
      </c>
      <c r="G243" s="26">
        <f>IF(ISNUMBER(SEARCH("#",B243)),VALUE(MID(B243,FIND("#",B243)+1,1000)),1)</f>
        <v>1</v>
      </c>
      <c r="H243" t="str">
        <f>IF(AND(regexMatch(B243,".*#[0-9]*$"),ISNUMBER(SEARCH("#",B243))),CONCATENATE(TRIM(F243)," #",G243),B243)</f>
        <v>Beach BBQ</v>
      </c>
    </row>
    <row r="244" spans="1:8" ht="15.75" thickBot="1" x14ac:dyDescent="0.3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>IF(ISNUMBER(SEARCH("#",B244)), LEFT(B244,FIND("#",B244)-1), B244)</f>
        <v>Beach Fire</v>
      </c>
      <c r="G244" s="26">
        <f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.75" thickBot="1" x14ac:dyDescent="0.3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>IF(ISNUMBER(SEARCH("#",B245)), LEFT(B245,FIND("#",B245)-1), B245)</f>
        <v>Beach Flag (Speedophile)</v>
      </c>
      <c r="G245" s="26">
        <f>IF(ISNUMBER(SEARCH("#",B245)),VALUE(MID(B245,FIND("#",B245)+1,1000)),1)</f>
        <v>1</v>
      </c>
      <c r="H245" t="str">
        <f>IF(AND(regexMatch(B245,".*#[0-9]*$"),ISNUMBER(SEARCH("#",B245))),CONCATENATE(TRIM(F245)," #",G245),B245)</f>
        <v>Beach Flag (Speedophile)</v>
      </c>
    </row>
    <row r="246" spans="1:8" ht="15.75" thickBot="1" x14ac:dyDescent="0.3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>IF(ISNUMBER(SEARCH("#",B246)), LEFT(B246,FIND("#",B246)-1), B246)</f>
        <v>Beach Flag Combined</v>
      </c>
      <c r="G246" s="26">
        <f>IF(ISNUMBER(SEARCH("#",B246)),VALUE(MID(B246,FIND("#",B246)+1,1000)),1)</f>
        <v>1</v>
      </c>
      <c r="H246" t="str">
        <f>IF(AND(regexMatch(B246,".*#[0-9]*$"),ISNUMBER(SEARCH("#",B246))),CONCATENATE(TRIM(F246)," #",G246),B246)</f>
        <v>Beach Flag Combined</v>
      </c>
    </row>
    <row r="247" spans="1:8" ht="15.75" thickBot="1" x14ac:dyDescent="0.3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>IF(ISNUMBER(SEARCH("#",B247)), LEFT(B247,FIND("#",B247)-1), B247)</f>
        <v xml:space="preserve">Beach Flagpole </v>
      </c>
      <c r="G247" s="26">
        <f>IF(ISNUMBER(SEARCH("#",B247)),VALUE(MID(B247,FIND("#",B247)+1,1000)),1)</f>
        <v>1</v>
      </c>
      <c r="H247" t="str">
        <f>IF(AND(regexMatch(B247,".*#[0-9]*$"),ISNUMBER(SEARCH("#",B247))),CONCATENATE(TRIM(F247)," #",G247),B247)</f>
        <v>Beach Flagpole #1</v>
      </c>
    </row>
    <row r="248" spans="1:8" ht="15.75" thickBot="1" x14ac:dyDescent="0.3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>IF(ISNUMBER(SEARCH("#",B248)), LEFT(B248,FIND("#",B248)-1), B248)</f>
        <v xml:space="preserve">Beach Flagpole </v>
      </c>
      <c r="G248" s="26">
        <f>IF(ISNUMBER(SEARCH("#",B248)),VALUE(MID(B248,FIND("#",B248)+1,1000)),1)</f>
        <v>2</v>
      </c>
      <c r="H248" t="str">
        <f>IF(AND(regexMatch(B248,".*#[0-9]*$"),ISNUMBER(SEARCH("#",B248))),CONCATENATE(TRIM(F248)," #",G248),B248)</f>
        <v>Beach Flagpole #2</v>
      </c>
    </row>
    <row r="249" spans="1:8" ht="15.75" thickBot="1" x14ac:dyDescent="0.3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>IF(ISNUMBER(SEARCH("#",B249)), LEFT(B249,FIND("#",B249)-1), B249)</f>
        <v>Beach Large Float</v>
      </c>
      <c r="G249" s="26">
        <f>IF(ISNUMBER(SEARCH("#",B249)),VALUE(MID(B249,FIND("#",B249)+1,1000)),1)</f>
        <v>1</v>
      </c>
      <c r="H249" t="str">
        <f>IF(AND(regexMatch(B249,".*#[0-9]*$"),ISNUMBER(SEARCH("#",B249))),CONCATENATE(TRIM(F249)," #",G249),B249)</f>
        <v>Beach Large Float</v>
      </c>
    </row>
    <row r="250" spans="1:8" ht="15.75" thickBot="1" x14ac:dyDescent="0.3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>IF(ISNUMBER(SEARCH("#",B250)), LEFT(B250,FIND("#",B250)-1), B250)</f>
        <v xml:space="preserve">Beach Lilo </v>
      </c>
      <c r="G250" s="26">
        <f>IF(ISNUMBER(SEARCH("#",B250)),VALUE(MID(B250,FIND("#",B250)+1,1000)),1)</f>
        <v>2</v>
      </c>
      <c r="H250" t="str">
        <f>IF(AND(regexMatch(B250,".*#[0-9]*$"),ISNUMBER(SEARCH("#",B250))),CONCATENATE(TRIM(F250)," #",G250),B250)</f>
        <v>Beach Lilo #2</v>
      </c>
    </row>
    <row r="251" spans="1:8" ht="15.75" thickBot="1" x14ac:dyDescent="0.3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>IF(ISNUMBER(SEARCH("#",B251)), LEFT(B251,FIND("#",B251)-1), B251)</f>
        <v xml:space="preserve">Beach Parasol </v>
      </c>
      <c r="G251" s="26">
        <f>IF(ISNUMBER(SEARCH("#",B251)),VALUE(MID(B251,FIND("#",B251)+1,1000)),1)</f>
        <v>1</v>
      </c>
      <c r="H251" t="str">
        <f>IF(AND(regexMatch(B251,".*#[0-9]*$"),ISNUMBER(SEARCH("#",B251))),CONCATENATE(TRIM(F251)," #",G251),B251)</f>
        <v>Beach Parasol #1</v>
      </c>
    </row>
    <row r="252" spans="1:8" ht="15.75" thickBot="1" x14ac:dyDescent="0.3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>IF(ISNUMBER(SEARCH("#",B252)), LEFT(B252,FIND("#",B252)-1), B252)</f>
        <v xml:space="preserve">Beach Parasol </v>
      </c>
      <c r="G252" s="26">
        <f>IF(ISNUMBER(SEARCH("#",B252)),VALUE(MID(B252,FIND("#",B252)+1,1000)),1)</f>
        <v>2</v>
      </c>
      <c r="H252" t="str">
        <f>IF(AND(regexMatch(B252,".*#[0-9]*$"),ISNUMBER(SEARCH("#",B252))),CONCATENATE(TRIM(F252)," #",G252),B252)</f>
        <v>Beach Parasol #2</v>
      </c>
    </row>
    <row r="253" spans="1:8" ht="15.75" thickBot="1" x14ac:dyDescent="0.3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>IF(ISNUMBER(SEARCH("#",B253)), LEFT(B253,FIND("#",B253)-1), B253)</f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.75" thickBot="1" x14ac:dyDescent="0.3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>IF(ISNUMBER(SEARCH("#",B254)), LEFT(B254,FIND("#",B254)-1), B254)</f>
        <v xml:space="preserve">Beach Parasol </v>
      </c>
      <c r="G254" s="26">
        <f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.75" thickBot="1" x14ac:dyDescent="0.3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>IF(ISNUMBER(SEARCH("#",B255)), LEFT(B255,FIND("#",B255)-1), B255)</f>
        <v xml:space="preserve">Beach Parasol </v>
      </c>
      <c r="G255" s="26">
        <f>IF(ISNUMBER(SEARCH("#",B255)),VALUE(MID(B255,FIND("#",B255)+1,1000)),1)</f>
        <v>5</v>
      </c>
      <c r="H255" t="str">
        <f>IF(AND(regexMatch(B255,".*#[0-9]*$"),ISNUMBER(SEARCH("#",B255))),CONCATENATE(TRIM(F255)," #",G255),B255)</f>
        <v>Beach Parasol #5</v>
      </c>
    </row>
    <row r="256" spans="1:8" ht="15.75" thickBot="1" x14ac:dyDescent="0.3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>IF(ISNUMBER(SEARCH("#",B256)), LEFT(B256,FIND("#",B256)-1), B256)</f>
        <v xml:space="preserve">Beach Parasol </v>
      </c>
      <c r="G256" s="26">
        <f>IF(ISNUMBER(SEARCH("#",B256)),VALUE(MID(B256,FIND("#",B256)+1,1000)),1)</f>
        <v>6</v>
      </c>
      <c r="H256" t="str">
        <f>IF(AND(regexMatch(B256,".*#[0-9]*$"),ISNUMBER(SEARCH("#",B256))),CONCATENATE(TRIM(F256)," #",G256),B256)</f>
        <v>Beach Parasol #6</v>
      </c>
    </row>
    <row r="257" spans="1:8" ht="15.75" thickBot="1" x14ac:dyDescent="0.3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>IF(ISNUMBER(SEARCH("#",B257)), LEFT(B257,FIND("#",B257)-1), B257)</f>
        <v xml:space="preserve">Beach Parasol </v>
      </c>
      <c r="G257" s="26">
        <f>IF(ISNUMBER(SEARCH("#",B257)),VALUE(MID(B257,FIND("#",B257)+1,1000)),1)</f>
        <v>7</v>
      </c>
      <c r="H257" t="str">
        <f>IF(AND(regexMatch(B257,".*#[0-9]*$"),ISNUMBER(SEARCH("#",B257))),CONCATENATE(TRIM(F257)," #",G257),B257)</f>
        <v>Beach Parasol #7</v>
      </c>
    </row>
    <row r="258" spans="1:8" ht="15.75" thickBot="1" x14ac:dyDescent="0.3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>IF(ISNUMBER(SEARCH("#",B258)), LEFT(B258,FIND("#",B258)-1), B258)</f>
        <v xml:space="preserve">Beach Parasol </v>
      </c>
      <c r="G258" s="26">
        <f>IF(ISNUMBER(SEARCH("#",B258)),VALUE(MID(B258,FIND("#",B258)+1,1000)),1)</f>
        <v>8</v>
      </c>
      <c r="H258" t="str">
        <f>IF(AND(regexMatch(B258,".*#[0-9]*$"),ISNUMBER(SEARCH("#",B258))),CONCATENATE(TRIM(F258)," #",G258),B258)</f>
        <v>Beach Parasol #8</v>
      </c>
    </row>
    <row r="259" spans="1:8" ht="15.75" thickBot="1" x14ac:dyDescent="0.3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>IF(ISNUMBER(SEARCH("#",B259)), LEFT(B259,FIND("#",B259)-1), B259)</f>
        <v xml:space="preserve">Beach Parasol </v>
      </c>
      <c r="G259" s="26">
        <f>IF(ISNUMBER(SEARCH("#",B259)),VALUE(MID(B259,FIND("#",B259)+1,1000)),1)</f>
        <v>9</v>
      </c>
      <c r="H259" t="str">
        <f>IF(AND(regexMatch(B259,".*#[0-9]*$"),ISNUMBER(SEARCH("#",B259))),CONCATENATE(TRIM(F259)," #",G259),B259)</f>
        <v>Beach Parasol #9</v>
      </c>
    </row>
    <row r="260" spans="1:8" ht="15.75" thickBot="1" x14ac:dyDescent="0.3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>IF(ISNUMBER(SEARCH("#",B260)), LEFT(B260,FIND("#",B260)-1), B260)</f>
        <v xml:space="preserve">Beach Parasol </v>
      </c>
      <c r="G260" s="26">
        <f>IF(ISNUMBER(SEARCH("#",B260)),VALUE(MID(B260,FIND("#",B260)+1,1000)),1)</f>
        <v>10</v>
      </c>
      <c r="H260" t="str">
        <f>IF(AND(regexMatch(B260,".*#[0-9]*$"),ISNUMBER(SEARCH("#",B260))),CONCATENATE(TRIM(F260)," #",G260),B260)</f>
        <v>Beach Parasol #10</v>
      </c>
    </row>
    <row r="261" spans="1:8" ht="15.75" thickBot="1" x14ac:dyDescent="0.3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>IF(ISNUMBER(SEARCH("#",B261)), LEFT(B261,FIND("#",B261)-1), B261)</f>
        <v xml:space="preserve">Beach Towel </v>
      </c>
      <c r="G261" s="26">
        <f>IF(ISNUMBER(SEARCH("#",B261)),VALUE(MID(B261,FIND("#",B261)+1,1000)),1)</f>
        <v>1</v>
      </c>
      <c r="H261" t="str">
        <f>IF(AND(regexMatch(B261,".*#[0-9]*$"),ISNUMBER(SEARCH("#",B261))),CONCATENATE(TRIM(F261)," #",G261),B261)</f>
        <v>Beach Towel #1</v>
      </c>
    </row>
    <row r="262" spans="1:8" ht="15.75" thickBot="1" x14ac:dyDescent="0.3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>IF(ISNUMBER(SEARCH("#",B262)), LEFT(B262,FIND("#",B262)-1), B262)</f>
        <v xml:space="preserve">Beach Towel </v>
      </c>
      <c r="G262" s="26">
        <f>IF(ISNUMBER(SEARCH("#",B262)),VALUE(MID(B262,FIND("#",B262)+1,1000)),1)</f>
        <v>2</v>
      </c>
      <c r="H262" t="str">
        <f>IF(AND(regexMatch(B262,".*#[0-9]*$"),ISNUMBER(SEARCH("#",B262))),CONCATENATE(TRIM(F262)," #",G262),B262)</f>
        <v>Beach Towel #2</v>
      </c>
    </row>
    <row r="263" spans="1:8" ht="15.75" thickBot="1" x14ac:dyDescent="0.3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>IF(ISNUMBER(SEARCH("#",B263)), LEFT(B263,FIND("#",B263)-1), B263)</f>
        <v xml:space="preserve">Beach Towel </v>
      </c>
      <c r="G263" s="26">
        <f>IF(ISNUMBER(SEARCH("#",B263)),VALUE(MID(B263,FIND("#",B263)+1,1000)),1)</f>
        <v>3</v>
      </c>
      <c r="H263" t="str">
        <f>IF(AND(regexMatch(B263,".*#[0-9]*$"),ISNUMBER(SEARCH("#",B263))),CONCATENATE(TRIM(F263)," #",G263),B263)</f>
        <v>Beach Towel #3</v>
      </c>
    </row>
    <row r="264" spans="1:8" ht="15.75" thickBot="1" x14ac:dyDescent="0.3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>IF(ISNUMBER(SEARCH("#",B264)), LEFT(B264,FIND("#",B264)-1), B264)</f>
        <v xml:space="preserve">Beach Towel </v>
      </c>
      <c r="G264" s="26">
        <f>IF(ISNUMBER(SEARCH("#",B264)),VALUE(MID(B264,FIND("#",B264)+1,1000)),1)</f>
        <v>4</v>
      </c>
      <c r="H264" t="str">
        <f>IF(AND(regexMatch(B264,".*#[0-9]*$"),ISNUMBER(SEARCH("#",B264))),CONCATENATE(TRIM(F264)," #",G264),B264)</f>
        <v>Beach Towel #4</v>
      </c>
    </row>
    <row r="265" spans="1:8" ht="15.75" thickBot="1" x14ac:dyDescent="0.3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>IF(ISNUMBER(SEARCH("#",B265)), LEFT(B265,FIND("#",B265)-1), B265)</f>
        <v xml:space="preserve">Beach Towel </v>
      </c>
      <c r="G265" s="26">
        <f>IF(ISNUMBER(SEARCH("#",B265)),VALUE(MID(B265,FIND("#",B265)+1,1000)),1)</f>
        <v>5</v>
      </c>
      <c r="H265" t="str">
        <f>IF(AND(regexMatch(B265,".*#[0-9]*$"),ISNUMBER(SEARCH("#",B265))),CONCATENATE(TRIM(F265)," #",G265),B265)</f>
        <v>Beach Towel #5</v>
      </c>
    </row>
    <row r="266" spans="1:8" ht="15.75" thickBot="1" x14ac:dyDescent="0.3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>IF(ISNUMBER(SEARCH("#",B266)), LEFT(B266,FIND("#",B266)-1), B266)</f>
        <v xml:space="preserve">Bucket &amp; Spade </v>
      </c>
      <c r="G266" s="26">
        <f>IF(ISNUMBER(SEARCH("#",B266)),VALUE(MID(B266,FIND("#",B266)+1,1000)),1)</f>
        <v>1</v>
      </c>
      <c r="H266" t="str">
        <f>IF(AND(regexMatch(B266,".*#[0-9]*$"),ISNUMBER(SEARCH("#",B266))),CONCATENATE(TRIM(F266)," #",G266),B266)</f>
        <v>Bucket &amp; Spade #1</v>
      </c>
    </row>
    <row r="267" spans="1:8" ht="15.75" thickBot="1" x14ac:dyDescent="0.3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>IF(ISNUMBER(SEARCH("#",B267)), LEFT(B267,FIND("#",B267)-1), B267)</f>
        <v xml:space="preserve">Bucket &amp; Spade </v>
      </c>
      <c r="G267" s="26">
        <f>IF(ISNUMBER(SEARCH("#",B267)),VALUE(MID(B267,FIND("#",B267)+1,1000)),1)</f>
        <v>2</v>
      </c>
      <c r="H267" t="str">
        <f>IF(AND(regexMatch(B267,".*#[0-9]*$"),ISNUMBER(SEARCH("#",B267))),CONCATENATE(TRIM(F267)," #",G267),B267)</f>
        <v>Bucket &amp; Spade #2</v>
      </c>
    </row>
    <row r="268" spans="1:8" ht="15.75" thickBot="1" x14ac:dyDescent="0.3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>IF(ISNUMBER(SEARCH("#",B268)), LEFT(B268,FIND("#",B268)-1), B268)</f>
        <v xml:space="preserve">Bucket &amp; Spade </v>
      </c>
      <c r="G268" s="26">
        <f>IF(ISNUMBER(SEARCH("#",B268)),VALUE(MID(B268,FIND("#",B268)+1,1000)),1)</f>
        <v>3</v>
      </c>
      <c r="H268" t="str">
        <f>IF(AND(regexMatch(B268,".*#[0-9]*$"),ISNUMBER(SEARCH("#",B268))),CONCATENATE(TRIM(F268)," #",G268),B268)</f>
        <v>Bucket &amp; Spade #3</v>
      </c>
    </row>
    <row r="269" spans="1:8" ht="15.75" thickBot="1" x14ac:dyDescent="0.3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>IF(ISNUMBER(SEARCH("#",B269)), LEFT(B269,FIND("#",B269)-1), B269)</f>
        <v xml:space="preserve">Bucket &amp; Spade </v>
      </c>
      <c r="G269" s="26">
        <f>IF(ISNUMBER(SEARCH("#",B269)),VALUE(MID(B269,FIND("#",B269)+1,1000)),1)</f>
        <v>4</v>
      </c>
      <c r="H269" t="str">
        <f>IF(AND(regexMatch(B269,".*#[0-9]*$"),ISNUMBER(SEARCH("#",B269))),CONCATENATE(TRIM(F269)," #",G269),B269)</f>
        <v>Bucket &amp; Spade #4</v>
      </c>
    </row>
    <row r="270" spans="1:8" ht="15.75" thickBot="1" x14ac:dyDescent="0.3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>IF(ISNUMBER(SEARCH("#",B270)), LEFT(B270,FIND("#",B270)-1), B270)</f>
        <v xml:space="preserve">Bucket &amp; Spade </v>
      </c>
      <c r="G270" s="26">
        <f>IF(ISNUMBER(SEARCH("#",B270)),VALUE(MID(B270,FIND("#",B270)+1,1000)),1)</f>
        <v>5</v>
      </c>
      <c r="H270" t="str">
        <f>IF(AND(regexMatch(B270,".*#[0-9]*$"),ISNUMBER(SEARCH("#",B270))),CONCATENATE(TRIM(F270)," #",G270),B270)</f>
        <v>Bucket &amp; Spade #5</v>
      </c>
    </row>
    <row r="271" spans="1:8" ht="15.75" thickBot="1" x14ac:dyDescent="0.3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>IF(ISNUMBER(SEARCH("#",B271)), LEFT(B271,FIND("#",B271)-1), B271)</f>
        <v xml:space="preserve">Bucket &amp; Spade </v>
      </c>
      <c r="G271" s="26">
        <f>IF(ISNUMBER(SEARCH("#",B271)),VALUE(MID(B271,FIND("#",B271)+1,1000)),1)</f>
        <v>6</v>
      </c>
      <c r="H271" t="str">
        <f>IF(AND(regexMatch(B271,".*#[0-9]*$"),ISNUMBER(SEARCH("#",B271))),CONCATENATE(TRIM(F271)," #",G271),B271)</f>
        <v>Bucket &amp; Spade #6</v>
      </c>
    </row>
    <row r="272" spans="1:8" ht="15.75" thickBot="1" x14ac:dyDescent="0.3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>IF(ISNUMBER(SEARCH("#",B272)), LEFT(B272,FIND("#",B272)-1), B272)</f>
        <v xml:space="preserve">Bucket &amp; Spade </v>
      </c>
      <c r="G272" s="26">
        <f>IF(ISNUMBER(SEARCH("#",B272)),VALUE(MID(B272,FIND("#",B272)+1,1000)),1)</f>
        <v>7</v>
      </c>
      <c r="H272" t="str">
        <f>IF(AND(regexMatch(B272,".*#[0-9]*$"),ISNUMBER(SEARCH("#",B272))),CONCATENATE(TRIM(F272)," #",G272),B272)</f>
        <v>Bucket &amp; Spade #7</v>
      </c>
    </row>
    <row r="273" spans="1:8" ht="15.75" thickBot="1" x14ac:dyDescent="0.3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>IF(ISNUMBER(SEARCH("#",B273)), LEFT(B273,FIND("#",B273)-1), B273)</f>
        <v xml:space="preserve">Bucket &amp; Spade </v>
      </c>
      <c r="G273" s="26">
        <f>IF(ISNUMBER(SEARCH("#",B273)),VALUE(MID(B273,FIND("#",B273)+1,1000)),1)</f>
        <v>8</v>
      </c>
      <c r="H273" t="str">
        <f>IF(AND(regexMatch(B273,".*#[0-9]*$"),ISNUMBER(SEARCH("#",B273))),CONCATENATE(TRIM(F273)," #",G273),B273)</f>
        <v>Bucket &amp; Spade #8</v>
      </c>
    </row>
    <row r="274" spans="1:8" ht="15.75" thickBot="1" x14ac:dyDescent="0.3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>IF(ISNUMBER(SEARCH("#",B274)), LEFT(B274,FIND("#",B274)-1), B274)</f>
        <v xml:space="preserve">Bucket &amp; Spade </v>
      </c>
      <c r="G274" s="26">
        <f>IF(ISNUMBER(SEARCH("#",B274)),VALUE(MID(B274,FIND("#",B274)+1,1000)),1)</f>
        <v>9</v>
      </c>
      <c r="H274" t="str">
        <f>IF(AND(regexMatch(B274,".*#[0-9]*$"),ISNUMBER(SEARCH("#",B274))),CONCATENATE(TRIM(F274)," #",G274),B274)</f>
        <v>Bucket &amp; Spade #9</v>
      </c>
    </row>
    <row r="275" spans="1:8" ht="15.75" thickBot="1" x14ac:dyDescent="0.3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>IF(ISNUMBER(SEARCH("#",B275)), LEFT(B275,FIND("#",B275)-1), B275)</f>
        <v xml:space="preserve">Bucket &amp; Spade </v>
      </c>
      <c r="G275" s="26">
        <f>IF(ISNUMBER(SEARCH("#",B275)),VALUE(MID(B275,FIND("#",B275)+1,1000)),1)</f>
        <v>10</v>
      </c>
      <c r="H275" t="str">
        <f>IF(AND(regexMatch(B275,".*#[0-9]*$"),ISNUMBER(SEARCH("#",B275))),CONCATENATE(TRIM(F275)," #",G275),B275)</f>
        <v>Bucket &amp; Spade #10</v>
      </c>
    </row>
    <row r="276" spans="1:8" ht="15.75" thickBot="1" x14ac:dyDescent="0.3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>IF(ISNUMBER(SEARCH("#",B276)), LEFT(B276,FIND("#",B276)-1), B276)</f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.75" thickBot="1" x14ac:dyDescent="0.3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>IF(ISNUMBER(SEARCH("#",B277)), LEFT(B277,FIND("#",B277)-1), B277)</f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.75" thickBot="1" x14ac:dyDescent="0.3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>IF(ISNUMBER(SEARCH("#",B278)), LEFT(B278,FIND("#",B278)-1), B278)</f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.75" thickBot="1" x14ac:dyDescent="0.3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>IF(ISNUMBER(SEARCH("#",B279)), LEFT(B279,FIND("#",B279)-1), B279)</f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.75" thickBot="1" x14ac:dyDescent="0.3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>IF(ISNUMBER(SEARCH("#",B280)), LEFT(B280,FIND("#",B280)-1), B280)</f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.75" thickBot="1" x14ac:dyDescent="0.3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>IF(ISNUMBER(SEARCH("#",B281)), LEFT(B281,FIND("#",B281)-1), B281)</f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.75" thickBot="1" x14ac:dyDescent="0.3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>IF(ISNUMBER(SEARCH("#",B282)), LEFT(B282,FIND("#",B282)-1), B282)</f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.75" thickBot="1" x14ac:dyDescent="0.3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>IF(ISNUMBER(SEARCH("#",B283)), LEFT(B283,FIND("#",B283)-1), B283)</f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.75" thickBot="1" x14ac:dyDescent="0.3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>IF(ISNUMBER(SEARCH("#",B284)), LEFT(B284,FIND("#",B284)-1), B284)</f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.75" thickBot="1" x14ac:dyDescent="0.3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>IF(ISNUMBER(SEARCH("#",B285)), LEFT(B285,FIND("#",B285)-1), B285)</f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.75" thickBot="1" x14ac:dyDescent="0.3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>IF(ISNUMBER(SEARCH("#",B286)), LEFT(B286,FIND("#",B286)-1), B286)</f>
        <v xml:space="preserve">Sun Lotion </v>
      </c>
      <c r="G286" s="26">
        <f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.75" thickBot="1" x14ac:dyDescent="0.3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>IF(ISNUMBER(SEARCH("#",B287)), LEFT(B287,FIND("#",B287)-1), B287)</f>
        <v xml:space="preserve">Sun Lotion </v>
      </c>
      <c r="G287" s="26">
        <f>IF(ISNUMBER(SEARCH("#",B287)),VALUE(MID(B287,FIND("#",B287)+1,1000)),1)</f>
        <v>2</v>
      </c>
      <c r="H287" t="str">
        <f>IF(AND(regexMatch(B287,".*#[0-9]*$"),ISNUMBER(SEARCH("#",B287))),CONCATENATE(TRIM(F287)," #",G287),B287)</f>
        <v>Sun Lotion #2</v>
      </c>
    </row>
    <row r="288" spans="1:8" ht="15.75" thickBot="1" x14ac:dyDescent="0.3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>IF(ISNUMBER(SEARCH("#",B288)), LEFT(B288,FIND("#",B288)-1), B288)</f>
        <v xml:space="preserve">Sun Lotion </v>
      </c>
      <c r="G288" s="26">
        <f>IF(ISNUMBER(SEARCH("#",B288)),VALUE(MID(B288,FIND("#",B288)+1,1000)),1)</f>
        <v>3</v>
      </c>
      <c r="H288" t="str">
        <f>IF(AND(regexMatch(B288,".*#[0-9]*$"),ISNUMBER(SEARCH("#",B288))),CONCATENATE(TRIM(F288)," #",G288),B288)</f>
        <v>Sun Lotion #3</v>
      </c>
    </row>
    <row r="289" spans="1:8" ht="15.75" thickBot="1" x14ac:dyDescent="0.3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>IF(ISNUMBER(SEARCH("#",B289)), LEFT(B289,FIND("#",B289)-1), B289)</f>
        <v xml:space="preserve">Beach Bin </v>
      </c>
      <c r="G289" s="26">
        <f>IF(ISNUMBER(SEARCH("#",B289)),VALUE(MID(B289,FIND("#",B289)+1,1000)),1)</f>
        <v>1</v>
      </c>
      <c r="H289" t="str">
        <f>IF(AND(regexMatch(B289,".*#[0-9]*$"),ISNUMBER(SEARCH("#",B289))),CONCATENATE(TRIM(F289)," #",G289),B289)</f>
        <v>Beach Bin #1</v>
      </c>
    </row>
    <row r="290" spans="1:8" ht="15.75" thickBot="1" x14ac:dyDescent="0.3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>IF(ISNUMBER(SEARCH("#",B290)), LEFT(B290,FIND("#",B290)-1), B290)</f>
        <v xml:space="preserve">Beach Bin </v>
      </c>
      <c r="G290" s="26">
        <f>IF(ISNUMBER(SEARCH("#",B290)),VALUE(MID(B290,FIND("#",B290)+1,1000)),1)</f>
        <v>2</v>
      </c>
      <c r="H290" t="str">
        <f>IF(AND(regexMatch(B290,".*#[0-9]*$"),ISNUMBER(SEARCH("#",B290))),CONCATENATE(TRIM(F290)," #",G290),B290)</f>
        <v>Beach Bin #2</v>
      </c>
    </row>
    <row r="291" spans="1:8" ht="15.75" thickBot="1" x14ac:dyDescent="0.3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>IF(ISNUMBER(SEARCH("#",B291)), LEFT(B291,FIND("#",B291)-1), B291)</f>
        <v xml:space="preserve">Bin </v>
      </c>
      <c r="G291" s="26">
        <f>IF(ISNUMBER(SEARCH("#",B291)),VALUE(MID(B291,FIND("#",B291)+1,1000)),1)</f>
        <v>1</v>
      </c>
      <c r="H291" t="str">
        <f>IF(AND(regexMatch(B291,".*#[0-9]*$"),ISNUMBER(SEARCH("#",B291))),CONCATENATE(TRIM(F291)," #",G291),B291)</f>
        <v>Bin #1</v>
      </c>
    </row>
    <row r="292" spans="1:8" ht="15.75" thickBot="1" x14ac:dyDescent="0.3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>IF(ISNUMBER(SEARCH("#",B292)), LEFT(B292,FIND("#",B292)-1), B292)</f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.75" thickBot="1" x14ac:dyDescent="0.3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>IF(ISNUMBER(SEARCH("#",B293)), LEFT(B293,FIND("#",B293)-1), B293)</f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.75" thickBot="1" x14ac:dyDescent="0.3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>IF(ISNUMBER(SEARCH("#",B294)), LEFT(B294,FIND("#",B294)-1), B294)</f>
        <v xml:space="preserve">Bin </v>
      </c>
      <c r="G294" s="26">
        <f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.75" thickBot="1" x14ac:dyDescent="0.3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>IF(ISNUMBER(SEARCH("#",B295)), LEFT(B295,FIND("#",B295)-1), B295)</f>
        <v xml:space="preserve">Bin </v>
      </c>
      <c r="G295" s="26">
        <f>IF(ISNUMBER(SEARCH("#",B295)),VALUE(MID(B295,FIND("#",B295)+1,1000)),1)</f>
        <v>3</v>
      </c>
      <c r="H295" t="str">
        <f>IF(AND(regexMatch(B295,".*#[0-9]*$"),ISNUMBER(SEARCH("#",B295))),CONCATENATE(TRIM(F295)," #",G295),B295)</f>
        <v>Bin #3</v>
      </c>
    </row>
    <row r="296" spans="1:8" ht="15.75" thickBot="1" x14ac:dyDescent="0.3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>IF(ISNUMBER(SEARCH("#",B296)), LEFT(B296,FIND("#",B296)-1), B296)</f>
        <v xml:space="preserve">Bin </v>
      </c>
      <c r="G296" s="26">
        <f>IF(ISNUMBER(SEARCH("#",B296)),VALUE(MID(B296,FIND("#",B296)+1,1000)),1)</f>
        <v>4</v>
      </c>
      <c r="H296" t="str">
        <f>IF(AND(regexMatch(B296,".*#[0-9]*$"),ISNUMBER(SEARCH("#",B296))),CONCATENATE(TRIM(F296)," #",G296),B296)</f>
        <v>Bin #4</v>
      </c>
    </row>
    <row r="297" spans="1:8" ht="15.75" thickBot="1" x14ac:dyDescent="0.3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>IF(ISNUMBER(SEARCH("#",B297)), LEFT(B297,FIND("#",B297)-1), B297)</f>
        <v xml:space="preserve">Bin </v>
      </c>
      <c r="G297" s="26">
        <f>IF(ISNUMBER(SEARCH("#",B297)),VALUE(MID(B297,FIND("#",B297)+1,1000)),1)</f>
        <v>5</v>
      </c>
      <c r="H297" t="str">
        <f>IF(AND(regexMatch(B297,".*#[0-9]*$"),ISNUMBER(SEARCH("#",B297))),CONCATENATE(TRIM(F297)," #",G297),B297)</f>
        <v>Bin #5</v>
      </c>
    </row>
    <row r="298" spans="1:8" ht="15.75" thickBot="1" x14ac:dyDescent="0.3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>IF(ISNUMBER(SEARCH("#",B298)), LEFT(B298,FIND("#",B298)-1), B298)</f>
        <v xml:space="preserve">Bin </v>
      </c>
      <c r="G298" s="26">
        <f>IF(ISNUMBER(SEARCH("#",B298)),VALUE(MID(B298,FIND("#",B298)+1,1000)),1)</f>
        <v>6</v>
      </c>
      <c r="H298" t="str">
        <f>IF(AND(regexMatch(B298,".*#[0-9]*$"),ISNUMBER(SEARCH("#",B298))),CONCATENATE(TRIM(F298)," #",G298),B298)</f>
        <v>Bin #6</v>
      </c>
    </row>
    <row r="299" spans="1:8" ht="15.75" thickBot="1" x14ac:dyDescent="0.3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>IF(ISNUMBER(SEARCH("#",B299)), LEFT(B299,FIND("#",B299)-1), B299)</f>
        <v xml:space="preserve">Bin </v>
      </c>
      <c r="G299" s="26">
        <f>IF(ISNUMBER(SEARCH("#",B299)),VALUE(MID(B299,FIND("#",B299)+1,1000)),1)</f>
        <v>7</v>
      </c>
      <c r="H299" t="str">
        <f>IF(AND(regexMatch(B299,".*#[0-9]*$"),ISNUMBER(SEARCH("#",B299))),CONCATENATE(TRIM(F299)," #",G299),B299)</f>
        <v>Bin #7</v>
      </c>
    </row>
    <row r="300" spans="1:8" ht="15.75" thickBot="1" x14ac:dyDescent="0.3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>IF(ISNUMBER(SEARCH("#",B300)), LEFT(B300,FIND("#",B300)-1), B300)</f>
        <v xml:space="preserve">Bin </v>
      </c>
      <c r="G300" s="26">
        <f>IF(ISNUMBER(SEARCH("#",B300)),VALUE(MID(B300,FIND("#",B300)+1,1000)),1)</f>
        <v>8</v>
      </c>
      <c r="H300" t="str">
        <f>IF(AND(regexMatch(B300,".*#[0-9]*$"),ISNUMBER(SEARCH("#",B300))),CONCATENATE(TRIM(F300)," #",G300),B300)</f>
        <v>Bin #8</v>
      </c>
    </row>
    <row r="301" spans="1:8" ht="15.75" thickBot="1" x14ac:dyDescent="0.3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>IF(ISNUMBER(SEARCH("#",B301)), LEFT(B301,FIND("#",B301)-1), B301)</f>
        <v xml:space="preserve">Bin </v>
      </c>
      <c r="G301" s="26">
        <f>IF(ISNUMBER(SEARCH("#",B301)),VALUE(MID(B301,FIND("#",B301)+1,1000)),1)</f>
        <v>9</v>
      </c>
      <c r="H301" t="str">
        <f>IF(AND(regexMatch(B301,".*#[0-9]*$"),ISNUMBER(SEARCH("#",B301))),CONCATENATE(TRIM(F301)," #",G301),B301)</f>
        <v>Bin #9</v>
      </c>
    </row>
    <row r="302" spans="1:8" ht="15.75" thickBot="1" x14ac:dyDescent="0.3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>IF(ISNUMBER(SEARCH("#",B302)), LEFT(B302,FIND("#",B302)-1), B302)</f>
        <v xml:space="preserve">Bin </v>
      </c>
      <c r="G302" s="26">
        <f>IF(ISNUMBER(SEARCH("#",B302)),VALUE(MID(B302,FIND("#",B302)+1,1000)),1)</f>
        <v>10</v>
      </c>
      <c r="H302" t="str">
        <f>IF(AND(regexMatch(B302,".*#[0-9]*$"),ISNUMBER(SEARCH("#",B302))),CONCATENATE(TRIM(F302)," #",G302),B302)</f>
        <v>Bin #10</v>
      </c>
    </row>
    <row r="303" spans="1:8" ht="15.75" thickBot="1" x14ac:dyDescent="0.3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>IF(ISNUMBER(SEARCH("#",B303)), LEFT(B303,FIND("#",B303)-1), B303)</f>
        <v xml:space="preserve">Bin </v>
      </c>
      <c r="G303" s="26">
        <f>IF(ISNUMBER(SEARCH("#",B303)),VALUE(MID(B303,FIND("#",B303)+1,1000)),1)</f>
        <v>11</v>
      </c>
      <c r="H303" t="str">
        <f>IF(AND(regexMatch(B303,".*#[0-9]*$"),ISNUMBER(SEARCH("#",B303))),CONCATENATE(TRIM(F303)," #",G303),B303)</f>
        <v>Bin #11</v>
      </c>
    </row>
    <row r="304" spans="1:8" ht="15.75" thickBot="1" x14ac:dyDescent="0.3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>IF(ISNUMBER(SEARCH("#",B304)), LEFT(B304,FIND("#",B304)-1), B304)</f>
        <v xml:space="preserve">Bin </v>
      </c>
      <c r="G304" s="26">
        <f>IF(ISNUMBER(SEARCH("#",B304)),VALUE(MID(B304,FIND("#",B304)+1,1000)),1)</f>
        <v>12</v>
      </c>
      <c r="H304" t="str">
        <f>IF(AND(regexMatch(B304,".*#[0-9]*$"),ISNUMBER(SEARCH("#",B304))),CONCATENATE(TRIM(F304)," #",G304),B304)</f>
        <v>Bin #12</v>
      </c>
    </row>
    <row r="305" spans="1:8" ht="15.75" thickBot="1" x14ac:dyDescent="0.3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>IF(ISNUMBER(SEARCH("#",B305)), LEFT(B305,FIND("#",B305)-1), B305)</f>
        <v xml:space="preserve">Bin </v>
      </c>
      <c r="G305" s="26">
        <f>IF(ISNUMBER(SEARCH("#",B305)),VALUE(MID(B305,FIND("#",B305)+1,1000)),1)</f>
        <v>13</v>
      </c>
      <c r="H305" t="str">
        <f>IF(AND(regexMatch(B305,".*#[0-9]*$"),ISNUMBER(SEARCH("#",B305))),CONCATENATE(TRIM(F305)," #",G305),B305)</f>
        <v>Bin #13</v>
      </c>
    </row>
    <row r="306" spans="1:8" ht="15.75" thickBot="1" x14ac:dyDescent="0.3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>IF(ISNUMBER(SEARCH("#",B306)), LEFT(B306,FIND("#",B306)-1), B306)</f>
        <v xml:space="preserve">Bin </v>
      </c>
      <c r="G306" s="26">
        <f>IF(ISNUMBER(SEARCH("#",B306)),VALUE(MID(B306,FIND("#",B306)+1,1000)),1)</f>
        <v>14</v>
      </c>
      <c r="H306" t="str">
        <f>IF(AND(regexMatch(B306,".*#[0-9]*$"),ISNUMBER(SEARCH("#",B306))),CONCATENATE(TRIM(F306)," #",G306),B306)</f>
        <v>Bin #14</v>
      </c>
    </row>
    <row r="307" spans="1:8" ht="15.75" thickBot="1" x14ac:dyDescent="0.3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>IF(ISNUMBER(SEARCH("#",B307)), LEFT(B307,FIND("#",B307)-1), B307)</f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.75" thickBot="1" x14ac:dyDescent="0.3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>IF(ISNUMBER(SEARCH("#",B308)), LEFT(B308,FIND("#",B308)-1), B308)</f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.75" thickBot="1" x14ac:dyDescent="0.3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>IF(ISNUMBER(SEARCH("#",B309)), LEFT(B309,FIND("#",B309)-1), B309)</f>
        <v xml:space="preserve">Bin </v>
      </c>
      <c r="G309" s="26">
        <f>G308+1</f>
        <v>17</v>
      </c>
      <c r="H309" t="str">
        <f>IF(AND(regexMatch(B309,".*#[0-9]*$"),ISNUMBER(SEARCH("#",B309))),CONCATENATE(TRIM(F309)," #",G309),B309)</f>
        <v>Bin #17</v>
      </c>
    </row>
    <row r="310" spans="1:8" ht="15.75" thickBot="1" x14ac:dyDescent="0.3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>IF(ISNUMBER(SEARCH("#",B310)), LEFT(B310,FIND("#",B310)-1), B310)</f>
        <v xml:space="preserve">Bin </v>
      </c>
      <c r="G310" s="26">
        <f>G309+1</f>
        <v>18</v>
      </c>
      <c r="H310" t="str">
        <f>IF(AND(regexMatch(B310,".*#[0-9]*$"),ISNUMBER(SEARCH("#",B310))),CONCATENATE(TRIM(F310)," #",G310),B310)</f>
        <v>Bin #18</v>
      </c>
    </row>
    <row r="311" spans="1:8" ht="15.75" thickBot="1" x14ac:dyDescent="0.3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>IF(ISNUMBER(SEARCH("#",B311)), LEFT(B311,FIND("#",B311)-1), B311)</f>
        <v xml:space="preserve">Bin </v>
      </c>
      <c r="G311" s="26">
        <f>G310+1</f>
        <v>19</v>
      </c>
      <c r="H311" t="str">
        <f>IF(AND(regexMatch(B311,".*#[0-9]*$"),ISNUMBER(SEARCH("#",B311))),CONCATENATE(TRIM(F311)," #",G311),B311)</f>
        <v>Bin #19</v>
      </c>
    </row>
    <row r="312" spans="1:8" ht="15.75" thickBot="1" x14ac:dyDescent="0.3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>IF(ISNUMBER(SEARCH("#",B312)), LEFT(B312,FIND("#",B312)-1), B312)</f>
        <v xml:space="preserve">Bin </v>
      </c>
      <c r="G312" s="26">
        <f>G311+1</f>
        <v>20</v>
      </c>
      <c r="H312" t="str">
        <f>IF(AND(regexMatch(B312,".*#[0-9]*$"),ISNUMBER(SEARCH("#",B312))),CONCATENATE(TRIM(F312)," #",G312),B312)</f>
        <v>Bin #20</v>
      </c>
    </row>
    <row r="313" spans="1:8" ht="15.75" thickBot="1" x14ac:dyDescent="0.3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>IF(ISNUMBER(SEARCH("#",B313)), LEFT(B313,FIND("#",B313)-1), B313)</f>
        <v xml:space="preserve">Bin </v>
      </c>
      <c r="G313" s="26">
        <f>G312+1</f>
        <v>21</v>
      </c>
      <c r="H313" t="str">
        <f>IF(AND(regexMatch(B313,".*#[0-9]*$"),ISNUMBER(SEARCH("#",B313))),CONCATENATE(TRIM(F313)," #",G313),B313)</f>
        <v>Bin #21</v>
      </c>
    </row>
    <row r="314" spans="1:8" ht="15.75" thickBot="1" x14ac:dyDescent="0.3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>IF(ISNUMBER(SEARCH("#",B314)), LEFT(B314,FIND("#",B314)-1), B314)</f>
        <v xml:space="preserve">Bin </v>
      </c>
      <c r="G314" s="26">
        <f>G313+1</f>
        <v>22</v>
      </c>
      <c r="H314" t="str">
        <f>IF(AND(regexMatch(B314,".*#[0-9]*$"),ISNUMBER(SEARCH("#",B314))),CONCATENATE(TRIM(F314)," #",G314),B314)</f>
        <v>Bin #22</v>
      </c>
    </row>
    <row r="315" spans="1:8" ht="15.75" thickBot="1" x14ac:dyDescent="0.3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>IF(ISNUMBER(SEARCH("#",B315)), LEFT(B315,FIND("#",B315)-1), B315)</f>
        <v xml:space="preserve">Bin </v>
      </c>
      <c r="G315" s="26">
        <f>G314+1</f>
        <v>23</v>
      </c>
      <c r="H315" t="str">
        <f>IF(AND(regexMatch(B315,".*#[0-9]*$"),ISNUMBER(SEARCH("#",B315))),CONCATENATE(TRIM(F315)," #",G315),B315)</f>
        <v>Bin #23</v>
      </c>
    </row>
    <row r="316" spans="1:8" ht="15.75" thickBot="1" x14ac:dyDescent="0.3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>IF(ISNUMBER(SEARCH("#",B316)), LEFT(B316,FIND("#",B316)-1), B316)</f>
        <v xml:space="preserve">Bin </v>
      </c>
      <c r="G316" s="26">
        <f>G315+1</f>
        <v>24</v>
      </c>
      <c r="H316" t="str">
        <f>IF(AND(regexMatch(B316,".*#[0-9]*$"),ISNUMBER(SEARCH("#",B316))),CONCATENATE(TRIM(F316)," #",G316),B316)</f>
        <v>Bin #24</v>
      </c>
    </row>
    <row r="317" spans="1:8" ht="15.75" thickBot="1" x14ac:dyDescent="0.3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>IF(ISNUMBER(SEARCH("#",B317)), LEFT(B317,FIND("#",B317)-1), B317)</f>
        <v xml:space="preserve">Bin </v>
      </c>
      <c r="G317" s="26">
        <f>G316+1</f>
        <v>25</v>
      </c>
      <c r="H317" t="str">
        <f>IF(AND(regexMatch(B317,".*#[0-9]*$"),ISNUMBER(SEARCH("#",B317))),CONCATENATE(TRIM(F317)," #",G317),B317)</f>
        <v>Bin #25</v>
      </c>
    </row>
    <row r="318" spans="1:8" ht="15.75" thickBot="1" x14ac:dyDescent="0.3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>IF(ISNUMBER(SEARCH("#",B318)), LEFT(B318,FIND("#",B318)-1), B318)</f>
        <v>Bin With Ashtray</v>
      </c>
      <c r="G318" s="26">
        <f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.75" thickBot="1" x14ac:dyDescent="0.3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>IF(ISNUMBER(SEARCH("#",B319)), LEFT(B319,FIND("#",B319)-1), B319)</f>
        <v xml:space="preserve">Dumpster </v>
      </c>
      <c r="G319" s="26">
        <f>IF(ISNUMBER(SEARCH("#",B319)),VALUE(MID(B319,FIND("#",B319)+1,1000)),1)</f>
        <v>1</v>
      </c>
      <c r="H319" t="str">
        <f>IF(AND(regexMatch(B319,".*#[0-9]*$"),ISNUMBER(SEARCH("#",B319))),CONCATENATE(TRIM(F319)," #",G319),B319)</f>
        <v>Dumpster #1</v>
      </c>
    </row>
    <row r="320" spans="1:8" ht="15.75" thickBot="1" x14ac:dyDescent="0.3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>IF(ISNUMBER(SEARCH("#",B320)), LEFT(B320,FIND("#",B320)-1), B320)</f>
        <v xml:space="preserve">Dumpster </v>
      </c>
      <c r="G320" s="26">
        <f>IF(ISNUMBER(SEARCH("#",B320)),VALUE(MID(B320,FIND("#",B320)+1,1000)),1)</f>
        <v>2</v>
      </c>
      <c r="H320" t="str">
        <f>IF(AND(regexMatch(B320,".*#[0-9]*$"),ISNUMBER(SEARCH("#",B320))),CONCATENATE(TRIM(F320)," #",G320),B320)</f>
        <v>Dumpster #2</v>
      </c>
    </row>
    <row r="321" spans="1:8" ht="15.75" thickBot="1" x14ac:dyDescent="0.3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>IF(ISNUMBER(SEARCH("#",B321)), LEFT(B321,FIND("#",B321)-1), B321)</f>
        <v xml:space="preserve">Dumpster </v>
      </c>
      <c r="G321" s="26">
        <f>IF(ISNUMBER(SEARCH("#",B321)),VALUE(MID(B321,FIND("#",B321)+1,1000)),1)</f>
        <v>3</v>
      </c>
      <c r="H321" t="str">
        <f>IF(AND(regexMatch(B321,".*#[0-9]*$"),ISNUMBER(SEARCH("#",B321))),CONCATENATE(TRIM(F321)," #",G321),B321)</f>
        <v>Dumpster #3</v>
      </c>
    </row>
    <row r="322" spans="1:8" ht="15.75" thickBot="1" x14ac:dyDescent="0.3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>IF(ISNUMBER(SEARCH("#",B322)), LEFT(B322,FIND("#",B322)-1), B322)</f>
        <v xml:space="preserve">Dumpster </v>
      </c>
      <c r="G322" s="26">
        <f>IF(ISNUMBER(SEARCH("#",B322)),VALUE(MID(B322,FIND("#",B322)+1,1000)),1)</f>
        <v>4</v>
      </c>
      <c r="H322" t="str">
        <f>IF(AND(regexMatch(B322,".*#[0-9]*$"),ISNUMBER(SEARCH("#",B322))),CONCATENATE(TRIM(F322)," #",G322),B322)</f>
        <v>Dumpster #4</v>
      </c>
    </row>
    <row r="323" spans="1:8" ht="15.75" thickBot="1" x14ac:dyDescent="0.3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>IF(ISNUMBER(SEARCH("#",B323)), LEFT(B323,FIND("#",B323)-1), B323)</f>
        <v xml:space="preserve">Dumpster </v>
      </c>
      <c r="G323" s="26">
        <f>IF(ISNUMBER(SEARCH("#",B323)),VALUE(MID(B323,FIND("#",B323)+1,1000)),1)</f>
        <v>5</v>
      </c>
      <c r="H323" t="str">
        <f>IF(AND(regexMatch(B323,".*#[0-9]*$"),ISNUMBER(SEARCH("#",B323))),CONCATENATE(TRIM(F323)," #",G323),B323)</f>
        <v>Dumpster #5</v>
      </c>
    </row>
    <row r="324" spans="1:8" ht="15.75" thickBot="1" x14ac:dyDescent="0.3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>IF(ISNUMBER(SEARCH("#",B324)), LEFT(B324,FIND("#",B324)-1), B324)</f>
        <v xml:space="preserve">Dumpster </v>
      </c>
      <c r="G324" s="26">
        <f>IF(ISNUMBER(SEARCH("#",B324)),VALUE(MID(B324,FIND("#",B324)+1,1000)),1)</f>
        <v>6</v>
      </c>
      <c r="H324" t="str">
        <f>IF(AND(regexMatch(B324,".*#[0-9]*$"),ISNUMBER(SEARCH("#",B324))),CONCATENATE(TRIM(F324)," #",G324),B324)</f>
        <v>Dumpster #6</v>
      </c>
    </row>
    <row r="325" spans="1:8" ht="15.75" thickBot="1" x14ac:dyDescent="0.3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>IF(ISNUMBER(SEARCH("#",B325)), LEFT(B325,FIND("#",B325)-1), B325)</f>
        <v xml:space="preserve">Dumpster </v>
      </c>
      <c r="G325" s="26">
        <f>IF(ISNUMBER(SEARCH("#",B325)),VALUE(MID(B325,FIND("#",B325)+1,1000)),1)</f>
        <v>7</v>
      </c>
      <c r="H325" t="str">
        <f>IF(AND(regexMatch(B325,".*#[0-9]*$"),ISNUMBER(SEARCH("#",B325))),CONCATENATE(TRIM(F325)," #",G325),B325)</f>
        <v>Dumpster #7</v>
      </c>
    </row>
    <row r="326" spans="1:8" ht="15.75" thickBot="1" x14ac:dyDescent="0.3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>IF(ISNUMBER(SEARCH("#",B326)), LEFT(B326,FIND("#",B326)-1), B326)</f>
        <v>Dumpster (Snowy)</v>
      </c>
      <c r="G326" s="26">
        <f>IF(ISNUMBER(SEARCH("#",B326)),VALUE(MID(B326,FIND("#",B326)+1,1000)),1)</f>
        <v>1</v>
      </c>
      <c r="H326" t="str">
        <f>IF(AND(regexMatch(B326,".*#[0-9]*$"),ISNUMBER(SEARCH("#",B326))),CONCATENATE(TRIM(F326)," #",G326),B326)</f>
        <v>Dumpster (Snowy)</v>
      </c>
    </row>
    <row r="327" spans="1:8" ht="15.75" thickBot="1" x14ac:dyDescent="0.3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>IF(ISNUMBER(SEARCH("#",B327)), LEFT(B327,FIND("#",B327)-1), B327)</f>
        <v>Dumpster Lid L</v>
      </c>
      <c r="G327" s="26">
        <f>IF(ISNUMBER(SEARCH("#",B327)),VALUE(MID(B327,FIND("#",B327)+1,1000)),1)</f>
        <v>1</v>
      </c>
      <c r="H327" t="str">
        <f>IF(AND(regexMatch(B327,".*#[0-9]*$"),ISNUMBER(SEARCH("#",B327))),CONCATENATE(TRIM(F327)," #",G327),B327)</f>
        <v>Dumpster Lid L</v>
      </c>
    </row>
    <row r="328" spans="1:8" ht="15.75" thickBot="1" x14ac:dyDescent="0.3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>IF(ISNUMBER(SEARCH("#",B328)), LEFT(B328,FIND("#",B328)-1), B328)</f>
        <v>Dumpster Lid R</v>
      </c>
      <c r="G328" s="26">
        <f>IF(ISNUMBER(SEARCH("#",B328)),VALUE(MID(B328,FIND("#",B328)+1,1000)),1)</f>
        <v>1</v>
      </c>
      <c r="H328" t="str">
        <f>IF(AND(regexMatch(B328,".*#[0-9]*$"),ISNUMBER(SEARCH("#",B328))),CONCATENATE(TRIM(F328)," #",G328),B328)</f>
        <v>Dumpster Lid R</v>
      </c>
    </row>
    <row r="329" spans="1:8" ht="15.75" thickBot="1" x14ac:dyDescent="0.3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>IF(ISNUMBER(SEARCH("#",B329)), LEFT(B329,FIND("#",B329)-1), B329)</f>
        <v>FIB Bin</v>
      </c>
      <c r="G329" s="26">
        <f>IF(ISNUMBER(SEARCH("#",B329)),VALUE(MID(B329,FIND("#",B329)+1,1000)),1)</f>
        <v>1</v>
      </c>
      <c r="H329" t="str">
        <f>IF(AND(regexMatch(B329,".*#[0-9]*$"),ISNUMBER(SEARCH("#",B329))),CONCATENATE(TRIM(F329)," #",G329),B329)</f>
        <v>FIB Bin</v>
      </c>
    </row>
    <row r="330" spans="1:8" ht="15.75" thickBot="1" x14ac:dyDescent="0.3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>IF(ISNUMBER(SEARCH("#",B330)), LEFT(B330,FIND("#",B330)-1), B330)</f>
        <v xml:space="preserve">Recycle Bin </v>
      </c>
      <c r="G330" s="26">
        <f>IF(ISNUMBER(SEARCH("#",B330)),VALUE(MID(B330,FIND("#",B330)+1,1000)),1)</f>
        <v>1</v>
      </c>
      <c r="H330" t="str">
        <f>IF(AND(regexMatch(B330,".*#[0-9]*$"),ISNUMBER(SEARCH("#",B330))),CONCATENATE(TRIM(F330)," #",G330),B330)</f>
        <v>Recycle Bin #1</v>
      </c>
    </row>
    <row r="331" spans="1:8" ht="15.75" thickBot="1" x14ac:dyDescent="0.3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>IF(ISNUMBER(SEARCH("#",B331)), LEFT(B331,FIND("#",B331)-1), B331)</f>
        <v xml:space="preserve">Recycle Bin </v>
      </c>
      <c r="G331" s="26">
        <f>IF(ISNUMBER(SEARCH("#",B331)),VALUE(MID(B331,FIND("#",B331)+1,1000)),1)</f>
        <v>2</v>
      </c>
      <c r="H331" t="str">
        <f>IF(AND(regexMatch(B331,".*#[0-9]*$"),ISNUMBER(SEARCH("#",B331))),CONCATENATE(TRIM(F331)," #",G331),B331)</f>
        <v>Recycle Bin #2</v>
      </c>
    </row>
    <row r="332" spans="1:8" ht="15.75" thickBot="1" x14ac:dyDescent="0.3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>IF(ISNUMBER(SEARCH("#",B332)), LEFT(B332,FIND("#",B332)-1), B332)</f>
        <v xml:space="preserve">Recycle Bin </v>
      </c>
      <c r="G332" s="26">
        <f>IF(ISNUMBER(SEARCH("#",B332)),VALUE(MID(B332,FIND("#",B332)+1,1000)),1)</f>
        <v>3</v>
      </c>
      <c r="H332" t="str">
        <f>IF(AND(regexMatch(B332,".*#[0-9]*$"),ISNUMBER(SEARCH("#",B332))),CONCATENATE(TRIM(F332)," #",G332),B332)</f>
        <v>Recycle Bin #3</v>
      </c>
    </row>
    <row r="333" spans="1:8" ht="15.75" thickBot="1" x14ac:dyDescent="0.3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>IF(ISNUMBER(SEARCH("#",B333)), LEFT(B333,FIND("#",B333)-1), B333)</f>
        <v xml:space="preserve">Recycle Bin </v>
      </c>
      <c r="G333" s="26">
        <f>IF(ISNUMBER(SEARCH("#",B333)),VALUE(MID(B333,FIND("#",B333)+1,1000)),1)</f>
        <v>4</v>
      </c>
      <c r="H333" t="str">
        <f>IF(AND(regexMatch(B333,".*#[0-9]*$"),ISNUMBER(SEARCH("#",B333))),CONCATENATE(TRIM(F333)," #",G333),B333)</f>
        <v>Recycle Bin #4</v>
      </c>
    </row>
    <row r="334" spans="1:8" ht="15.75" thickBot="1" x14ac:dyDescent="0.3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>IF(ISNUMBER(SEARCH("#",B334)), LEFT(B334,FIND("#",B334)-1), B334)</f>
        <v xml:space="preserve">Recycle Bin </v>
      </c>
      <c r="G334" s="26">
        <f>IF(ISNUMBER(SEARCH("#",B334)),VALUE(MID(B334,FIND("#",B334)+1,1000)),1)</f>
        <v>5</v>
      </c>
      <c r="H334" t="str">
        <f>IF(AND(regexMatch(B334,".*#[0-9]*$"),ISNUMBER(SEARCH("#",B334))),CONCATENATE(TRIM(F334)," #",G334),B334)</f>
        <v>Recycle Bin #5</v>
      </c>
    </row>
    <row r="335" spans="1:8" ht="15.75" thickBot="1" x14ac:dyDescent="0.3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>IF(ISNUMBER(SEARCH("#",B335)), LEFT(B335,FIND("#",B335)-1), B335)</f>
        <v xml:space="preserve">Recycle Bin </v>
      </c>
      <c r="G335" s="26">
        <f>IF(ISNUMBER(SEARCH("#",B335)),VALUE(MID(B335,FIND("#",B335)+1,1000)),1)</f>
        <v>6</v>
      </c>
      <c r="H335" t="str">
        <f>IF(AND(regexMatch(B335,".*#[0-9]*$"),ISNUMBER(SEARCH("#",B335))),CONCATENATE(TRIM(F335)," #",G335),B335)</f>
        <v>Recycle Bin #6</v>
      </c>
    </row>
    <row r="336" spans="1:8" ht="15.75" thickBot="1" x14ac:dyDescent="0.3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>IF(ISNUMBER(SEARCH("#",B336)), LEFT(B336,FIND("#",B336)-1), B336)</f>
        <v xml:space="preserve">Recycle Bin </v>
      </c>
      <c r="G336" s="26">
        <f>IF(ISNUMBER(SEARCH("#",B336)),VALUE(MID(B336,FIND("#",B336)+1,1000)),1)</f>
        <v>7</v>
      </c>
      <c r="H336" t="str">
        <f>IF(AND(regexMatch(B336,".*#[0-9]*$"),ISNUMBER(SEARCH("#",B336))),CONCATENATE(TRIM(F336)," #",G336),B336)</f>
        <v>Recycle Bin #7</v>
      </c>
    </row>
    <row r="337" spans="1:8" ht="15.75" thickBot="1" x14ac:dyDescent="0.3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>IF(ISNUMBER(SEARCH("#",B337)), LEFT(B337,FIND("#",B337)-1), B337)</f>
        <v xml:space="preserve">Recycle Bin </v>
      </c>
      <c r="G337" s="26">
        <f>IF(ISNUMBER(SEARCH("#",B337)),VALUE(MID(B337,FIND("#",B337)+1,1000)),1)</f>
        <v>8</v>
      </c>
      <c r="H337" t="str">
        <f>IF(AND(regexMatch(B337,".*#[0-9]*$"),ISNUMBER(SEARCH("#",B337))),CONCATENATE(TRIM(F337)," #",G337),B337)</f>
        <v>Recycle Bin #8</v>
      </c>
    </row>
    <row r="338" spans="1:8" ht="15.75" thickBot="1" x14ac:dyDescent="0.3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>IF(ISNUMBER(SEARCH("#",B338)), LEFT(B338,FIND("#",B338)-1), B338)</f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.75" thickBot="1" x14ac:dyDescent="0.3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>IF(ISNUMBER(SEARCH("#",B339)), LEFT(B339,FIND("#",B339)-1), B339)</f>
        <v>Recycle Bin: Drinks Containers</v>
      </c>
      <c r="G339" s="26">
        <f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.75" thickBot="1" x14ac:dyDescent="0.3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>IF(ISNUMBER(SEARCH("#",B340)), LEFT(B340,FIND("#",B340)-1), B340)</f>
        <v>Recycle Bin: Waste Paper</v>
      </c>
      <c r="G340" s="26">
        <f>IF(ISNUMBER(SEARCH("#",B340)),VALUE(MID(B340,FIND("#",B340)+1,1000)),1)</f>
        <v>1</v>
      </c>
      <c r="H340" t="str">
        <f>IF(AND(regexMatch(B340,".*#[0-9]*$"),ISNUMBER(SEARCH("#",B340))),CONCATENATE(TRIM(F340)," #",G340),B340)</f>
        <v>Recycle Bin: Waste Paper</v>
      </c>
    </row>
    <row r="341" spans="1:8" ht="15.75" thickBot="1" x14ac:dyDescent="0.3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>IF(ISNUMBER(SEARCH("#",B341)), LEFT(B341,FIND("#",B341)-1), B341)</f>
        <v xml:space="preserve">Skip </v>
      </c>
      <c r="G341" s="26">
        <f>IF(ISNUMBER(SEARCH("#",B341)),VALUE(MID(B341,FIND("#",B341)+1,1000)),1)</f>
        <v>1</v>
      </c>
      <c r="H341" t="str">
        <f>IF(AND(regexMatch(B341,".*#[0-9]*$"),ISNUMBER(SEARCH("#",B341))),CONCATENATE(TRIM(F341)," #",G341),B341)</f>
        <v>Skip #1</v>
      </c>
    </row>
    <row r="342" spans="1:8" ht="15.75" thickBot="1" x14ac:dyDescent="0.3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>IF(ISNUMBER(SEARCH("#",B342)), LEFT(B342,FIND("#",B342)-1), B342)</f>
        <v xml:space="preserve">Skip </v>
      </c>
      <c r="G342" s="26">
        <f>IF(ISNUMBER(SEARCH("#",B342)),VALUE(MID(B342,FIND("#",B342)+1,1000)),1)</f>
        <v>2</v>
      </c>
      <c r="H342" t="str">
        <f>IF(AND(regexMatch(B342,".*#[0-9]*$"),ISNUMBER(SEARCH("#",B342))),CONCATENATE(TRIM(F342)," #",G342),B342)</f>
        <v>Skip #2</v>
      </c>
    </row>
    <row r="343" spans="1:8" ht="15.75" thickBot="1" x14ac:dyDescent="0.3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>IF(ISNUMBER(SEARCH("#",B343)), LEFT(B343,FIND("#",B343)-1), B343)</f>
        <v xml:space="preserve">Skip </v>
      </c>
      <c r="G343" s="26">
        <f>IF(ISNUMBER(SEARCH("#",B343)),VALUE(MID(B343,FIND("#",B343)+1,1000)),1)</f>
        <v>3</v>
      </c>
      <c r="H343" t="str">
        <f>IF(AND(regexMatch(B343,".*#[0-9]*$"),ISNUMBER(SEARCH("#",B343))),CONCATENATE(TRIM(F343)," #",G343),B343)</f>
        <v>Skip #3</v>
      </c>
    </row>
    <row r="344" spans="1:8" ht="15.75" thickBot="1" x14ac:dyDescent="0.3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>IF(ISNUMBER(SEARCH("#",B344)), LEFT(B344,FIND("#",B344)-1), B344)</f>
        <v xml:space="preserve">Skip </v>
      </c>
      <c r="G344" s="26">
        <f>IF(ISNUMBER(SEARCH("#",B344)),VALUE(MID(B344,FIND("#",B344)+1,1000)),1)</f>
        <v>4</v>
      </c>
      <c r="H344" t="str">
        <f>IF(AND(regexMatch(B344,".*#[0-9]*$"),ISNUMBER(SEARCH("#",B344))),CONCATENATE(TRIM(F344)," #",G344),B344)</f>
        <v>Skip #4</v>
      </c>
    </row>
    <row r="345" spans="1:8" ht="15.75" thickBot="1" x14ac:dyDescent="0.3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>IF(ISNUMBER(SEARCH("#",B345)), LEFT(B345,FIND("#",B345)-1), B345)</f>
        <v xml:space="preserve">Skip </v>
      </c>
      <c r="G345" s="26">
        <f>IF(ISNUMBER(SEARCH("#",B345)),VALUE(MID(B345,FIND("#",B345)+1,1000)),1)</f>
        <v>5</v>
      </c>
      <c r="H345" t="str">
        <f>IF(AND(regexMatch(B345,".*#[0-9]*$"),ISNUMBER(SEARCH("#",B345))),CONCATENATE(TRIM(F345)," #",G345),B345)</f>
        <v>Skip #5</v>
      </c>
    </row>
    <row r="346" spans="1:8" ht="15.75" thickBot="1" x14ac:dyDescent="0.3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>IF(ISNUMBER(SEARCH("#",B346)), LEFT(B346,FIND("#",B346)-1), B346)</f>
        <v xml:space="preserve">Skip </v>
      </c>
      <c r="G346" s="26">
        <f>IF(ISNUMBER(SEARCH("#",B346)),VALUE(MID(B346,FIND("#",B346)+1,1000)),1)</f>
        <v>6</v>
      </c>
      <c r="H346" t="str">
        <f>IF(AND(regexMatch(B346,".*#[0-9]*$"),ISNUMBER(SEARCH("#",B346))),CONCATENATE(TRIM(F346)," #",G346),B346)</f>
        <v>Skip #6</v>
      </c>
    </row>
    <row r="347" spans="1:8" ht="15.75" thickBot="1" x14ac:dyDescent="0.3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>IF(ISNUMBER(SEARCH("#",B347)), LEFT(B347,FIND("#",B347)-1), B347)</f>
        <v xml:space="preserve">Skip </v>
      </c>
      <c r="G347" s="26">
        <f>IF(ISNUMBER(SEARCH("#",B347)),VALUE(MID(B347,FIND("#",B347)+1,1000)),1)</f>
        <v>7</v>
      </c>
      <c r="H347" t="str">
        <f>IF(AND(regexMatch(B347,".*#[0-9]*$"),ISNUMBER(SEARCH("#",B347))),CONCATENATE(TRIM(F347)," #",G347),B347)</f>
        <v>Skip #7</v>
      </c>
    </row>
    <row r="348" spans="1:8" ht="15.75" thickBot="1" x14ac:dyDescent="0.3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>IF(ISNUMBER(SEARCH("#",B348)), LEFT(B348,FIND("#",B348)-1), B348)</f>
        <v xml:space="preserve">Skip </v>
      </c>
      <c r="G348" s="26">
        <f>IF(ISNUMBER(SEARCH("#",B348)),VALUE(MID(B348,FIND("#",B348)+1,1000)),1)</f>
        <v>8</v>
      </c>
      <c r="H348" t="str">
        <f>IF(AND(regexMatch(B348,".*#[0-9]*$"),ISNUMBER(SEARCH("#",B348))),CONCATENATE(TRIM(F348)," #",G348),B348)</f>
        <v>Skip #8</v>
      </c>
    </row>
    <row r="349" spans="1:8" ht="15.75" thickBot="1" x14ac:dyDescent="0.3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>IF(ISNUMBER(SEARCH("#",B349)), LEFT(B349,FIND("#",B349)-1), B349)</f>
        <v>Ammo Box</v>
      </c>
      <c r="G349" s="26">
        <f>IF(ISNUMBER(SEARCH("#",B349)),VALUE(MID(B349,FIND("#",B349)+1,1000)),1)</f>
        <v>1</v>
      </c>
      <c r="H349" t="str">
        <f>IF(AND(regexMatch(B349,".*#[0-9]*$"),ISNUMBER(SEARCH("#",B349))),CONCATENATE(TRIM(F349)," #",G349),B349)</f>
        <v>Ammo Box</v>
      </c>
    </row>
    <row r="350" spans="1:8" ht="15.75" thickBot="1" x14ac:dyDescent="0.3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>IF(ISNUMBER(SEARCH("#",B350)), LEFT(B350,FIND("#",B350)-1), B350)</f>
        <v xml:space="preserve">Apple Box </v>
      </c>
      <c r="G350" s="26">
        <f>IF(ISNUMBER(SEARCH("#",B350)),VALUE(MID(B350,FIND("#",B350)+1,1000)),1)</f>
        <v>1</v>
      </c>
      <c r="H350" t="str">
        <f>IF(AND(regexMatch(B350,".*#[0-9]*$"),ISNUMBER(SEARCH("#",B350))),CONCATENATE(TRIM(F350)," #",G350),B350)</f>
        <v>Apple Box #1</v>
      </c>
    </row>
    <row r="351" spans="1:8" ht="15.75" thickBot="1" x14ac:dyDescent="0.3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>IF(ISNUMBER(SEARCH("#",B351)), LEFT(B351,FIND("#",B351)-1), B351)</f>
        <v xml:space="preserve">Apple Box </v>
      </c>
      <c r="G351" s="26">
        <f>IF(ISNUMBER(SEARCH("#",B351)),VALUE(MID(B351,FIND("#",B351)+1,1000)),1)</f>
        <v>2</v>
      </c>
      <c r="H351" t="str">
        <f>IF(AND(regexMatch(B351,".*#[0-9]*$"),ISNUMBER(SEARCH("#",B351))),CONCATENATE(TRIM(F351)," #",G351),B351)</f>
        <v>Apple Box #2</v>
      </c>
    </row>
    <row r="352" spans="1:8" ht="15.75" thickBot="1" x14ac:dyDescent="0.3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>IF(ISNUMBER(SEARCH("#",B352)), LEFT(B352,FIND("#",B352)-1), B352)</f>
        <v xml:space="preserve">Barrel </v>
      </c>
      <c r="G352" s="26">
        <f>IF(ISNUMBER(SEARCH("#",B352)),VALUE(MID(B352,FIND("#",B352)+1,1000)),1)</f>
        <v>1</v>
      </c>
      <c r="H352" t="str">
        <f>IF(AND(regexMatch(B352,".*#[0-9]*$"),ISNUMBER(SEARCH("#",B352))),CONCATENATE(TRIM(F352)," #",G352),B352)</f>
        <v>Barrel #1</v>
      </c>
    </row>
    <row r="353" spans="1:8" ht="15.75" thickBot="1" x14ac:dyDescent="0.3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>IF(ISNUMBER(SEARCH("#",B353)), LEFT(B353,FIND("#",B353)-1), B353)</f>
        <v xml:space="preserve">Barrel </v>
      </c>
      <c r="G353" s="26">
        <f>IF(ISNUMBER(SEARCH("#",B353)),VALUE(MID(B353,FIND("#",B353)+1,1000)),1)</f>
        <v>2</v>
      </c>
      <c r="H353" t="str">
        <f>IF(AND(regexMatch(B353,".*#[0-9]*$"),ISNUMBER(SEARCH("#",B353))),CONCATENATE(TRIM(F353)," #",G353),B353)</f>
        <v>Barrel #2</v>
      </c>
    </row>
    <row r="354" spans="1:8" ht="15.75" thickBot="1" x14ac:dyDescent="0.3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>IF(ISNUMBER(SEARCH("#",B354)), LEFT(B354,FIND("#",B354)-1), B354)</f>
        <v xml:space="preserve">Barrel </v>
      </c>
      <c r="G354" s="26">
        <f>IF(ISNUMBER(SEARCH("#",B354)),VALUE(MID(B354,FIND("#",B354)+1,1000)),1)</f>
        <v>3</v>
      </c>
      <c r="H354" t="str">
        <f>IF(AND(regexMatch(B354,".*#[0-9]*$"),ISNUMBER(SEARCH("#",B354))),CONCATENATE(TRIM(F354)," #",G354),B354)</f>
        <v>Barrel #3</v>
      </c>
    </row>
    <row r="355" spans="1:8" ht="15.75" thickBot="1" x14ac:dyDescent="0.3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>IF(ISNUMBER(SEARCH("#",B355)), LEFT(B355,FIND("#",B355)-1), B355)</f>
        <v xml:space="preserve">Barrel </v>
      </c>
      <c r="G355" s="26">
        <f>IF(ISNUMBER(SEARCH("#",B355)),VALUE(MID(B355,FIND("#",B355)+1,1000)),1)</f>
        <v>4</v>
      </c>
      <c r="H355" t="str">
        <f>IF(AND(regexMatch(B355,".*#[0-9]*$"),ISNUMBER(SEARCH("#",B355))),CONCATENATE(TRIM(F355)," #",G355),B355)</f>
        <v>Barrel #4</v>
      </c>
    </row>
    <row r="356" spans="1:8" ht="15.75" thickBot="1" x14ac:dyDescent="0.3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>IF(ISNUMBER(SEARCH("#",B356)), LEFT(B356,FIND("#",B356)-1), B356)</f>
        <v xml:space="preserve">Barrel </v>
      </c>
      <c r="G356" s="26">
        <f>IF(ISNUMBER(SEARCH("#",B356)),VALUE(MID(B356,FIND("#",B356)+1,1000)),1)</f>
        <v>5</v>
      </c>
      <c r="H356" t="str">
        <f>IF(AND(regexMatch(B356,".*#[0-9]*$"),ISNUMBER(SEARCH("#",B356))),CONCATENATE(TRIM(F356)," #",G356),B356)</f>
        <v>Barrel #5</v>
      </c>
    </row>
    <row r="357" spans="1:8" ht="15.75" thickBot="1" x14ac:dyDescent="0.3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>IF(ISNUMBER(SEARCH("#",B357)), LEFT(B357,FIND("#",B357)-1), B357)</f>
        <v xml:space="preserve">Barrel Float </v>
      </c>
      <c r="G357" s="26">
        <f>IF(ISNUMBER(SEARCH("#",B357)),VALUE(MID(B357,FIND("#",B357)+1,1000)),1)</f>
        <v>1</v>
      </c>
      <c r="H357" t="str">
        <f>IF(AND(regexMatch(B357,".*#[0-9]*$"),ISNUMBER(SEARCH("#",B357))),CONCATENATE(TRIM(F357)," #",G357),B357)</f>
        <v>Barrel Float #1</v>
      </c>
    </row>
    <row r="358" spans="1:8" ht="15.75" thickBot="1" x14ac:dyDescent="0.3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>IF(ISNUMBER(SEARCH("#",B358)), LEFT(B358,FIND("#",B358)-1), B358)</f>
        <v xml:space="preserve">Barrel Float </v>
      </c>
      <c r="G358" s="26">
        <f>IF(ISNUMBER(SEARCH("#",B358)),VALUE(MID(B358,FIND("#",B358)+1,1000)),1)</f>
        <v>2</v>
      </c>
      <c r="H358" t="str">
        <f>IF(AND(regexMatch(B358,".*#[0-9]*$"),ISNUMBER(SEARCH("#",B358))),CONCATENATE(TRIM(F358)," #",G358),B358)</f>
        <v>Barrel Float #2</v>
      </c>
    </row>
    <row r="359" spans="1:8" ht="15.75" thickBot="1" x14ac:dyDescent="0.3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>IF(ISNUMBER(SEARCH("#",B359)), LEFT(B359,FIND("#",B359)-1), B359)</f>
        <v xml:space="preserve">Barrel Pile </v>
      </c>
      <c r="G359" s="26">
        <f>IF(ISNUMBER(SEARCH("#",B359)),VALUE(MID(B359,FIND("#",B359)+1,1000)),1)</f>
        <v>1</v>
      </c>
      <c r="H359" t="str">
        <f>IF(AND(regexMatch(B359,".*#[0-9]*$"),ISNUMBER(SEARCH("#",B359))),CONCATENATE(TRIM(F359)," #",G359),B359)</f>
        <v>Barrel Pile #1</v>
      </c>
    </row>
    <row r="360" spans="1:8" ht="15.75" thickBot="1" x14ac:dyDescent="0.3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>IF(ISNUMBER(SEARCH("#",B360)), LEFT(B360,FIND("#",B360)-1), B360)</f>
        <v xml:space="preserve">Barrel Pile </v>
      </c>
      <c r="G360" s="26">
        <f>IF(ISNUMBER(SEARCH("#",B360)),VALUE(MID(B360,FIND("#",B360)+1,1000)),1)</f>
        <v>2</v>
      </c>
      <c r="H360" t="str">
        <f>IF(AND(regexMatch(B360,".*#[0-9]*$"),ISNUMBER(SEARCH("#",B360))),CONCATENATE(TRIM(F360)," #",G360),B360)</f>
        <v>Barrel Pile #2</v>
      </c>
    </row>
    <row r="361" spans="1:8" ht="15.75" thickBot="1" x14ac:dyDescent="0.3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>IF(ISNUMBER(SEARCH("#",B361)), LEFT(B361,FIND("#",B361)-1), B361)</f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.75" thickBot="1" x14ac:dyDescent="0.3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>IF(ISNUMBER(SEARCH("#",B362)), LEFT(B362,FIND("#",B362)-1), B362)</f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.75" thickBot="1" x14ac:dyDescent="0.3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>IF(ISNUMBER(SEARCH("#",B363)), LEFT(B363,FIND("#",B363)-1), B363)</f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.75" thickBot="1" x14ac:dyDescent="0.3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>IF(ISNUMBER(SEARCH("#",B364)), LEFT(B364,FIND("#",B364)-1), B364)</f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.75" thickBot="1" x14ac:dyDescent="0.3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>IF(ISNUMBER(SEARCH("#",B365)), LEFT(B365,FIND("#",B365)-1), B365)</f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.75" thickBot="1" x14ac:dyDescent="0.3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>IF(ISNUMBER(SEARCH("#",B366)), LEFT(B366,FIND("#",B366)-1), B366)</f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.75" thickBot="1" x14ac:dyDescent="0.3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>IF(ISNUMBER(SEARCH("#",B367)), LEFT(B367,FIND("#",B367)-1), B367)</f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.75" thickBot="1" x14ac:dyDescent="0.3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>IF(ISNUMBER(SEARCH("#",B368)), LEFT(B368,FIND("#",B368)-1), B368)</f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.75" thickBot="1" x14ac:dyDescent="0.3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>IF(ISNUMBER(SEARCH("#",B369)), LEFT(B369,FIND("#",B369)-1), B369)</f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.75" thickBot="1" x14ac:dyDescent="0.3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>IF(ISNUMBER(SEARCH("#",B370)), LEFT(B370,FIND("#",B370)-1), B370)</f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.75" thickBot="1" x14ac:dyDescent="0.3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>IF(ISNUMBER(SEARCH("#",B371)), LEFT(B371,FIND("#",B371)-1), B371)</f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.75" thickBot="1" x14ac:dyDescent="0.3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>IF(ISNUMBER(SEARCH("#",B372)), LEFT(B372,FIND("#",B372)-1), B372)</f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.75" thickBot="1" x14ac:dyDescent="0.3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>IF(ISNUMBER(SEARCH("#",B373)), LEFT(B373,FIND("#",B373)-1), B373)</f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.75" thickBot="1" x14ac:dyDescent="0.3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>IF(ISNUMBER(SEARCH("#",B374)), LEFT(B374,FIND("#",B374)-1), B374)</f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.75" thickBot="1" x14ac:dyDescent="0.3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>IF(ISNUMBER(SEARCH("#",B375)), LEFT(B375,FIND("#",B375)-1), B375)</f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.75" thickBot="1" x14ac:dyDescent="0.3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>IF(ISNUMBER(SEARCH("#",B376)), LEFT(B376,FIND("#",B376)-1), B376)</f>
        <v xml:space="preserve">Clucking Bell Chicken Crate </v>
      </c>
      <c r="G376" s="26">
        <f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.75" thickBot="1" x14ac:dyDescent="0.3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>IF(ISNUMBER(SEARCH("#",B377)), LEFT(B377,FIND("#",B377)-1), B377)</f>
        <v xml:space="preserve">Clucking Bell Chicken Crate </v>
      </c>
      <c r="G377" s="26">
        <f>IF(ISNUMBER(SEARCH("#",B377)),VALUE(MID(B377,FIND("#",B377)+1,1000)),1)</f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.75" thickBot="1" x14ac:dyDescent="0.3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>IF(ISNUMBER(SEARCH("#",B378)), LEFT(B378,FIND("#",B378)-1), B378)</f>
        <v xml:space="preserve">Clucking Bell Chicken Crate </v>
      </c>
      <c r="G378" s="26">
        <f>IF(ISNUMBER(SEARCH("#",B378)),VALUE(MID(B378,FIND("#",B378)+1,1000)),1)</f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.75" thickBot="1" x14ac:dyDescent="0.3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>IF(ISNUMBER(SEARCH("#",B379)), LEFT(B379,FIND("#",B379)-1), B379)</f>
        <v xml:space="preserve">Crate </v>
      </c>
      <c r="G379" s="26">
        <f>IF(ISNUMBER(SEARCH("#",B379)),VALUE(MID(B379,FIND("#",B379)+1,1000)),1)</f>
        <v>1</v>
      </c>
      <c r="H379" t="str">
        <f>IF(AND(regexMatch(B379,".*#[0-9]*$"),ISNUMBER(SEARCH("#",B379))),CONCATENATE(TRIM(F379)," #",G379),B379)</f>
        <v>Crate #1</v>
      </c>
    </row>
    <row r="380" spans="1:8" ht="15.75" thickBot="1" x14ac:dyDescent="0.3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>IF(ISNUMBER(SEARCH("#",B380)), LEFT(B380,FIND("#",B380)-1), B380)</f>
        <v xml:space="preserve">Crate </v>
      </c>
      <c r="G380" s="26">
        <f>IF(ISNUMBER(SEARCH("#",B380)),VALUE(MID(B380,FIND("#",B380)+1,1000)),1)</f>
        <v>2</v>
      </c>
      <c r="H380" t="str">
        <f>IF(AND(regexMatch(B380,".*#[0-9]*$"),ISNUMBER(SEARCH("#",B380))),CONCATENATE(TRIM(F380)," #",G380),B380)</f>
        <v>Crate #2</v>
      </c>
    </row>
    <row r="381" spans="1:8" ht="15.75" thickBot="1" x14ac:dyDescent="0.3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>IF(ISNUMBER(SEARCH("#",B381)), LEFT(B381,FIND("#",B381)-1), B381)</f>
        <v xml:space="preserve">Crate </v>
      </c>
      <c r="G381" s="26">
        <f>IF(ISNUMBER(SEARCH("#",B381)),VALUE(MID(B381,FIND("#",B381)+1,1000)),1)</f>
        <v>3</v>
      </c>
      <c r="H381" t="str">
        <f>IF(AND(regexMatch(B381,".*#[0-9]*$"),ISNUMBER(SEARCH("#",B381))),CONCATENATE(TRIM(F381)," #",G381),B381)</f>
        <v>Crate #3</v>
      </c>
    </row>
    <row r="382" spans="1:8" ht="15.75" thickBot="1" x14ac:dyDescent="0.3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>IF(ISNUMBER(SEARCH("#",B382)), LEFT(B382,FIND("#",B382)-1), B382)</f>
        <v xml:space="preserve">Crate </v>
      </c>
      <c r="G382" s="26">
        <f>IF(ISNUMBER(SEARCH("#",B382)),VALUE(MID(B382,FIND("#",B382)+1,1000)),1)</f>
        <v>4</v>
      </c>
      <c r="H382" t="str">
        <f>IF(AND(regexMatch(B382,".*#[0-9]*$"),ISNUMBER(SEARCH("#",B382))),CONCATENATE(TRIM(F382)," #",G382),B382)</f>
        <v>Crate #4</v>
      </c>
    </row>
    <row r="383" spans="1:8" ht="15.75" thickBot="1" x14ac:dyDescent="0.3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>IF(ISNUMBER(SEARCH("#",B383)), LEFT(B383,FIND("#",B383)-1), B383)</f>
        <v xml:space="preserve">Crate </v>
      </c>
      <c r="G383" s="26">
        <f>IF(ISNUMBER(SEARCH("#",B383)),VALUE(MID(B383,FIND("#",B383)+1,1000)),1)</f>
        <v>5</v>
      </c>
      <c r="H383" t="str">
        <f>IF(AND(regexMatch(B383,".*#[0-9]*$"),ISNUMBER(SEARCH("#",B383))),CONCATENATE(TRIM(F383)," #",G383),B383)</f>
        <v>Crate #5</v>
      </c>
    </row>
    <row r="384" spans="1:8" ht="15.75" thickBot="1" x14ac:dyDescent="0.3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>IF(ISNUMBER(SEARCH("#",B384)), LEFT(B384,FIND("#",B384)-1), B384)</f>
        <v xml:space="preserve">Crate </v>
      </c>
      <c r="G384" s="26">
        <f>IF(ISNUMBER(SEARCH("#",B384)),VALUE(MID(B384,FIND("#",B384)+1,1000)),1)</f>
        <v>6</v>
      </c>
      <c r="H384" t="str">
        <f>IF(AND(regexMatch(B384,".*#[0-9]*$"),ISNUMBER(SEARCH("#",B384))),CONCATENATE(TRIM(F384)," #",G384),B384)</f>
        <v>Crate #6</v>
      </c>
    </row>
    <row r="385" spans="1:8" ht="15.75" thickBot="1" x14ac:dyDescent="0.3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>IF(ISNUMBER(SEARCH("#",B385)), LEFT(B385,FIND("#",B385)-1), B385)</f>
        <v xml:space="preserve">Crate </v>
      </c>
      <c r="G385" s="26">
        <f>IF(ISNUMBER(SEARCH("#",B385)),VALUE(MID(B385,FIND("#",B385)+1,1000)),1)</f>
        <v>7</v>
      </c>
      <c r="H385" t="str">
        <f>IF(AND(regexMatch(B385,".*#[0-9]*$"),ISNUMBER(SEARCH("#",B385))),CONCATENATE(TRIM(F385)," #",G385),B385)</f>
        <v>Crate #7</v>
      </c>
    </row>
    <row r="386" spans="1:8" ht="15.75" thickBot="1" x14ac:dyDescent="0.3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>IF(ISNUMBER(SEARCH("#",B386)), LEFT(B386,FIND("#",B386)-1), B386)</f>
        <v xml:space="preserve">Crate </v>
      </c>
      <c r="G386" s="26">
        <f>IF(ISNUMBER(SEARCH("#",B386)),VALUE(MID(B386,FIND("#",B386)+1,1000)),1)</f>
        <v>8</v>
      </c>
      <c r="H386" t="str">
        <f>IF(AND(regexMatch(B386,".*#[0-9]*$"),ISNUMBER(SEARCH("#",B386))),CONCATENATE(TRIM(F386)," #",G386),B386)</f>
        <v>Crate #8</v>
      </c>
    </row>
    <row r="387" spans="1:8" ht="15.75" thickBot="1" x14ac:dyDescent="0.3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>IF(ISNUMBER(SEARCH("#",B387)), LEFT(B387,FIND("#",B387)-1), B387)</f>
        <v xml:space="preserve">Crate </v>
      </c>
      <c r="G387" s="26">
        <f>IF(ISNUMBER(SEARCH("#",B387)),VALUE(MID(B387,FIND("#",B387)+1,1000)),1)</f>
        <v>9</v>
      </c>
      <c r="H387" t="str">
        <f>IF(AND(regexMatch(B387,".*#[0-9]*$"),ISNUMBER(SEARCH("#",B387))),CONCATENATE(TRIM(F387)," #",G387),B387)</f>
        <v>Crate #9</v>
      </c>
    </row>
    <row r="388" spans="1:8" ht="15.75" thickBot="1" x14ac:dyDescent="0.3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>IF(ISNUMBER(SEARCH("#",B388)), LEFT(B388,FIND("#",B388)-1), B388)</f>
        <v xml:space="preserve">Crate </v>
      </c>
      <c r="G388" s="26">
        <f>IF(ISNUMBER(SEARCH("#",B388)),VALUE(MID(B388,FIND("#",B388)+1,1000)),1)</f>
        <v>10</v>
      </c>
      <c r="H388" t="str">
        <f>IF(AND(regexMatch(B388,".*#[0-9]*$"),ISNUMBER(SEARCH("#",B388))),CONCATENATE(TRIM(F388)," #",G388),B388)</f>
        <v>Crate #10</v>
      </c>
    </row>
    <row r="389" spans="1:8" ht="15.75" thickBot="1" x14ac:dyDescent="0.3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>IF(ISNUMBER(SEARCH("#",B389)), LEFT(B389,FIND("#",B389)-1), B389)</f>
        <v xml:space="preserve">Crate </v>
      </c>
      <c r="G389" s="26">
        <f>IF(ISNUMBER(SEARCH("#",B389)),VALUE(MID(B389,FIND("#",B389)+1,1000)),1)</f>
        <v>11</v>
      </c>
      <c r="H389" t="str">
        <f>IF(AND(regexMatch(B389,".*#[0-9]*$"),ISNUMBER(SEARCH("#",B389))),CONCATENATE(TRIM(F389)," #",G389),B389)</f>
        <v>Crate #11</v>
      </c>
    </row>
    <row r="390" spans="1:8" ht="15.75" thickBot="1" x14ac:dyDescent="0.3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>IF(ISNUMBER(SEARCH("#",B390)), LEFT(B390,FIND("#",B390)-1), B390)</f>
        <v xml:space="preserve">Crate </v>
      </c>
      <c r="G390" s="26">
        <f>IF(ISNUMBER(SEARCH("#",B390)),VALUE(MID(B390,FIND("#",B390)+1,1000)),1)</f>
        <v>12</v>
      </c>
      <c r="H390" t="str">
        <f>IF(AND(regexMatch(B390,".*#[0-9]*$"),ISNUMBER(SEARCH("#",B390))),CONCATENATE(TRIM(F390)," #",G390),B390)</f>
        <v>Crate #12</v>
      </c>
    </row>
    <row r="391" spans="1:8" ht="15.75" thickBot="1" x14ac:dyDescent="0.3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>IF(ISNUMBER(SEARCH("#",B391)), LEFT(B391,FIND("#",B391)-1), B391)</f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.75" thickBot="1" x14ac:dyDescent="0.3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>IF(ISNUMBER(SEARCH("#",B392)), LEFT(B392,FIND("#",B392)-1), B392)</f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.75" thickBot="1" x14ac:dyDescent="0.3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>IF(ISNUMBER(SEARCH("#",B393)), LEFT(B393,FIND("#",B393)-1), B393)</f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.75" thickBot="1" x14ac:dyDescent="0.3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>IF(ISNUMBER(SEARCH("#",B394)), LEFT(B394,FIND("#",B394)-1), B394)</f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.75" thickBot="1" x14ac:dyDescent="0.3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>IF(ISNUMBER(SEARCH("#",B395)), LEFT(B395,FIND("#",B395)-1), B395)</f>
        <v xml:space="preserve">Crate Float </v>
      </c>
      <c r="G395" s="26">
        <f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.75" thickBot="1" x14ac:dyDescent="0.3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>IF(ISNUMBER(SEARCH("#",B396)), LEFT(B396,FIND("#",B396)-1), B396)</f>
        <v>Crate Pile</v>
      </c>
      <c r="G396" s="26">
        <f>IF(ISNUMBER(SEARCH("#",B396)),VALUE(MID(B396,FIND("#",B396)+1,1000)),1)</f>
        <v>1</v>
      </c>
      <c r="H396" t="str">
        <f>IF(AND(regexMatch(B396,".*#[0-9]*$"),ISNUMBER(SEARCH("#",B396))),CONCATENATE(TRIM(F396)," #",G396),B396)</f>
        <v>Crate Pile</v>
      </c>
    </row>
    <row r="397" spans="1:8" ht="15.75" thickBot="1" x14ac:dyDescent="0.3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>IF(ISNUMBER(SEARCH("#",B397)), LEFT(B397,FIND("#",B397)-1), B397)</f>
        <v xml:space="preserve">Crate Set </v>
      </c>
      <c r="G397" s="26">
        <f>IF(ISNUMBER(SEARCH("#",B397)),VALUE(MID(B397,FIND("#",B397)+1,1000)),1)</f>
        <v>1</v>
      </c>
      <c r="H397" t="str">
        <f>IF(AND(regexMatch(B397,".*#[0-9]*$"),ISNUMBER(SEARCH("#",B397))),CONCATENATE(TRIM(F397)," #",G397),B397)</f>
        <v>Crate Set #1</v>
      </c>
    </row>
    <row r="398" spans="1:8" ht="15.75" thickBot="1" x14ac:dyDescent="0.3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>IF(ISNUMBER(SEARCH("#",B398)), LEFT(B398,FIND("#",B398)-1), B398)</f>
        <v xml:space="preserve">Crate Set </v>
      </c>
      <c r="G398" s="26">
        <f>IF(ISNUMBER(SEARCH("#",B398)),VALUE(MID(B398,FIND("#",B398)+1,1000)),1)</f>
        <v>2</v>
      </c>
      <c r="H398" t="str">
        <f>IF(AND(regexMatch(B398,".*#[0-9]*$"),ISNUMBER(SEARCH("#",B398))),CONCATENATE(TRIM(F398)," #",G398),B398)</f>
        <v>Crate Set #2</v>
      </c>
    </row>
    <row r="399" spans="1:8" ht="15.75" thickBot="1" x14ac:dyDescent="0.3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>IF(ISNUMBER(SEARCH("#",B399)), LEFT(B399,FIND("#",B399)-1), B399)</f>
        <v xml:space="preserve">Empty Pallet </v>
      </c>
      <c r="G399" s="26">
        <f>IF(ISNUMBER(SEARCH("#",B399)),VALUE(MID(B399,FIND("#",B399)+1,1000)),1)</f>
        <v>1</v>
      </c>
      <c r="H399" t="str">
        <f>IF(AND(regexMatch(B399,".*#[0-9]*$"),ISNUMBER(SEARCH("#",B399))),CONCATENATE(TRIM(F399)," #",G399),B399)</f>
        <v>Empty Pallet #1</v>
      </c>
    </row>
    <row r="400" spans="1:8" ht="15.75" thickBot="1" x14ac:dyDescent="0.3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>IF(ISNUMBER(SEARCH("#",B400)), LEFT(B400,FIND("#",B400)-1), B400)</f>
        <v xml:space="preserve">Empty Pallet </v>
      </c>
      <c r="G400" s="26">
        <f>IF(ISNUMBER(SEARCH("#",B400)),VALUE(MID(B400,FIND("#",B400)+1,1000)),1)</f>
        <v>2</v>
      </c>
      <c r="H400" t="str">
        <f>IF(AND(regexMatch(B400,".*#[0-9]*$"),ISNUMBER(SEARCH("#",B400))),CONCATENATE(TRIM(F400)," #",G400),B400)</f>
        <v>Empty Pallet #2</v>
      </c>
    </row>
    <row r="401" spans="1:8" ht="15.75" thickBot="1" x14ac:dyDescent="0.3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>IF(ISNUMBER(SEARCH("#",B401)), LEFT(B401,FIND("#",B401)-1), B401)</f>
        <v xml:space="preserve">Empty Pallet </v>
      </c>
      <c r="G401" s="26">
        <f>IF(ISNUMBER(SEARCH("#",B401)),VALUE(MID(B401,FIND("#",B401)+1,1000)),1)</f>
        <v>3</v>
      </c>
      <c r="H401" t="str">
        <f>IF(AND(regexMatch(B401,".*#[0-9]*$"),ISNUMBER(SEARCH("#",B401))),CONCATENATE(TRIM(F401)," #",G401),B401)</f>
        <v>Empty Pallet #3</v>
      </c>
    </row>
    <row r="402" spans="1:8" ht="15.75" thickBot="1" x14ac:dyDescent="0.3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>IF(ISNUMBER(SEARCH("#",B402)), LEFT(B402,FIND("#",B402)-1), B402)</f>
        <v>Explosive Barrel</v>
      </c>
      <c r="G402" s="26">
        <f>IF(ISNUMBER(SEARCH("#",B402)),VALUE(MID(B402,FIND("#",B402)+1,1000)),1)</f>
        <v>1</v>
      </c>
      <c r="H402" t="str">
        <f>IF(AND(regexMatch(B402,".*#[0-9]*$"),ISNUMBER(SEARCH("#",B402))),CONCATENATE(TRIM(F402)," #",G402),B402)</f>
        <v>Explosive Barrel</v>
      </c>
    </row>
    <row r="403" spans="1:8" ht="15.75" thickBot="1" x14ac:dyDescent="0.3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>IF(ISNUMBER(SEARCH("#",B403)), LEFT(B403,FIND("#",B403)-1), B403)</f>
        <v>Fish Crate Pile</v>
      </c>
      <c r="G403" s="26">
        <f>IF(ISNUMBER(SEARCH("#",B403)),VALUE(MID(B403,FIND("#",B403)+1,1000)),1)</f>
        <v>1</v>
      </c>
      <c r="H403" t="str">
        <f>IF(AND(regexMatch(B403,".*#[0-9]*$"),ISNUMBER(SEARCH("#",B403))),CONCATENATE(TRIM(F403)," #",G403),B403)</f>
        <v>Fish Crate Pile</v>
      </c>
    </row>
    <row r="404" spans="1:8" ht="15.75" thickBot="1" x14ac:dyDescent="0.3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>IF(ISNUMBER(SEARCH("#",B404)), LEFT(B404,FIND("#",B404)-1), B404)</f>
        <v>Flammable Barrel (Globe Oil)</v>
      </c>
      <c r="G404" s="26">
        <f>IF(ISNUMBER(SEARCH("#",B404)),VALUE(MID(B404,FIND("#",B404)+1,1000)),1)</f>
        <v>1</v>
      </c>
      <c r="H404" t="str">
        <f>IF(AND(regexMatch(B404,".*#[0-9]*$"),ISNUMBER(SEARCH("#",B404))),CONCATENATE(TRIM(F404)," #",G404),B404)</f>
        <v>Flammable Barrel (Globe Oil)</v>
      </c>
    </row>
    <row r="405" spans="1:8" ht="15.75" thickBot="1" x14ac:dyDescent="0.3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>IF(ISNUMBER(SEARCH("#",B405)), LEFT(B405,FIND("#",B405)-1), B405)</f>
        <v>Flammable Barrel (Ron)</v>
      </c>
      <c r="G405" s="26">
        <f>IF(ISNUMBER(SEARCH("#",B405)),VALUE(MID(B405,FIND("#",B405)+1,1000)),1)</f>
        <v>1</v>
      </c>
      <c r="H405" t="str">
        <f>IF(AND(regexMatch(B405,".*#[0-9]*$"),ISNUMBER(SEARCH("#",B405))),CONCATENATE(TRIM(F405)," #",G405),B405)</f>
        <v>Flammable Barrel (Ron)</v>
      </c>
    </row>
    <row r="406" spans="1:8" ht="15.75" thickBot="1" x14ac:dyDescent="0.3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>IF(ISNUMBER(SEARCH("#",B406)), LEFT(B406,FIND("#",B406)-1), B406)</f>
        <v>Fruit Crate Pile</v>
      </c>
      <c r="G406" s="26">
        <f>IF(ISNUMBER(SEARCH("#",B406)),VALUE(MID(B406,FIND("#",B406)+1,1000)),1)</f>
        <v>1</v>
      </c>
      <c r="H406" t="str">
        <f>IF(AND(regexMatch(B406,".*#[0-9]*$"),ISNUMBER(SEARCH("#",B406))),CONCATENATE(TRIM(F406)," #",G406),B406)</f>
        <v>Fruit Crate Pile</v>
      </c>
    </row>
    <row r="407" spans="1:8" ht="15.75" thickBot="1" x14ac:dyDescent="0.3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>IF(ISNUMBER(SEARCH("#",B407)), LEFT(B407,FIND("#",B407)-1), B407)</f>
        <v>Large Crate</v>
      </c>
      <c r="G407" s="26">
        <f>IF(ISNUMBER(SEARCH("#",B407)),VALUE(MID(B407,FIND("#",B407)+1,1000)),1)</f>
        <v>1</v>
      </c>
      <c r="H407" t="str">
        <f>IF(AND(regexMatch(B407,".*#[0-9]*$"),ISNUMBER(SEARCH("#",B407))),CONCATENATE(TRIM(F407)," #",G407),B407)</f>
        <v>Large Crate</v>
      </c>
    </row>
    <row r="408" spans="1:8" ht="15.75" thickBot="1" x14ac:dyDescent="0.3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>IF(ISNUMBER(SEARCH("#",B408)), LEFT(B408,FIND("#",B408)-1), B408)</f>
        <v xml:space="preserve">Ld Crate </v>
      </c>
      <c r="G408" s="26">
        <f>IF(ISNUMBER(SEARCH("#",B408)),VALUE(MID(B408,FIND("#",B408)+1,1000)),1)</f>
        <v>1</v>
      </c>
      <c r="H408" t="str">
        <f>IF(AND(regexMatch(B408,".*#[0-9]*$"),ISNUMBER(SEARCH("#",B408))),CONCATENATE(TRIM(F408)," #",G408),B408)</f>
        <v>Ld Crate #1</v>
      </c>
    </row>
    <row r="409" spans="1:8" ht="15.75" thickBot="1" x14ac:dyDescent="0.3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>IF(ISNUMBER(SEARCH("#",B409)), LEFT(B409,FIND("#",B409)-1), B409)</f>
        <v xml:space="preserve">Ld Crate Lid </v>
      </c>
      <c r="G409" s="26">
        <f>IF(ISNUMBER(SEARCH("#",B409)),VALUE(MID(B409,FIND("#",B409)+1,1000)),1)</f>
        <v>1</v>
      </c>
      <c r="H409" t="str">
        <f>IF(AND(regexMatch(B409,".*#[0-9]*$"),ISNUMBER(SEARCH("#",B409))),CONCATENATE(TRIM(F409)," #",G409),B409)</f>
        <v>Ld Crate Lid #1</v>
      </c>
    </row>
    <row r="410" spans="1:8" ht="15.75" thickBot="1" x14ac:dyDescent="0.3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>IF(ISNUMBER(SEARCH("#",B410)), LEFT(B410,FIND("#",B410)-1), B410)</f>
        <v>Lester Crate</v>
      </c>
      <c r="G410" s="26">
        <f>IF(ISNUMBER(SEARCH("#",B410)),VALUE(MID(B410,FIND("#",B410)+1,1000)),1)</f>
        <v>1</v>
      </c>
      <c r="H410" t="str">
        <f>IF(AND(regexMatch(B410,".*#[0-9]*$"),ISNUMBER(SEARCH("#",B410))),CONCATENATE(TRIM(F410)," #",G410),B410)</f>
        <v>Lester Crate</v>
      </c>
    </row>
    <row r="411" spans="1:8" ht="15.75" thickBot="1" x14ac:dyDescent="0.3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>IF(ISNUMBER(SEARCH("#",B411)), LEFT(B411,FIND("#",B411)-1), B411)</f>
        <v>Package</v>
      </c>
      <c r="G411" s="26">
        <f>IF(ISNUMBER(SEARCH("#",B411)),VALUE(MID(B411,FIND("#",B411)+1,1000)),1)</f>
        <v>1</v>
      </c>
      <c r="H411" t="str">
        <f>IF(AND(regexMatch(B411,".*#[0-9]*$"),ISNUMBER(SEARCH("#",B411))),CONCATENATE(TRIM(F411)," #",G411),B411)</f>
        <v>Package</v>
      </c>
    </row>
    <row r="412" spans="1:8" ht="15.75" thickBot="1" x14ac:dyDescent="0.3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>IF(ISNUMBER(SEARCH("#",B412)), LEFT(B412,FIND("#",B412)-1), B412)</f>
        <v>Pallet</v>
      </c>
      <c r="G412" s="26">
        <f>IF(ISNUMBER(SEARCH("#",B412)),VALUE(MID(B412,FIND("#",B412)+1,1000)),1)</f>
        <v>1</v>
      </c>
      <c r="H412" t="str">
        <f>IF(AND(regexMatch(B412,".*#[0-9]*$"),ISNUMBER(SEARCH("#",B412))),CONCATENATE(TRIM(F412)," #",G412),B412)</f>
        <v>Pallet</v>
      </c>
    </row>
    <row r="413" spans="1:8" ht="15.75" thickBot="1" x14ac:dyDescent="0.3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>IF(ISNUMBER(SEARCH("#",B413)), LEFT(B413,FIND("#",B413)-1), B413)</f>
        <v xml:space="preserve">Pallet Of Boxes </v>
      </c>
      <c r="G413" s="26">
        <f>IF(ISNUMBER(SEARCH("#",B413)),VALUE(MID(B413,FIND("#",B413)+1,1000)),1)</f>
        <v>1</v>
      </c>
      <c r="H413" t="str">
        <f>IF(AND(regexMatch(B413,".*#[0-9]*$"),ISNUMBER(SEARCH("#",B413))),CONCATENATE(TRIM(F413)," #",G413),B413)</f>
        <v>Pallet Of Boxes #1</v>
      </c>
    </row>
    <row r="414" spans="1:8" ht="15.75" thickBot="1" x14ac:dyDescent="0.3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>IF(ISNUMBER(SEARCH("#",B414)), LEFT(B414,FIND("#",B414)-1), B414)</f>
        <v xml:space="preserve">Pallet Of Boxes </v>
      </c>
      <c r="G414" s="26">
        <f>IF(ISNUMBER(SEARCH("#",B414)),VALUE(MID(B414,FIND("#",B414)+1,1000)),1)</f>
        <v>2</v>
      </c>
      <c r="H414" t="str">
        <f>IF(AND(regexMatch(B414,".*#[0-9]*$"),ISNUMBER(SEARCH("#",B414))),CONCATENATE(TRIM(F414)," #",G414),B414)</f>
        <v>Pallet Of Boxes #2</v>
      </c>
    </row>
    <row r="415" spans="1:8" ht="15.75" thickBot="1" x14ac:dyDescent="0.3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>IF(ISNUMBER(SEARCH("#",B415)), LEFT(B415,FIND("#",B415)-1), B415)</f>
        <v xml:space="preserve">Pallet Of Boxes </v>
      </c>
      <c r="G415" s="26">
        <f>IF(ISNUMBER(SEARCH("#",B415)),VALUE(MID(B415,FIND("#",B415)+1,1000)),1)</f>
        <v>3</v>
      </c>
      <c r="H415" t="str">
        <f>IF(AND(regexMatch(B415,".*#[0-9]*$"),ISNUMBER(SEARCH("#",B415))),CONCATENATE(TRIM(F415)," #",G415),B415)</f>
        <v>Pallet Of Boxes #3</v>
      </c>
    </row>
    <row r="416" spans="1:8" ht="15.75" thickBot="1" x14ac:dyDescent="0.3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>IF(ISNUMBER(SEARCH("#",B416)), LEFT(B416,FIND("#",B416)-1), B416)</f>
        <v xml:space="preserve">Pallet of Boxes </v>
      </c>
      <c r="G416" s="26">
        <f>G415+1</f>
        <v>4</v>
      </c>
      <c r="H416" t="str">
        <f>IF(AND(regexMatch(B416,".*#[0-9]*$"),ISNUMBER(SEARCH("#",B416))),CONCATENATE(TRIM(F416)," #",G416),B416)</f>
        <v>Pallet of Boxes #4</v>
      </c>
    </row>
    <row r="417" spans="1:8" ht="15.75" thickBot="1" x14ac:dyDescent="0.3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>IF(ISNUMBER(SEARCH("#",B417)), LEFT(B417,FIND("#",B417)-1), B417)</f>
        <v xml:space="preserve">Pallet of Boxes </v>
      </c>
      <c r="G417" s="26">
        <f>G416+1</f>
        <v>5</v>
      </c>
      <c r="H417" t="str">
        <f>IF(AND(regexMatch(B417,".*#[0-9]*$"),ISNUMBER(SEARCH("#",B417))),CONCATENATE(TRIM(F417)," #",G417),B417)</f>
        <v>Pallet of Boxes #5</v>
      </c>
    </row>
    <row r="418" spans="1:8" ht="15.75" thickBot="1" x14ac:dyDescent="0.3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>IF(ISNUMBER(SEARCH("#",B418)), LEFT(B418,FIND("#",B418)-1), B418)</f>
        <v xml:space="preserve">Pallet of Boxes </v>
      </c>
      <c r="G418" s="26">
        <f>G417+1</f>
        <v>6</v>
      </c>
      <c r="H418" t="str">
        <f>IF(AND(regexMatch(B418,".*#[0-9]*$"),ISNUMBER(SEARCH("#",B418))),CONCATENATE(TRIM(F418)," #",G418),B418)</f>
        <v>Pallet of Boxes #6</v>
      </c>
    </row>
    <row r="419" spans="1:8" ht="15.75" thickBot="1" x14ac:dyDescent="0.3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>IF(ISNUMBER(SEARCH("#",B419)), LEFT(B419,FIND("#",B419)-1), B419)</f>
        <v xml:space="preserve">Pallet of Boxes </v>
      </c>
      <c r="G419" s="26">
        <f>G418+1</f>
        <v>7</v>
      </c>
      <c r="H419" t="str">
        <f>IF(AND(regexMatch(B419,".*#[0-9]*$"),ISNUMBER(SEARCH("#",B419))),CONCATENATE(TRIM(F419)," #",G419),B419)</f>
        <v>Pallet of Boxes #7</v>
      </c>
    </row>
    <row r="420" spans="1:8" ht="15.75" thickBot="1" x14ac:dyDescent="0.3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>IF(ISNUMBER(SEARCH("#",B420)), LEFT(B420,FIND("#",B420)-1), B420)</f>
        <v xml:space="preserve">Pallet of Boxes </v>
      </c>
      <c r="G420" s="26">
        <f>G419+1</f>
        <v>8</v>
      </c>
      <c r="H420" t="str">
        <f>IF(AND(regexMatch(B420,".*#[0-9]*$"),ISNUMBER(SEARCH("#",B420))),CONCATENATE(TRIM(F420)," #",G420),B420)</f>
        <v>Pallet of Boxes #8</v>
      </c>
    </row>
    <row r="421" spans="1:8" ht="15.75" thickBot="1" x14ac:dyDescent="0.3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>IF(ISNUMBER(SEARCH("#",B421)), LEFT(B421,FIND("#",B421)-1), B421)</f>
        <v xml:space="preserve">Pallet of Boxes </v>
      </c>
      <c r="G421" s="26">
        <f>G420+1</f>
        <v>9</v>
      </c>
      <c r="H421" t="str">
        <f>IF(AND(regexMatch(B421,".*#[0-9]*$"),ISNUMBER(SEARCH("#",B421))),CONCATENATE(TRIM(F421)," #",G421),B421)</f>
        <v>Pallet of Boxes #9</v>
      </c>
    </row>
    <row r="422" spans="1:8" ht="15.75" thickBot="1" x14ac:dyDescent="0.3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>IF(ISNUMBER(SEARCH("#",B422)), LEFT(B422,FIND("#",B422)-1), B422)</f>
        <v xml:space="preserve">Pallet of Boxes </v>
      </c>
      <c r="G422" s="26">
        <f>G421+1</f>
        <v>10</v>
      </c>
      <c r="H422" t="str">
        <f>IF(AND(regexMatch(B422,".*#[0-9]*$"),ISNUMBER(SEARCH("#",B422))),CONCATENATE(TRIM(F422)," #",G422),B422)</f>
        <v>Pallet of Boxes #10</v>
      </c>
    </row>
    <row r="423" spans="1:8" ht="15.75" thickBot="1" x14ac:dyDescent="0.3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>IF(ISNUMBER(SEARCH("#",B423)), LEFT(B423,FIND("#",B423)-1), B423)</f>
        <v xml:space="preserve">Pallet of Boxes </v>
      </c>
      <c r="G423" s="26">
        <f>G422+1</f>
        <v>11</v>
      </c>
      <c r="H423" t="str">
        <f>IF(AND(regexMatch(B423,".*#[0-9]*$"),ISNUMBER(SEARCH("#",B423))),CONCATENATE(TRIM(F423)," #",G423),B423)</f>
        <v>Pallet of Boxes #11</v>
      </c>
    </row>
    <row r="424" spans="1:8" ht="15.75" thickBot="1" x14ac:dyDescent="0.3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>IF(ISNUMBER(SEARCH("#",B424)), LEFT(B424,FIND("#",B424)-1), B424)</f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.75" thickBot="1" x14ac:dyDescent="0.3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>IF(ISNUMBER(SEARCH("#",B425)), LEFT(B425,FIND("#",B425)-1), B425)</f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.75" thickBot="1" x14ac:dyDescent="0.3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>IF(ISNUMBER(SEARCH("#",B426)), LEFT(B426,FIND("#",B426)-1), B426)</f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.75" thickBot="1" x14ac:dyDescent="0.3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>IF(ISNUMBER(SEARCH("#",B427)), LEFT(B427,FIND("#",B427)-1), B427)</f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.75" thickBot="1" x14ac:dyDescent="0.3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>IF(ISNUMBER(SEARCH("#",B428)), LEFT(B428,FIND("#",B428)-1), B428)</f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.75" thickBot="1" x14ac:dyDescent="0.3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>IF(ISNUMBER(SEARCH("#",B429)), LEFT(B429,FIND("#",B429)-1), B429)</f>
        <v xml:space="preserve">Paper Box </v>
      </c>
      <c r="G429" s="26">
        <f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.75" thickBot="1" x14ac:dyDescent="0.3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>IF(ISNUMBER(SEARCH("#",B430)), LEFT(B430,FIND("#",B430)-1), B430)</f>
        <v xml:space="preserve">Paper Box </v>
      </c>
      <c r="G430" s="26">
        <f>IF(ISNUMBER(SEARCH("#",B430)),VALUE(MID(B430,FIND("#",B430)+1,1000)),1)</f>
        <v>2</v>
      </c>
      <c r="H430" t="str">
        <f>IF(AND(regexMatch(B430,".*#[0-9]*$"),ISNUMBER(SEARCH("#",B430))),CONCATENATE(TRIM(F430)," #",G430),B430)</f>
        <v>Paper Box #2</v>
      </c>
    </row>
    <row r="431" spans="1:8" ht="15.75" thickBot="1" x14ac:dyDescent="0.3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>IF(ISNUMBER(SEARCH("#",B431)), LEFT(B431,FIND("#",B431)-1), B431)</f>
        <v xml:space="preserve">Paper Box </v>
      </c>
      <c r="G431" s="26">
        <f>IF(ISNUMBER(SEARCH("#",B431)),VALUE(MID(B431,FIND("#",B431)+1,1000)),1)</f>
        <v>3</v>
      </c>
      <c r="H431" t="str">
        <f>IF(AND(regexMatch(B431,".*#[0-9]*$"),ISNUMBER(SEARCH("#",B431))),CONCATENATE(TRIM(F431)," #",G431),B431)</f>
        <v>Paper Box #3</v>
      </c>
    </row>
    <row r="432" spans="1:8" ht="15.75" thickBot="1" x14ac:dyDescent="0.3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>IF(ISNUMBER(SEARCH("#",B432)), LEFT(B432,FIND("#",B432)-1), B432)</f>
        <v xml:space="preserve">Paper Box </v>
      </c>
      <c r="G432" s="26">
        <f>IF(ISNUMBER(SEARCH("#",B432)),VALUE(MID(B432,FIND("#",B432)+1,1000)),1)</f>
        <v>4</v>
      </c>
      <c r="H432" t="str">
        <f>IF(AND(regexMatch(B432,".*#[0-9]*$"),ISNUMBER(SEARCH("#",B432))),CONCATENATE(TRIM(F432)," #",G432),B432)</f>
        <v>Paper Box #4</v>
      </c>
    </row>
    <row r="433" spans="1:8" ht="15.75" thickBot="1" x14ac:dyDescent="0.3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>IF(ISNUMBER(SEARCH("#",B433)), LEFT(B433,FIND("#",B433)-1), B433)</f>
        <v xml:space="preserve">Paper Box </v>
      </c>
      <c r="G433" s="26">
        <f>IF(ISNUMBER(SEARCH("#",B433)),VALUE(MID(B433,FIND("#",B433)+1,1000)),1)</f>
        <v>5</v>
      </c>
      <c r="H433" t="str">
        <f>IF(AND(regexMatch(B433,".*#[0-9]*$"),ISNUMBER(SEARCH("#",B433))),CONCATENATE(TRIM(F433)," #",G433),B433)</f>
        <v>Paper Box #5</v>
      </c>
    </row>
    <row r="434" spans="1:8" ht="15.75" thickBot="1" x14ac:dyDescent="0.3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>IF(ISNUMBER(SEARCH("#",B434)), LEFT(B434,FIND("#",B434)-1), B434)</f>
        <v>Parcel Box Closed</v>
      </c>
      <c r="G434" s="26">
        <f>IF(ISNUMBER(SEARCH("#",B434)),VALUE(MID(B434,FIND("#",B434)+1,1000)),1)</f>
        <v>1</v>
      </c>
      <c r="H434" t="str">
        <f>IF(AND(regexMatch(B434,".*#[0-9]*$"),ISNUMBER(SEARCH("#",B434))),CONCATENATE(TRIM(F434)," #",G434),B434)</f>
        <v>Parcel Box Closed</v>
      </c>
    </row>
    <row r="435" spans="1:8" ht="15.75" thickBot="1" x14ac:dyDescent="0.3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>IF(ISNUMBER(SEARCH("#",B435)), LEFT(B435,FIND("#",B435)-1), B435)</f>
        <v>Parcel Box Open</v>
      </c>
      <c r="G435" s="26">
        <f>IF(ISNUMBER(SEARCH("#",B435)),VALUE(MID(B435,FIND("#",B435)+1,1000)),1)</f>
        <v>1</v>
      </c>
      <c r="H435" t="str">
        <f>IF(AND(regexMatch(B435,".*#[0-9]*$"),ISNUMBER(SEARCH("#",B435))),CONCATENATE(TRIM(F435)," #",G435),B435)</f>
        <v>Parcel Box Open</v>
      </c>
    </row>
    <row r="436" spans="1:8" ht="15.75" thickBot="1" x14ac:dyDescent="0.3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>IF(ISNUMBER(SEARCH("#",B436)), LEFT(B436,FIND("#",B436)-1), B436)</f>
        <v>Pile of Boxes</v>
      </c>
      <c r="G436" s="26">
        <f>IF(ISNUMBER(SEARCH("#",B436)),VALUE(MID(B436,FIND("#",B436)+1,1000)),1)</f>
        <v>1</v>
      </c>
      <c r="H436" t="str">
        <f>IF(AND(regexMatch(B436,".*#[0-9]*$"),ISNUMBER(SEARCH("#",B436))),CONCATENATE(TRIM(F436)," #",G436),B436)</f>
        <v>Pile of Boxes</v>
      </c>
    </row>
    <row r="437" spans="1:8" ht="15.75" thickBot="1" x14ac:dyDescent="0.3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>IF(ISNUMBER(SEARCH("#",B437)), LEFT(B437,FIND("#",B437)-1), B437)</f>
        <v xml:space="preserve">Pile of Boxes </v>
      </c>
      <c r="G437" s="26">
        <f>G436+1</f>
        <v>2</v>
      </c>
      <c r="H437" t="str">
        <f>IF(AND(regexMatch(B437,".*#[0-9]*$"),ISNUMBER(SEARCH("#",B437))),CONCATENATE(TRIM(F437)," #",G437),B437)</f>
        <v>Pile of Boxes #2</v>
      </c>
    </row>
    <row r="438" spans="1:8" ht="15.75" thickBot="1" x14ac:dyDescent="0.3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>IF(ISNUMBER(SEARCH("#",B438)), LEFT(B438,FIND("#",B438)-1), B438)</f>
        <v xml:space="preserve">Pile of Boxes </v>
      </c>
      <c r="G438" s="26">
        <f>G437+1</f>
        <v>3</v>
      </c>
      <c r="H438" t="str">
        <f>IF(AND(regexMatch(B438,".*#[0-9]*$"),ISNUMBER(SEARCH("#",B438))),CONCATENATE(TRIM(F438)," #",G438),B438)</f>
        <v>Pile of Boxes #3</v>
      </c>
    </row>
    <row r="439" spans="1:8" ht="15.75" thickBot="1" x14ac:dyDescent="0.3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>IF(ISNUMBER(SEARCH("#",B439)), LEFT(B439,FIND("#",B439)-1), B439)</f>
        <v xml:space="preserve">Pile of Boxes </v>
      </c>
      <c r="G439" s="26">
        <f>G438+1</f>
        <v>4</v>
      </c>
      <c r="H439" t="str">
        <f>IF(AND(regexMatch(B439,".*#[0-9]*$"),ISNUMBER(SEARCH("#",B439))),CONCATENATE(TRIM(F439)," #",G439),B439)</f>
        <v>Pile of Boxes #4</v>
      </c>
    </row>
    <row r="440" spans="1:8" ht="15.75" thickBot="1" x14ac:dyDescent="0.3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>IF(ISNUMBER(SEARCH("#",B440)), LEFT(B440,FIND("#",B440)-1), B440)</f>
        <v xml:space="preserve">Pile of Boxes </v>
      </c>
      <c r="G440" s="26">
        <f>G439+1</f>
        <v>5</v>
      </c>
      <c r="H440" t="str">
        <f>IF(AND(regexMatch(B440,".*#[0-9]*$"),ISNUMBER(SEARCH("#",B440))),CONCATENATE(TRIM(F440)," #",G440),B440)</f>
        <v>Pile of Boxes #5</v>
      </c>
    </row>
    <row r="441" spans="1:8" ht="15.75" thickBot="1" x14ac:dyDescent="0.3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>IF(ISNUMBER(SEARCH("#",B441)), LEFT(B441,FIND("#",B441)-1), B441)</f>
        <v xml:space="preserve">Pile of Boxes </v>
      </c>
      <c r="G441" s="26">
        <f>G440+1</f>
        <v>6</v>
      </c>
      <c r="H441" t="str">
        <f>IF(AND(regexMatch(B441,".*#[0-9]*$"),ISNUMBER(SEARCH("#",B441))),CONCATENATE(TRIM(F441)," #",G441),B441)</f>
        <v>Pile of Boxes #6</v>
      </c>
    </row>
    <row r="442" spans="1:8" ht="15.75" thickBot="1" x14ac:dyDescent="0.3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>IF(ISNUMBER(SEARCH("#",B442)), LEFT(B442,FIND("#",B442)-1), B442)</f>
        <v xml:space="preserve">Pile of Boxes </v>
      </c>
      <c r="G442" s="26">
        <f>G441+1</f>
        <v>7</v>
      </c>
      <c r="H442" t="str">
        <f>IF(AND(regexMatch(B442,".*#[0-9]*$"),ISNUMBER(SEARCH("#",B442))),CONCATENATE(TRIM(F442)," #",G442),B442)</f>
        <v>Pile of Boxes #7</v>
      </c>
    </row>
    <row r="443" spans="1:8" ht="15.75" thickBot="1" x14ac:dyDescent="0.3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>IF(ISNUMBER(SEARCH("#",B443)), LEFT(B443,FIND("#",B443)-1), B443)</f>
        <v xml:space="preserve">Pile of Boxes </v>
      </c>
      <c r="G443" s="26">
        <f>G442+1</f>
        <v>8</v>
      </c>
      <c r="H443" t="str">
        <f>IF(AND(regexMatch(B443,".*#[0-9]*$"),ISNUMBER(SEARCH("#",B443))),CONCATENATE(TRIM(F443)," #",G443),B443)</f>
        <v>Pile of Boxes #8</v>
      </c>
    </row>
    <row r="444" spans="1:8" ht="15.75" thickBot="1" x14ac:dyDescent="0.3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>IF(ISNUMBER(SEARCH("#",B444)), LEFT(B444,FIND("#",B444)-1), B444)</f>
        <v xml:space="preserve">Pile of Boxes </v>
      </c>
      <c r="G444" s="26">
        <f>G443+1</f>
        <v>9</v>
      </c>
      <c r="H444" t="str">
        <f>IF(AND(regexMatch(B444,".*#[0-9]*$"),ISNUMBER(SEARCH("#",B444))),CONCATENATE(TRIM(F444)," #",G444),B444)</f>
        <v>Pile of Boxes #9</v>
      </c>
    </row>
    <row r="445" spans="1:8" ht="15.75" thickBot="1" x14ac:dyDescent="0.3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>IF(ISNUMBER(SEARCH("#",B445)), LEFT(B445,FIND("#",B445)-1), B445)</f>
        <v xml:space="preserve">Pile of Boxes </v>
      </c>
      <c r="G445" s="26">
        <f>G444+1</f>
        <v>10</v>
      </c>
      <c r="H445" t="str">
        <f>IF(AND(regexMatch(B445,".*#[0-9]*$"),ISNUMBER(SEARCH("#",B445))),CONCATENATE(TRIM(F445)," #",G445),B445)</f>
        <v>Pile of Boxes #10</v>
      </c>
    </row>
    <row r="446" spans="1:8" ht="15.75" thickBot="1" x14ac:dyDescent="0.3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>IF(ISNUMBER(SEARCH("#",B446)), LEFT(B446,FIND("#",B446)-1), B446)</f>
        <v xml:space="preserve">Pile of Boxes </v>
      </c>
      <c r="G446" s="26">
        <f>G445+1</f>
        <v>11</v>
      </c>
      <c r="H446" t="str">
        <f>IF(AND(regexMatch(B446,".*#[0-9]*$"),ISNUMBER(SEARCH("#",B446))),CONCATENATE(TRIM(F446)," #",G446),B446)</f>
        <v>Pile of Boxes #11</v>
      </c>
    </row>
    <row r="447" spans="1:8" ht="15.75" thickBot="1" x14ac:dyDescent="0.3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>IF(ISNUMBER(SEARCH("#",B447)), LEFT(B447,FIND("#",B447)-1), B447)</f>
        <v xml:space="preserve">Pile of Boxes </v>
      </c>
      <c r="G447" s="26">
        <f>G446+1</f>
        <v>12</v>
      </c>
      <c r="H447" t="str">
        <f>IF(AND(regexMatch(B447,".*#[0-9]*$"),ISNUMBER(SEARCH("#",B447))),CONCATENATE(TRIM(F447)," #",G447),B447)</f>
        <v>Pile of Boxes #12</v>
      </c>
    </row>
    <row r="448" spans="1:8" ht="15.75" thickBot="1" x14ac:dyDescent="0.3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>IF(ISNUMBER(SEARCH("#",B448)), LEFT(B448,FIND("#",B448)-1), B448)</f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.75" thickBot="1" x14ac:dyDescent="0.3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>IF(ISNUMBER(SEARCH("#",B449)), LEFT(B449,FIND("#",B449)-1), B449)</f>
        <v xml:space="preserve">Pile of Flat Cardboard </v>
      </c>
      <c r="G449" s="26">
        <f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.75" thickBot="1" x14ac:dyDescent="0.3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>IF(ISNUMBER(SEARCH("#",B450)), LEFT(B450,FIND("#",B450)-1), B450)</f>
        <v xml:space="preserve">Pile of Flat Cardboard </v>
      </c>
      <c r="G450" s="26">
        <f>G449+1</f>
        <v>3</v>
      </c>
      <c r="H450" t="str">
        <f>IF(AND(regexMatch(B450,".*#[0-9]*$"),ISNUMBER(SEARCH("#",B450))),CONCATENATE(TRIM(F450)," #",G450),B450)</f>
        <v>Pile of Flat Cardboard #3</v>
      </c>
    </row>
    <row r="451" spans="1:8" ht="15.75" thickBot="1" x14ac:dyDescent="0.3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>IF(ISNUMBER(SEARCH("#",B451)), LEFT(B451,FIND("#",B451)-1), B451)</f>
        <v xml:space="preserve">Pile of Flat Cardboard </v>
      </c>
      <c r="G451" s="26">
        <f>G450+1</f>
        <v>4</v>
      </c>
      <c r="H451" t="str">
        <f>IF(AND(regexMatch(B451,".*#[0-9]*$"),ISNUMBER(SEARCH("#",B451))),CONCATENATE(TRIM(F451)," #",G451),B451)</f>
        <v>Pile of Flat Cardboard #4</v>
      </c>
    </row>
    <row r="452" spans="1:8" ht="15.75" thickBot="1" x14ac:dyDescent="0.3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>IF(ISNUMBER(SEARCH("#",B452)), LEFT(B452,FIND("#",B452)-1), B452)</f>
        <v xml:space="preserve">Pile of Flat Cardboard </v>
      </c>
      <c r="G452" s="26">
        <f>G451+1</f>
        <v>5</v>
      </c>
      <c r="H452" t="str">
        <f>IF(AND(regexMatch(B452,".*#[0-9]*$"),ISNUMBER(SEARCH("#",B452))),CONCATENATE(TRIM(F452)," #",G452),B452)</f>
        <v>Pile of Flat Cardboard #5</v>
      </c>
    </row>
    <row r="453" spans="1:8" ht="15.75" thickBot="1" x14ac:dyDescent="0.3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>IF(ISNUMBER(SEARCH("#",B453)), LEFT(B453,FIND("#",B453)-1), B453)</f>
        <v xml:space="preserve">Pile of Flat Cardboard </v>
      </c>
      <c r="G453" s="26">
        <f>G452+1</f>
        <v>6</v>
      </c>
      <c r="H453" t="str">
        <f>IF(AND(regexMatch(B453,".*#[0-9]*$"),ISNUMBER(SEARCH("#",B453))),CONCATENATE(TRIM(F453)," #",G453),B453)</f>
        <v>Pile of Flat Cardboard #6</v>
      </c>
    </row>
    <row r="454" spans="1:8" ht="15.75" thickBot="1" x14ac:dyDescent="0.3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>IF(ISNUMBER(SEARCH("#",B454)), LEFT(B454,FIND("#",B454)-1), B454)</f>
        <v xml:space="preserve">Pile of Flat Cardboard </v>
      </c>
      <c r="G454" s="26">
        <f>G453+1</f>
        <v>7</v>
      </c>
      <c r="H454" t="str">
        <f>IF(AND(regexMatch(B454,".*#[0-9]*$"),ISNUMBER(SEARCH("#",B454))),CONCATENATE(TRIM(F454)," #",G454),B454)</f>
        <v>Pile of Flat Cardboard #7</v>
      </c>
    </row>
    <row r="455" spans="1:8" ht="15.75" thickBot="1" x14ac:dyDescent="0.3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>IF(ISNUMBER(SEARCH("#",B455)), LEFT(B455,FIND("#",B455)-1), B455)</f>
        <v>Plastic Crate Pile</v>
      </c>
      <c r="G455" s="26">
        <f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.75" thickBot="1" x14ac:dyDescent="0.3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>IF(ISNUMBER(SEARCH("#",B456)), LEFT(B456,FIND("#",B456)-1), B456)</f>
        <v>Plastic Fruit Crates</v>
      </c>
      <c r="G456" s="26">
        <f>IF(ISNUMBER(SEARCH("#",B456)),VALUE(MID(B456,FIND("#",B456)+1,1000)),1)</f>
        <v>1</v>
      </c>
      <c r="H456" t="str">
        <f>IF(AND(regexMatch(B456,".*#[0-9]*$"),ISNUMBER(SEARCH("#",B456))),CONCATENATE(TRIM(F456)," #",G456),B456)</f>
        <v>Plastic Fruit Crates</v>
      </c>
    </row>
    <row r="457" spans="1:8" ht="15.75" thickBot="1" x14ac:dyDescent="0.3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>IF(ISNUMBER(SEARCH("#",B457)), LEFT(B457,FIND("#",B457)-1), B457)</f>
        <v>Plastic Storage Box</v>
      </c>
      <c r="G457" s="26">
        <f>IF(ISNUMBER(SEARCH("#",B457)),VALUE(MID(B457,FIND("#",B457)+1,1000)),1)</f>
        <v>1</v>
      </c>
      <c r="H457" t="str">
        <f>IF(AND(regexMatch(B457,".*#[0-9]*$"),ISNUMBER(SEARCH("#",B457))),CONCATENATE(TRIM(F457)," #",G457),B457)</f>
        <v>Plastic Storage Box</v>
      </c>
    </row>
    <row r="458" spans="1:8" ht="15.75" thickBot="1" x14ac:dyDescent="0.3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>IF(ISNUMBER(SEARCH("#",B458)), LEFT(B458,FIND("#",B458)-1), B458)</f>
        <v>Plastic Storage Box Lid</v>
      </c>
      <c r="G458" s="26">
        <f>IF(ISNUMBER(SEARCH("#",B458)),VALUE(MID(B458,FIND("#",B458)+1,1000)),1)</f>
        <v>1</v>
      </c>
      <c r="H458" t="str">
        <f>IF(AND(regexMatch(B458,".*#[0-9]*$"),ISNUMBER(SEARCH("#",B458))),CONCATENATE(TRIM(F458)," #",G458),B458)</f>
        <v>Plastic Storage Box Lid</v>
      </c>
    </row>
    <row r="459" spans="1:8" ht="15.75" thickBot="1" x14ac:dyDescent="0.3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>IF(ISNUMBER(SEARCH("#",B459)), LEFT(B459,FIND("#",B459)-1), B459)</f>
        <v>Plastic Storage Boxes Stacked</v>
      </c>
      <c r="G459" s="26">
        <f>IF(ISNUMBER(SEARCH("#",B459)),VALUE(MID(B459,FIND("#",B459)+1,1000)),1)</f>
        <v>1</v>
      </c>
      <c r="H459" t="str">
        <f>IF(AND(regexMatch(B459,".*#[0-9]*$"),ISNUMBER(SEARCH("#",B459))),CONCATENATE(TRIM(F459)," #",G459),B459)</f>
        <v>Plastic Storage Boxes Stacked</v>
      </c>
    </row>
    <row r="460" spans="1:8" ht="15.75" thickBot="1" x14ac:dyDescent="0.3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>IF(ISNUMBER(SEARCH("#",B460)), LEFT(B460,FIND("#",B460)-1), B460)</f>
        <v>Sack</v>
      </c>
      <c r="G460" s="26">
        <f>IF(ISNUMBER(SEARCH("#",B460)),VALUE(MID(B460,FIND("#",B460)+1,1000)),1)</f>
        <v>1</v>
      </c>
      <c r="H460" t="str">
        <f>IF(AND(regexMatch(B460,".*#[0-9]*$"),ISNUMBER(SEARCH("#",B460))),CONCATENATE(TRIM(F460)," #",G460),B460)</f>
        <v>Sack</v>
      </c>
    </row>
    <row r="461" spans="1:8" ht="15.75" thickBot="1" x14ac:dyDescent="0.3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>IF(ISNUMBER(SEARCH("#",B461)), LEFT(B461,FIND("#",B461)-1), B461)</f>
        <v>Scrap Crate</v>
      </c>
      <c r="G461" s="26">
        <f>IF(ISNUMBER(SEARCH("#",B461)),VALUE(MID(B461,FIND("#",B461)+1,1000)),1)</f>
        <v>1</v>
      </c>
      <c r="H461" t="str">
        <f>IF(AND(regexMatch(B461,".*#[0-9]*$"),ISNUMBER(SEARCH("#",B461))),CONCATENATE(TRIM(F461)," #",G461),B461)</f>
        <v>Scrap Crate</v>
      </c>
    </row>
    <row r="462" spans="1:8" ht="15.75" thickBot="1" x14ac:dyDescent="0.3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>IF(ISNUMBER(SEARCH("#",B462)), LEFT(B462,FIND("#",B462)-1), B462)</f>
        <v xml:space="preserve">Skid Row Box </v>
      </c>
      <c r="G462" s="26">
        <f>IF(ISNUMBER(SEARCH("#",B462)),VALUE(MID(B462,FIND("#",B462)+1,1000)),1)</f>
        <v>1</v>
      </c>
      <c r="H462" t="str">
        <f>IF(AND(regexMatch(B462,".*#[0-9]*$"),ISNUMBER(SEARCH("#",B462))),CONCATENATE(TRIM(F462)," #",G462),B462)</f>
        <v>Skid Row Box #1</v>
      </c>
    </row>
    <row r="463" spans="1:8" ht="15.75" thickBot="1" x14ac:dyDescent="0.3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>IF(ISNUMBER(SEARCH("#",B463)), LEFT(B463,FIND("#",B463)-1), B463)</f>
        <v xml:space="preserve">Skid Row Box </v>
      </c>
      <c r="G463" s="26">
        <f>IF(ISNUMBER(SEARCH("#",B463)),VALUE(MID(B463,FIND("#",B463)+1,1000)),1)</f>
        <v>2</v>
      </c>
      <c r="H463" t="str">
        <f>IF(AND(regexMatch(B463,".*#[0-9]*$"),ISNUMBER(SEARCH("#",B463))),CONCATENATE(TRIM(F463)," #",G463),B463)</f>
        <v>Skid Row Box #2</v>
      </c>
    </row>
    <row r="464" spans="1:8" ht="15.75" thickBot="1" x14ac:dyDescent="0.3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>IF(ISNUMBER(SEARCH("#",B464)), LEFT(B464,FIND("#",B464)-1), B464)</f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.75" thickBot="1" x14ac:dyDescent="0.3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>IF(ISNUMBER(SEARCH("#",B465)), LEFT(B465,FIND("#",B465)-1), B465)</f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.75" thickBot="1" x14ac:dyDescent="0.3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>IF(ISNUMBER(SEARCH("#",B466)), LEFT(B466,FIND("#",B466)-1), B466)</f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.75" thickBot="1" x14ac:dyDescent="0.3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>IF(ISNUMBER(SEARCH("#",B467)), LEFT(B467,FIND("#",B467)-1), B467)</f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.75" thickBot="1" x14ac:dyDescent="0.3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>IF(ISNUMBER(SEARCH("#",B468)), LEFT(B468,FIND("#",B468)-1), B468)</f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.75" thickBot="1" x14ac:dyDescent="0.3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>IF(ISNUMBER(SEARCH("#",B469)), LEFT(B469,FIND("#",B469)-1), B469)</f>
        <v xml:space="preserve">Small Box </v>
      </c>
      <c r="G469" s="26" t="e">
        <f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.75" thickBot="1" x14ac:dyDescent="0.3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>IF(ISNUMBER(SEARCH("#",B470)), LEFT(B470,FIND("#",B470)-1), B470)</f>
        <v xml:space="preserve">Small Box </v>
      </c>
      <c r="G470" s="26" t="e">
        <f>IF(ISNUMBER(SEARCH("#",B470)),VALUE(MID(B470,FIND("#",B470)+1,1000)),1)</f>
        <v>#VALUE!</v>
      </c>
      <c r="H470" t="str">
        <f>IF(AND(regexMatch(B470,".*#[0-9]*$"),ISNUMBER(SEARCH("#",B470))),CONCATENATE(TRIM(F470)," #",G470),B470)</f>
        <v>Small Box #1 Open</v>
      </c>
    </row>
    <row r="471" spans="1:8" ht="15.75" thickBot="1" x14ac:dyDescent="0.3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>IF(ISNUMBER(SEARCH("#",B471)), LEFT(B471,FIND("#",B471)-1), B471)</f>
        <v xml:space="preserve">Small Crate </v>
      </c>
      <c r="G471" s="26">
        <f>IF(ISNUMBER(SEARCH("#",B471)),VALUE(MID(B471,FIND("#",B471)+1,1000)),1)</f>
        <v>1</v>
      </c>
      <c r="H471" t="str">
        <f>IF(AND(regexMatch(B471,".*#[0-9]*$"),ISNUMBER(SEARCH("#",B471))),CONCATENATE(TRIM(F471)," #",G471),B471)</f>
        <v>Small Crate #1</v>
      </c>
    </row>
    <row r="472" spans="1:8" ht="15.75" thickBot="1" x14ac:dyDescent="0.3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>IF(ISNUMBER(SEARCH("#",B472)), LEFT(B472,FIND("#",B472)-1), B472)</f>
        <v xml:space="preserve">Small Crate </v>
      </c>
      <c r="G472" s="26">
        <f>IF(ISNUMBER(SEARCH("#",B472)),VALUE(MID(B472,FIND("#",B472)+1,1000)),1)</f>
        <v>2</v>
      </c>
      <c r="H472" t="str">
        <f>IF(AND(regexMatch(B472,".*#[0-9]*$"),ISNUMBER(SEARCH("#",B472))),CONCATENATE(TRIM(F472)," #",G472),B472)</f>
        <v>Small Crate #2</v>
      </c>
    </row>
    <row r="473" spans="1:8" ht="15.75" thickBot="1" x14ac:dyDescent="0.3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>IF(ISNUMBER(SEARCH("#",B473)), LEFT(B473,FIND("#",B473)-1), B473)</f>
        <v xml:space="preserve">Small Crate </v>
      </c>
      <c r="G473" s="26">
        <f>IF(ISNUMBER(SEARCH("#",B473)),VALUE(MID(B473,FIND("#",B473)+1,1000)),1)</f>
        <v>3</v>
      </c>
      <c r="H473" t="str">
        <f>IF(AND(regexMatch(B473,".*#[0-9]*$"),ISNUMBER(SEARCH("#",B473))),CONCATENATE(TRIM(F473)," #",G473),B473)</f>
        <v>Small Crate #3</v>
      </c>
    </row>
    <row r="474" spans="1:8" ht="15.75" thickBot="1" x14ac:dyDescent="0.3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>IF(ISNUMBER(SEARCH("#",B474)), LEFT(B474,FIND("#",B474)-1), B474)</f>
        <v>Tea Box</v>
      </c>
      <c r="G474" s="26">
        <f>IF(ISNUMBER(SEARCH("#",B474)),VALUE(MID(B474,FIND("#",B474)+1,1000)),1)</f>
        <v>1</v>
      </c>
      <c r="H474" t="str">
        <f>IF(AND(regexMatch(B474,".*#[0-9]*$"),ISNUMBER(SEARCH("#",B474))),CONCATENATE(TRIM(F474)," #",G474),B474)</f>
        <v>Tea Box</v>
      </c>
    </row>
    <row r="475" spans="1:8" ht="15.75" thickBot="1" x14ac:dyDescent="0.3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>IF(ISNUMBER(SEARCH("#",B475)), LEFT(B475,FIND("#",B475)-1), B475)</f>
        <v xml:space="preserve">Wooden Box </v>
      </c>
      <c r="G475" s="26">
        <f>IF(ISNUMBER(SEARCH("#",B475)),VALUE(MID(B475,FIND("#",B475)+1,1000)),1)</f>
        <v>1</v>
      </c>
      <c r="H475" t="str">
        <f>IF(AND(regexMatch(B475,".*#[0-9]*$"),ISNUMBER(SEARCH("#",B475))),CONCATENATE(TRIM(F475)," #",G475),B475)</f>
        <v>Wooden Box #1</v>
      </c>
    </row>
    <row r="476" spans="1:8" ht="15.75" thickBot="1" x14ac:dyDescent="0.3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>IF(ISNUMBER(SEARCH("#",B476)), LEFT(B476,FIND("#",B476)-1), B476)</f>
        <v xml:space="preserve">Wooden Box </v>
      </c>
      <c r="G476" s="26">
        <f>G475+1</f>
        <v>2</v>
      </c>
      <c r="H476" t="str">
        <f>IF(AND(regexMatch(B476,".*#[0-9]*$"),ISNUMBER(SEARCH("#",B476))),CONCATENATE(TRIM(F476)," #",G476),B476)</f>
        <v>Wooden Box #2</v>
      </c>
    </row>
    <row r="477" spans="1:8" ht="15.75" thickBot="1" x14ac:dyDescent="0.3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>IF(ISNUMBER(SEARCH("#",B477)), LEFT(B477,FIND("#",B477)-1), B477)</f>
        <v xml:space="preserve">Wooden Box </v>
      </c>
      <c r="G477" s="26">
        <f>G476+1</f>
        <v>3</v>
      </c>
      <c r="H477" t="str">
        <f>IF(AND(regexMatch(B477,".*#[0-9]*$"),ISNUMBER(SEARCH("#",B477))),CONCATENATE(TRIM(F477)," #",G477),B477)</f>
        <v>Wooden Box #3</v>
      </c>
    </row>
    <row r="478" spans="1:8" ht="15.75" thickBot="1" x14ac:dyDescent="0.3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>IF(ISNUMBER(SEARCH("#",B478)), LEFT(B478,FIND("#",B478)-1), B478)</f>
        <v xml:space="preserve">Wooden Box </v>
      </c>
      <c r="G478" s="26">
        <f>G477+1</f>
        <v>4</v>
      </c>
      <c r="H478" t="str">
        <f>IF(AND(regexMatch(B478,".*#[0-9]*$"),ISNUMBER(SEARCH("#",B478))),CONCATENATE(TRIM(F478)," #",G478),B478)</f>
        <v>Wooden Box #4</v>
      </c>
    </row>
    <row r="479" spans="1:8" ht="15.75" thickBot="1" x14ac:dyDescent="0.3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>IF(ISNUMBER(SEARCH("#",B479)), LEFT(B479,FIND("#",B479)-1), B479)</f>
        <v xml:space="preserve">Wooden Box </v>
      </c>
      <c r="G479" s="26">
        <f>G478+1</f>
        <v>5</v>
      </c>
      <c r="H479" t="str">
        <f>IF(AND(regexMatch(B479,".*#[0-9]*$"),ISNUMBER(SEARCH("#",B479))),CONCATENATE(TRIM(F479)," #",G479),B479)</f>
        <v>Wooden Box #5</v>
      </c>
    </row>
    <row r="480" spans="1:8" ht="15.75" thickBot="1" x14ac:dyDescent="0.3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>IF(ISNUMBER(SEARCH("#",B480)), LEFT(B480,FIND("#",B480)-1), B480)</f>
        <v xml:space="preserve">Wooden Box </v>
      </c>
      <c r="G480" s="26">
        <f>G479+1</f>
        <v>6</v>
      </c>
      <c r="H480" t="str">
        <f>IF(AND(regexMatch(B480,".*#[0-9]*$"),ISNUMBER(SEARCH("#",B480))),CONCATENATE(TRIM(F480)," #",G480),B480)</f>
        <v>Wooden Box #6</v>
      </c>
    </row>
    <row r="481" spans="1:8" ht="15.75" thickBot="1" x14ac:dyDescent="0.3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>IF(ISNUMBER(SEARCH("#",B481)), LEFT(B481,FIND("#",B481)-1), B481)</f>
        <v xml:space="preserve">Wooden Box </v>
      </c>
      <c r="G481" s="26">
        <f>G480+1</f>
        <v>7</v>
      </c>
      <c r="H481" t="str">
        <f>IF(AND(regexMatch(B481,".*#[0-9]*$"),ISNUMBER(SEARCH("#",B481))),CONCATENATE(TRIM(F481)," #",G481),B481)</f>
        <v>Wooden Box #7</v>
      </c>
    </row>
    <row r="482" spans="1:8" ht="15.75" thickBot="1" x14ac:dyDescent="0.3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>IF(ISNUMBER(SEARCH("#",B482)), LEFT(B482,FIND("#",B482)-1), B482)</f>
        <v xml:space="preserve">Wooden Box </v>
      </c>
      <c r="G482" s="26">
        <f>G481+1</f>
        <v>8</v>
      </c>
      <c r="H482" t="str">
        <f>IF(AND(regexMatch(B482,".*#[0-9]*$"),ISNUMBER(SEARCH("#",B482))),CONCATENATE(TRIM(F482)," #",G482),B482)</f>
        <v>Wooden Box #8</v>
      </c>
    </row>
    <row r="483" spans="1:8" ht="15.75" thickBot="1" x14ac:dyDescent="0.3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>IF(ISNUMBER(SEARCH("#",B483)), LEFT(B483,FIND("#",B483)-1), B483)</f>
        <v xml:space="preserve">Wooden Box </v>
      </c>
      <c r="G483" s="26">
        <f>G482+1</f>
        <v>9</v>
      </c>
      <c r="H483" t="str">
        <f>IF(AND(regexMatch(B483,".*#[0-9]*$"),ISNUMBER(SEARCH("#",B483))),CONCATENATE(TRIM(F483)," #",G483),B483)</f>
        <v>Wooden Box #9</v>
      </c>
    </row>
    <row r="484" spans="1:8" ht="15.75" thickBot="1" x14ac:dyDescent="0.3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>IF(ISNUMBER(SEARCH("#",B484)), LEFT(B484,FIND("#",B484)-1), B484)</f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.75" thickBot="1" x14ac:dyDescent="0.3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>IF(ISNUMBER(SEARCH("#",B485)), LEFT(B485,FIND("#",B485)-1), B485)</f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.75" thickBot="1" x14ac:dyDescent="0.3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>IF(ISNUMBER(SEARCH("#",B486)), LEFT(B486,FIND("#",B486)-1), B486)</f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.75" thickBot="1" x14ac:dyDescent="0.3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>IF(ISNUMBER(SEARCH("#",B487)), LEFT(B487,FIND("#",B487)-1), B487)</f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.75" thickBot="1" x14ac:dyDescent="0.3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>IF(ISNUMBER(SEARCH("#",B488)), LEFT(B488,FIND("#",B488)-1), B488)</f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.75" thickBot="1" x14ac:dyDescent="0.3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>IF(ISNUMBER(SEARCH("#",B489)), LEFT(B489,FIND("#",B489)-1), B489)</f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.75" thickBot="1" x14ac:dyDescent="0.3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>IF(ISNUMBER(SEARCH("#",B490)), LEFT(B490,FIND("#",B490)-1), B490)</f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.75" thickBot="1" x14ac:dyDescent="0.3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>IF(ISNUMBER(SEARCH("#",B491)), LEFT(B491,FIND("#",B491)-1), B491)</f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.75" thickBot="1" x14ac:dyDescent="0.3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>IF(ISNUMBER(SEARCH("#",B492)), LEFT(B492,FIND("#",B492)-1), B492)</f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.75" thickBot="1" x14ac:dyDescent="0.3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>IF(ISNUMBER(SEARCH("#",B493)), LEFT(B493,FIND("#",B493)-1), B493)</f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.75" thickBot="1" x14ac:dyDescent="0.3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>IF(ISNUMBER(SEARCH("#",B494)), LEFT(B494,FIND("#",B494)-1), B494)</f>
        <v xml:space="preserve">Air Conditioner Medium </v>
      </c>
      <c r="G494" s="26">
        <f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.75" thickBot="1" x14ac:dyDescent="0.3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>IF(ISNUMBER(SEARCH("#",B495)), LEFT(B495,FIND("#",B495)-1), B495)</f>
        <v xml:space="preserve">Air Conditioner Medium </v>
      </c>
      <c r="G495" s="26">
        <f>G494+1</f>
        <v>3</v>
      </c>
      <c r="H495" t="str">
        <f>IF(AND(regexMatch(B495,".*#[0-9]*$"),ISNUMBER(SEARCH("#",B495))),CONCATENATE(TRIM(F495)," #",G495),B495)</f>
        <v>Air Conditioner Medium #3</v>
      </c>
    </row>
    <row r="496" spans="1:8" ht="15.75" thickBot="1" x14ac:dyDescent="0.3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>IF(ISNUMBER(SEARCH("#",B496)), LEFT(B496,FIND("#",B496)-1), B496)</f>
        <v xml:space="preserve">Air Conditioner Medium </v>
      </c>
      <c r="G496" s="26">
        <f>G495+1</f>
        <v>4</v>
      </c>
      <c r="H496" t="str">
        <f>IF(AND(regexMatch(B496,".*#[0-9]*$"),ISNUMBER(SEARCH("#",B496))),CONCATENATE(TRIM(F496)," #",G496),B496)</f>
        <v>Air Conditioner Medium #4</v>
      </c>
    </row>
    <row r="497" spans="1:8" ht="15.75" thickBot="1" x14ac:dyDescent="0.3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>IF(ISNUMBER(SEARCH("#",B497)), LEFT(B497,FIND("#",B497)-1), B497)</f>
        <v xml:space="preserve">Air Conditioner Medium </v>
      </c>
      <c r="G497" s="26">
        <f>G496+1</f>
        <v>5</v>
      </c>
      <c r="H497" t="str">
        <f>IF(AND(regexMatch(B497,".*#[0-9]*$"),ISNUMBER(SEARCH("#",B497))),CONCATENATE(TRIM(F497)," #",G497),B497)</f>
        <v>Air Conditioner Medium #5</v>
      </c>
    </row>
    <row r="498" spans="1:8" ht="15.75" thickBot="1" x14ac:dyDescent="0.3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>IF(ISNUMBER(SEARCH("#",B498)), LEFT(B498,FIND("#",B498)-1), B498)</f>
        <v xml:space="preserve">Air Conditioner Medium </v>
      </c>
      <c r="G498" s="26">
        <f>G497+1</f>
        <v>6</v>
      </c>
      <c r="H498" t="str">
        <f>IF(AND(regexMatch(B498,".*#[0-9]*$"),ISNUMBER(SEARCH("#",B498))),CONCATENATE(TRIM(F498)," #",G498),B498)</f>
        <v>Air Conditioner Medium #6</v>
      </c>
    </row>
    <row r="499" spans="1:8" ht="15.75" thickBot="1" x14ac:dyDescent="0.3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>IF(ISNUMBER(SEARCH("#",B499)), LEFT(B499,FIND("#",B499)-1), B499)</f>
        <v xml:space="preserve">Air Conditioner Medium </v>
      </c>
      <c r="G499" s="26">
        <f>G498+1</f>
        <v>7</v>
      </c>
      <c r="H499" t="str">
        <f>IF(AND(regexMatch(B499,".*#[0-9]*$"),ISNUMBER(SEARCH("#",B499))),CONCATENATE(TRIM(F499)," #",G499),B499)</f>
        <v>Air Conditioner Medium #7</v>
      </c>
    </row>
    <row r="500" spans="1:8" ht="15.75" thickBot="1" x14ac:dyDescent="0.3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>IF(ISNUMBER(SEARCH("#",B500)), LEFT(B500,FIND("#",B500)-1), B500)</f>
        <v xml:space="preserve">Air Conditioner Medium </v>
      </c>
      <c r="G500" s="26">
        <f>G499+1</f>
        <v>8</v>
      </c>
      <c r="H500" t="str">
        <f>IF(AND(regexMatch(B500,".*#[0-9]*$"),ISNUMBER(SEARCH("#",B500))),CONCATENATE(TRIM(F500)," #",G500),B500)</f>
        <v>Air Conditioner Medium #8</v>
      </c>
    </row>
    <row r="501" spans="1:8" ht="15.75" thickBot="1" x14ac:dyDescent="0.3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>IF(ISNUMBER(SEARCH("#",B501)), LEFT(B501,FIND("#",B501)-1), B501)</f>
        <v xml:space="preserve">Air Conditioner Medium </v>
      </c>
      <c r="G501" s="26">
        <f>G500+1</f>
        <v>9</v>
      </c>
      <c r="H501" t="str">
        <f>IF(AND(regexMatch(B501,".*#[0-9]*$"),ISNUMBER(SEARCH("#",B501))),CONCATENATE(TRIM(F501)," #",G501),B501)</f>
        <v>Air Conditioner Medium #9</v>
      </c>
    </row>
    <row r="502" spans="1:8" ht="15.75" thickBot="1" x14ac:dyDescent="0.3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>IF(ISNUMBER(SEARCH("#",B502)), LEFT(B502,FIND("#",B502)-1), B502)</f>
        <v xml:space="preserve">Air Conditioner Medium </v>
      </c>
      <c r="G502" s="26">
        <f>G501+1</f>
        <v>10</v>
      </c>
      <c r="H502" t="str">
        <f>IF(AND(regexMatch(B502,".*#[0-9]*$"),ISNUMBER(SEARCH("#",B502))),CONCATENATE(TRIM(F502)," #",G502),B502)</f>
        <v>Air Conditioner Medium #10</v>
      </c>
    </row>
    <row r="503" spans="1:8" ht="15.75" thickBot="1" x14ac:dyDescent="0.3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>IF(ISNUMBER(SEARCH("#",B503)), LEFT(B503,FIND("#",B503)-1), B503)</f>
        <v>Aircon Fan</v>
      </c>
      <c r="G503" s="26">
        <f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.75" thickBot="1" x14ac:dyDescent="0.3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>IF(ISNUMBER(SEARCH("#",B504)), LEFT(B504,FIND("#",B504)-1), B504)</f>
        <v>Aircon Unit</v>
      </c>
      <c r="G504" s="26">
        <f>IF(ISNUMBER(SEARCH("#",B504)),VALUE(MID(B504,FIND("#",B504)+1,1000)),1)</f>
        <v>1</v>
      </c>
      <c r="H504" t="str">
        <f>IF(AND(regexMatch(B504,".*#[0-9]*$"),ISNUMBER(SEARCH("#",B504))),CONCATENATE(TRIM(F504)," #",G504),B504)</f>
        <v>Aircon Unit</v>
      </c>
    </row>
    <row r="505" spans="1:8" ht="15.75" thickBot="1" x14ac:dyDescent="0.3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>IF(ISNUMBER(SEARCH("#",B505)), LEFT(B505,FIND("#",B505)-1), B505)</f>
        <v>Alarm Bell</v>
      </c>
      <c r="G505" s="26">
        <f>IF(ISNUMBER(SEARCH("#",B505)),VALUE(MID(B505,FIND("#",B505)+1,1000)),1)</f>
        <v>1</v>
      </c>
      <c r="H505" t="str">
        <f>IF(AND(regexMatch(B505,".*#[0-9]*$"),ISNUMBER(SEARCH("#",B505))),CONCATENATE(TRIM(F505)," #",G505),B505)</f>
        <v>Alarm Bell</v>
      </c>
    </row>
    <row r="506" spans="1:8" ht="15.75" thickBot="1" x14ac:dyDescent="0.3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>IF(ISNUMBER(SEARCH("#",B506)), LEFT(B506,FIND("#",B506)-1), B506)</f>
        <v>Alarm Box</v>
      </c>
      <c r="G506" s="26">
        <f>IF(ISNUMBER(SEARCH("#",B506)),VALUE(MID(B506,FIND("#",B506)+1,1000)),1)</f>
        <v>1</v>
      </c>
      <c r="H506" t="str">
        <f>IF(AND(regexMatch(B506,".*#[0-9]*$"),ISNUMBER(SEARCH("#",B506))),CONCATENATE(TRIM(F506)," #",G506),B506)</f>
        <v>Alarm Box</v>
      </c>
    </row>
    <row r="507" spans="1:8" ht="15.75" thickBot="1" x14ac:dyDescent="0.3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>IF(ISNUMBER(SEARCH("#",B507)), LEFT(B507,FIND("#",B507)-1), B507)</f>
        <v>Alarm Box Alert</v>
      </c>
      <c r="G507" s="26">
        <f>IF(ISNUMBER(SEARCH("#",B507)),VALUE(MID(B507,FIND("#",B507)+1,1000)),1)</f>
        <v>1</v>
      </c>
      <c r="H507" t="str">
        <f>IF(AND(regexMatch(B507,".*#[0-9]*$"),ISNUMBER(SEARCH("#",B507))),CONCATENATE(TRIM(F507)," #",G507),B507)</f>
        <v>Alarm Box Alert</v>
      </c>
    </row>
    <row r="508" spans="1:8" ht="15.75" thickBot="1" x14ac:dyDescent="0.3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>IF(ISNUMBER(SEARCH("#",B508)), LEFT(B508,FIND("#",B508)-1), B508)</f>
        <v>Alarm Box Damaged</v>
      </c>
      <c r="G508" s="26">
        <f>IF(ISNUMBER(SEARCH("#",B508)),VALUE(MID(B508,FIND("#",B508)+1,1000)),1)</f>
        <v>1</v>
      </c>
      <c r="H508" t="str">
        <f>IF(AND(regexMatch(B508,".*#[0-9]*$"),ISNUMBER(SEARCH("#",B508))),CONCATENATE(TRIM(F508)," #",G508),B508)</f>
        <v>Alarm Box Damaged</v>
      </c>
    </row>
    <row r="509" spans="1:8" ht="15.75" thickBot="1" x14ac:dyDescent="0.3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>IF(ISNUMBER(SEARCH("#",B509)), LEFT(B509,FIND("#",B509)-1), B509)</f>
        <v>Bare Light Bulb</v>
      </c>
      <c r="G509" s="26">
        <f>IF(ISNUMBER(SEARCH("#",B509)),VALUE(MID(B509,FIND("#",B509)+1,1000)),1)</f>
        <v>1</v>
      </c>
      <c r="H509" t="str">
        <f>IF(AND(regexMatch(B509,".*#[0-9]*$"),ISNUMBER(SEARCH("#",B509))),CONCATENATE(TRIM(F509)," #",G509),B509)</f>
        <v>Bare Light Bulb</v>
      </c>
    </row>
    <row r="510" spans="1:8" ht="15.75" thickBot="1" x14ac:dyDescent="0.3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>IF(ISNUMBER(SEARCH("#",B510)), LEFT(B510,FIND("#",B510)-1), B510)</f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.75" thickBot="1" x14ac:dyDescent="0.3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>IF(ISNUMBER(SEARCH("#",B511)), LEFT(B511,FIND("#",B511)-1), B511)</f>
        <v xml:space="preserve">CCTV Camera </v>
      </c>
      <c r="G511" s="26">
        <f>G510+1</f>
        <v>2</v>
      </c>
      <c r="H511" t="str">
        <f>IF(AND(regexMatch(B511,".*#[0-9]*$"),ISNUMBER(SEARCH("#",B511))),CONCATENATE(TRIM(F511)," #",G511),B511)</f>
        <v>CCTV Camera #2</v>
      </c>
    </row>
    <row r="512" spans="1:8" ht="15.75" thickBot="1" x14ac:dyDescent="0.3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>IF(ISNUMBER(SEARCH("#",B512)), LEFT(B512,FIND("#",B512)-1), B512)</f>
        <v xml:space="preserve">CCTV Camera </v>
      </c>
      <c r="G512" s="26">
        <f>G511+1</f>
        <v>3</v>
      </c>
      <c r="H512" t="str">
        <f>IF(AND(regexMatch(B512,".*#[0-9]*$"),ISNUMBER(SEARCH("#",B512))),CONCATENATE(TRIM(F512)," #",G512),B512)</f>
        <v>CCTV Camera #3</v>
      </c>
    </row>
    <row r="513" spans="1:8" ht="15.75" thickBot="1" x14ac:dyDescent="0.3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>IF(ISNUMBER(SEARCH("#",B513)), LEFT(B513,FIND("#",B513)-1), B513)</f>
        <v xml:space="preserve">CCTV Camera </v>
      </c>
      <c r="G513" s="26">
        <f>G512+1</f>
        <v>4</v>
      </c>
      <c r="H513" t="str">
        <f>IF(AND(regexMatch(B513,".*#[0-9]*$"),ISNUMBER(SEARCH("#",B513))),CONCATENATE(TRIM(F513)," #",G513),B513)</f>
        <v>CCTV Camera #4</v>
      </c>
    </row>
    <row r="514" spans="1:8" ht="15.75" thickBot="1" x14ac:dyDescent="0.3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>IF(ISNUMBER(SEARCH("#",B514)), LEFT(B514,FIND("#",B514)-1), B514)</f>
        <v xml:space="preserve">CCTV Camera </v>
      </c>
      <c r="G514" s="26">
        <f>G513+1</f>
        <v>5</v>
      </c>
      <c r="H514" t="str">
        <f>IF(AND(regexMatch(B514,".*#[0-9]*$"),ISNUMBER(SEARCH("#",B514))),CONCATENATE(TRIM(F514)," #",G514),B514)</f>
        <v>CCTV Camera #5</v>
      </c>
    </row>
    <row r="515" spans="1:8" ht="15.75" thickBot="1" x14ac:dyDescent="0.3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>IF(ISNUMBER(SEARCH("#",B515)), LEFT(B515,FIND("#",B515)-1), B515)</f>
        <v xml:space="preserve">CCTV Camera </v>
      </c>
      <c r="G515" s="26">
        <f>G514+1</f>
        <v>6</v>
      </c>
      <c r="H515" t="str">
        <f>IF(AND(regexMatch(B515,".*#[0-9]*$"),ISNUMBER(SEARCH("#",B515))),CONCATENATE(TRIM(F515)," #",G515),B515)</f>
        <v>CCTV Camera #6</v>
      </c>
    </row>
    <row r="516" spans="1:8" ht="15.75" thickBot="1" x14ac:dyDescent="0.3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>IF(ISNUMBER(SEARCH("#",B516)), LEFT(B516,FIND("#",B516)-1), B516)</f>
        <v xml:space="preserve">CCTV Camera </v>
      </c>
      <c r="G516" s="26">
        <f>G515+1</f>
        <v>7</v>
      </c>
      <c r="H516" t="str">
        <f>IF(AND(regexMatch(B516,".*#[0-9]*$"),ISNUMBER(SEARCH("#",B516))),CONCATENATE(TRIM(F516)," #",G516),B516)</f>
        <v>CCTV Camera #7</v>
      </c>
    </row>
    <row r="517" spans="1:8" ht="15.75" thickBot="1" x14ac:dyDescent="0.3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>IF(ISNUMBER(SEARCH("#",B517)), LEFT(B517,FIND("#",B517)-1), B517)</f>
        <v xml:space="preserve">CCTV Camera </v>
      </c>
      <c r="G517" s="26">
        <f>G516+1</f>
        <v>8</v>
      </c>
      <c r="H517" t="str">
        <f>IF(AND(regexMatch(B517,".*#[0-9]*$"),ISNUMBER(SEARCH("#",B517))),CONCATENATE(TRIM(F517)," #",G517),B517)</f>
        <v>CCTV Camera #8</v>
      </c>
    </row>
    <row r="518" spans="1:8" ht="15.75" thickBot="1" x14ac:dyDescent="0.3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>IF(ISNUMBER(SEARCH("#",B518)), LEFT(B518,FIND("#",B518)-1), B518)</f>
        <v xml:space="preserve">CCTV Camera </v>
      </c>
      <c r="G518" s="26">
        <f>G517+1</f>
        <v>9</v>
      </c>
      <c r="H518" t="str">
        <f>IF(AND(regexMatch(B518,".*#[0-9]*$"),ISNUMBER(SEARCH("#",B518))),CONCATENATE(TRIM(F518)," #",G518),B518)</f>
        <v>CCTV Camera #9</v>
      </c>
    </row>
    <row r="519" spans="1:8" ht="15.75" thickBot="1" x14ac:dyDescent="0.3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>IF(ISNUMBER(SEARCH("#",B519)), LEFT(B519,FIND("#",B519)-1), B519)</f>
        <v xml:space="preserve">CCTV Camera </v>
      </c>
      <c r="G519" s="26">
        <f>G518+1</f>
        <v>10</v>
      </c>
      <c r="H519" t="str">
        <f>IF(AND(regexMatch(B519,".*#[0-9]*$"),ISNUMBER(SEARCH("#",B519))),CONCATENATE(TRIM(F519)," #",G519),B519)</f>
        <v>CCTV Camera #10</v>
      </c>
    </row>
    <row r="520" spans="1:8" ht="15.75" thickBot="1" x14ac:dyDescent="0.3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>IF(ISNUMBER(SEARCH("#",B520)), LEFT(B520,FIND("#",B520)-1), B520)</f>
        <v xml:space="preserve">CCTV Camera </v>
      </c>
      <c r="G520" s="26">
        <f>G519+1</f>
        <v>11</v>
      </c>
      <c r="H520" t="str">
        <f>IF(AND(regexMatch(B520,".*#[0-9]*$"),ISNUMBER(SEARCH("#",B520))),CONCATENATE(TRIM(F520)," #",G520),B520)</f>
        <v>CCTV Camera #11</v>
      </c>
    </row>
    <row r="521" spans="1:8" ht="15.75" thickBot="1" x14ac:dyDescent="0.3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>IF(ISNUMBER(SEARCH("#",B521)), LEFT(B521,FIND("#",B521)-1), B521)</f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.75" thickBot="1" x14ac:dyDescent="0.3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>IF(ISNUMBER(SEARCH("#",B522)), LEFT(B522,FIND("#",B522)-1), B522)</f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.75" thickBot="1" x14ac:dyDescent="0.3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>IF(ISNUMBER(SEARCH("#",B523)), LEFT(B523,FIND("#",B523)-1), B523)</f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.75" thickBot="1" x14ac:dyDescent="0.3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>IF(ISNUMBER(SEARCH("#",B524)), LEFT(B524,FIND("#",B524)-1), B524)</f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.75" thickBot="1" x14ac:dyDescent="0.3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>IF(ISNUMBER(SEARCH("#",B525)), LEFT(B525,FIND("#",B525)-1), B525)</f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.75" thickBot="1" x14ac:dyDescent="0.3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>IF(ISNUMBER(SEARCH("#",B526)), LEFT(B526,FIND("#",B526)-1), B526)</f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.75" thickBot="1" x14ac:dyDescent="0.3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>IF(ISNUMBER(SEARCH("#",B527)), LEFT(B527,FIND("#",B527)-1), B527)</f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.75" thickBot="1" x14ac:dyDescent="0.3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>IF(ISNUMBER(SEARCH("#",B528)), LEFT(B528,FIND("#",B528)-1), B528)</f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.75" thickBot="1" x14ac:dyDescent="0.3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>IF(ISNUMBER(SEARCH("#",B529)), LEFT(B529,FIND("#",B529)-1), B529)</f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.75" thickBot="1" x14ac:dyDescent="0.3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>IF(ISNUMBER(SEARCH("#",B530)), LEFT(B530,FIND("#",B530)-1), B530)</f>
        <v xml:space="preserve">CCTV Monitors </v>
      </c>
      <c r="G530" s="26">
        <f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.75" thickBot="1" x14ac:dyDescent="0.3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>IF(ISNUMBER(SEARCH("#",B531)), LEFT(B531,FIND("#",B531)-1), B531)</f>
        <v xml:space="preserve">CCTV Monitors </v>
      </c>
      <c r="G531" s="26">
        <f>IF(ISNUMBER(SEARCH("#",B531)),VALUE(MID(B531,FIND("#",B531)+1,1000)),1)</f>
        <v>2</v>
      </c>
      <c r="H531" t="str">
        <f>IF(AND(regexMatch(B531,".*#[0-9]*$"),ISNUMBER(SEARCH("#",B531))),CONCATENATE(TRIM(F531)," #",G531),B531)</f>
        <v>CCTV Monitors #2</v>
      </c>
    </row>
    <row r="532" spans="1:8" ht="15.75" thickBot="1" x14ac:dyDescent="0.3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>IF(ISNUMBER(SEARCH("#",B532)), LEFT(B532,FIND("#",B532)-1), B532)</f>
        <v xml:space="preserve">CCTV Pole </v>
      </c>
      <c r="G532" s="26">
        <f>IF(ISNUMBER(SEARCH("#",B532)),VALUE(MID(B532,FIND("#",B532)+1,1000)),1)</f>
        <v>1</v>
      </c>
      <c r="H532" t="str">
        <f>IF(AND(regexMatch(B532,".*#[0-9]*$"),ISNUMBER(SEARCH("#",B532))),CONCATENATE(TRIM(F532)," #",G532),B532)</f>
        <v>CCTV Pole #1</v>
      </c>
    </row>
    <row r="533" spans="1:8" ht="15.75" thickBot="1" x14ac:dyDescent="0.3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>IF(ISNUMBER(SEARCH("#",B533)), LEFT(B533,FIND("#",B533)-1), B533)</f>
        <v xml:space="preserve">CCTV Pole </v>
      </c>
      <c r="G533" s="26">
        <f>IF(ISNUMBER(SEARCH("#",B533)),VALUE(MID(B533,FIND("#",B533)+1,1000)),1)</f>
        <v>2</v>
      </c>
      <c r="H533" t="str">
        <f>IF(AND(regexMatch(B533,".*#[0-9]*$"),ISNUMBER(SEARCH("#",B533))),CONCATENATE(TRIM(F533)," #",G533),B533)</f>
        <v>CCTV Pole #2</v>
      </c>
    </row>
    <row r="534" spans="1:8" ht="15.75" thickBot="1" x14ac:dyDescent="0.3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>IF(ISNUMBER(SEARCH("#",B534)), LEFT(B534,FIND("#",B534)-1), B534)</f>
        <v xml:space="preserve">CCTV Pole </v>
      </c>
      <c r="G534" s="26">
        <f>IF(ISNUMBER(SEARCH("#",B534)),VALUE(MID(B534,FIND("#",B534)+1,1000)),1)</f>
        <v>3</v>
      </c>
      <c r="H534" t="str">
        <f>IF(AND(regexMatch(B534,".*#[0-9]*$"),ISNUMBER(SEARCH("#",B534))),CONCATENATE(TRIM(F534)," #",G534),B534)</f>
        <v>CCTV Pole #3</v>
      </c>
    </row>
    <row r="535" spans="1:8" ht="15.75" thickBot="1" x14ac:dyDescent="0.3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>IF(ISNUMBER(SEARCH("#",B535)), LEFT(B535,FIND("#",B535)-1), B535)</f>
        <v xml:space="preserve">CCTV Pole </v>
      </c>
      <c r="G535" s="26">
        <f>IF(ISNUMBER(SEARCH("#",B535)),VALUE(MID(B535,FIND("#",B535)+1,1000)),1)</f>
        <v>4</v>
      </c>
      <c r="H535" t="str">
        <f>IF(AND(regexMatch(B535,".*#[0-9]*$"),ISNUMBER(SEARCH("#",B535))),CONCATENATE(TRIM(F535)," #",G535),B535)</f>
        <v>CCTV Pole #4</v>
      </c>
    </row>
    <row r="536" spans="1:8" ht="15.75" thickBot="1" x14ac:dyDescent="0.3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>IF(ISNUMBER(SEARCH("#",B536)), LEFT(B536,FIND("#",B536)-1), B536)</f>
        <v xml:space="preserve">CCTV Unit </v>
      </c>
      <c r="G536" s="26">
        <f>IF(ISNUMBER(SEARCH("#",B536)),VALUE(MID(B536,FIND("#",B536)+1,1000)),1)</f>
        <v>1</v>
      </c>
      <c r="H536" t="str">
        <f>IF(AND(regexMatch(B536,".*#[0-9]*$"),ISNUMBER(SEARCH("#",B536))),CONCATENATE(TRIM(F536)," #",G536),B536)</f>
        <v>CCTV Unit #1</v>
      </c>
    </row>
    <row r="537" spans="1:8" ht="15.75" thickBot="1" x14ac:dyDescent="0.3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>IF(ISNUMBER(SEARCH("#",B537)), LEFT(B537,FIND("#",B537)-1), B537)</f>
        <v>Door Bell</v>
      </c>
      <c r="G537" s="26">
        <f>IF(ISNUMBER(SEARCH("#",B537)),VALUE(MID(B537,FIND("#",B537)+1,1000)),1)</f>
        <v>1</v>
      </c>
      <c r="H537" t="str">
        <f>IF(AND(regexMatch(B537,".*#[0-9]*$"),ISNUMBER(SEARCH("#",B537))),CONCATENATE(TRIM(F537)," #",G537),B537)</f>
        <v>Door Bell</v>
      </c>
    </row>
    <row r="538" spans="1:8" ht="15.75" thickBot="1" x14ac:dyDescent="0.3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>IF(ISNUMBER(SEARCH("#",B538)), LEFT(B538,FIND("#",B538)-1), B538)</f>
        <v>Electric Heater</v>
      </c>
      <c r="G538" s="26">
        <f>IF(ISNUMBER(SEARCH("#",B538)),VALUE(MID(B538,FIND("#",B538)+1,1000)),1)</f>
        <v>1</v>
      </c>
      <c r="H538" t="str">
        <f>IF(AND(regexMatch(B538,".*#[0-9]*$"),ISNUMBER(SEARCH("#",B538))),CONCATENATE(TRIM(F538)," #",G538),B538)</f>
        <v>Electric Heater</v>
      </c>
    </row>
    <row r="539" spans="1:8" ht="15.75" thickBot="1" x14ac:dyDescent="0.3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>IF(ISNUMBER(SEARCH("#",B539)), LEFT(B539,FIND("#",B539)-1), B539)</f>
        <v xml:space="preserve">Electricity Substation </v>
      </c>
      <c r="G539" s="26">
        <f>IF(ISNUMBER(SEARCH("#",B539)),VALUE(MID(B539,FIND("#",B539)+1,1000)),1)</f>
        <v>1</v>
      </c>
      <c r="H539" t="str">
        <f>IF(AND(regexMatch(B539,".*#[0-9]*$"),ISNUMBER(SEARCH("#",B539))),CONCATENATE(TRIM(F539)," #",G539),B539)</f>
        <v>Electricity Substation #1</v>
      </c>
    </row>
    <row r="540" spans="1:8" ht="15.75" thickBot="1" x14ac:dyDescent="0.3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>IF(ISNUMBER(SEARCH("#",B540)), LEFT(B540,FIND("#",B540)-1), B540)</f>
        <v xml:space="preserve">Electricity Substation </v>
      </c>
      <c r="G540" s="26">
        <f>IF(ISNUMBER(SEARCH("#",B540)),VALUE(MID(B540,FIND("#",B540)+1,1000)),1)</f>
        <v>2</v>
      </c>
      <c r="H540" t="str">
        <f>IF(AND(regexMatch(B540,".*#[0-9]*$"),ISNUMBER(SEARCH("#",B540))),CONCATENATE(TRIM(F540)," #",G540),B540)</f>
        <v>Electricity Substation #2</v>
      </c>
    </row>
    <row r="541" spans="1:8" ht="15.75" thickBot="1" x14ac:dyDescent="0.3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>IF(ISNUMBER(SEARCH("#",B541)), LEFT(B541,FIND("#",B541)-1), B541)</f>
        <v xml:space="preserve">Electricity Substation </v>
      </c>
      <c r="G541" s="26">
        <f>IF(ISNUMBER(SEARCH("#",B541)),VALUE(MID(B541,FIND("#",B541)+1,1000)),1)</f>
        <v>3</v>
      </c>
      <c r="H541" t="str">
        <f>IF(AND(regexMatch(B541,".*#[0-9]*$"),ISNUMBER(SEARCH("#",B541))),CONCATENATE(TRIM(F541)," #",G541),B541)</f>
        <v>Electricity Substation #3</v>
      </c>
    </row>
    <row r="542" spans="1:8" ht="15.75" thickBot="1" x14ac:dyDescent="0.3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>IF(ISNUMBER(SEARCH("#",B542)), LEFT(B542,FIND("#",B542)-1), B542)</f>
        <v xml:space="preserve">Electricity Substation </v>
      </c>
      <c r="G542" s="26">
        <f>IF(ISNUMBER(SEARCH("#",B542)),VALUE(MID(B542,FIND("#",B542)+1,1000)),1)</f>
        <v>4</v>
      </c>
      <c r="H542" t="str">
        <f>IF(AND(regexMatch(B542,".*#[0-9]*$"),ISNUMBER(SEARCH("#",B542))),CONCATENATE(TRIM(F542)," #",G542),B542)</f>
        <v>Electricity Substation #4</v>
      </c>
    </row>
    <row r="543" spans="1:8" ht="15.75" thickBot="1" x14ac:dyDescent="0.3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>IF(ISNUMBER(SEARCH("#",B543)), LEFT(B543,FIND("#",B543)-1), B543)</f>
        <v xml:space="preserve">Electricity Substation </v>
      </c>
      <c r="G543" s="26">
        <f>IF(ISNUMBER(SEARCH("#",B543)),VALUE(MID(B543,FIND("#",B543)+1,1000)),1)</f>
        <v>5</v>
      </c>
      <c r="H543" t="str">
        <f>IF(AND(regexMatch(B543,".*#[0-9]*$"),ISNUMBER(SEARCH("#",B543))),CONCATENATE(TRIM(F543)," #",G543),B543)</f>
        <v>Electricity Substation #5</v>
      </c>
    </row>
    <row r="544" spans="1:8" ht="15.75" thickBot="1" x14ac:dyDescent="0.3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>IF(ISNUMBER(SEARCH("#",B544)), LEFT(B544,FIND("#",B544)-1), B544)</f>
        <v xml:space="preserve">Electricity Substation </v>
      </c>
      <c r="G544" s="26">
        <f>IF(ISNUMBER(SEARCH("#",B544)),VALUE(MID(B544,FIND("#",B544)+1,1000)),1)</f>
        <v>6</v>
      </c>
      <c r="H544" t="str">
        <f>IF(AND(regexMatch(B544,".*#[0-9]*$"),ISNUMBER(SEARCH("#",B544))),CONCATENATE(TRIM(F544)," #",G544),B544)</f>
        <v>Electricity Substation #6</v>
      </c>
    </row>
    <row r="545" spans="1:8" ht="15.75" thickBot="1" x14ac:dyDescent="0.3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>IF(ISNUMBER(SEARCH("#",B545)), LEFT(B545,FIND("#",B545)-1), B545)</f>
        <v xml:space="preserve">Electricity Substation </v>
      </c>
      <c r="G545" s="26">
        <f>IF(ISNUMBER(SEARCH("#",B545)),VALUE(MID(B545,FIND("#",B545)+1,1000)),1)</f>
        <v>7</v>
      </c>
      <c r="H545" t="str">
        <f>IF(AND(regexMatch(B545,".*#[0-9]*$"),ISNUMBER(SEARCH("#",B545))),CONCATENATE(TRIM(F545)," #",G545),B545)</f>
        <v>Electricity Substation #7</v>
      </c>
    </row>
    <row r="546" spans="1:8" ht="15.75" thickBot="1" x14ac:dyDescent="0.3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>IF(ISNUMBER(SEARCH("#",B546)), LEFT(B546,FIND("#",B546)-1), B546)</f>
        <v xml:space="preserve">Electricity Substation </v>
      </c>
      <c r="G546" s="26">
        <f>IF(ISNUMBER(SEARCH("#",B546)),VALUE(MID(B546,FIND("#",B546)+1,1000)),1)</f>
        <v>8</v>
      </c>
      <c r="H546" t="str">
        <f>IF(AND(regexMatch(B546,".*#[0-9]*$"),ISNUMBER(SEARCH("#",B546))),CONCATENATE(TRIM(F546)," #",G546),B546)</f>
        <v>Electricity Substation #8</v>
      </c>
    </row>
    <row r="547" spans="1:8" ht="15.75" thickBot="1" x14ac:dyDescent="0.3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>IF(ISNUMBER(SEARCH("#",B547)), LEFT(B547,FIND("#",B547)-1), B547)</f>
        <v xml:space="preserve">Electricity Substation </v>
      </c>
      <c r="G547" s="26">
        <f>IF(ISNUMBER(SEARCH("#",B547)),VALUE(MID(B547,FIND("#",B547)+1,1000)),1)</f>
        <v>9</v>
      </c>
      <c r="H547" t="str">
        <f>IF(AND(regexMatch(B547,".*#[0-9]*$"),ISNUMBER(SEARCH("#",B547))),CONCATENATE(TRIM(F547)," #",G547),B547)</f>
        <v>Electricity Substation #9</v>
      </c>
    </row>
    <row r="548" spans="1:8" ht="15.75" thickBot="1" x14ac:dyDescent="0.3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>IF(ISNUMBER(SEARCH("#",B548)), LEFT(B548,FIND("#",B548)-1), B548)</f>
        <v xml:space="preserve">Electricity Transformer </v>
      </c>
      <c r="G548" s="26">
        <f>IF(ISNUMBER(SEARCH("#",B548)),VALUE(MID(B548,FIND("#",B548)+1,1000)),1)</f>
        <v>1</v>
      </c>
      <c r="H548" t="str">
        <f>IF(AND(regexMatch(B548,".*#[0-9]*$"),ISNUMBER(SEARCH("#",B548))),CONCATENATE(TRIM(F548)," #",G548),B548)</f>
        <v>Electricity Transformer #1</v>
      </c>
    </row>
    <row r="549" spans="1:8" ht="15.75" thickBot="1" x14ac:dyDescent="0.3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>IF(ISNUMBER(SEARCH("#",B549)), LEFT(B549,FIND("#",B549)-1), B549)</f>
        <v xml:space="preserve">Electricity Transformer </v>
      </c>
      <c r="G549" s="26">
        <f>IF(ISNUMBER(SEARCH("#",B549)),VALUE(MID(B549,FIND("#",B549)+1,1000)),1)</f>
        <v>2</v>
      </c>
      <c r="H549" t="str">
        <f>IF(AND(regexMatch(B549,".*#[0-9]*$"),ISNUMBER(SEARCH("#",B549))),CONCATENATE(TRIM(F549)," #",G549),B549)</f>
        <v>Electricity Transformer #2</v>
      </c>
    </row>
    <row r="550" spans="1:8" ht="15.75" thickBot="1" x14ac:dyDescent="0.3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>IF(ISNUMBER(SEARCH("#",B550)), LEFT(B550,FIND("#",B550)-1), B550)</f>
        <v xml:space="preserve">Electricity Transformer </v>
      </c>
      <c r="G550" s="26">
        <f>IF(ISNUMBER(SEARCH("#",B550)),VALUE(MID(B550,FIND("#",B550)+1,1000)),1)</f>
        <v>3</v>
      </c>
      <c r="H550" t="str">
        <f>IF(AND(regexMatch(B550,".*#[0-9]*$"),ISNUMBER(SEARCH("#",B550))),CONCATENATE(TRIM(F550)," #",G550),B550)</f>
        <v>Electricity Transformer #3</v>
      </c>
    </row>
    <row r="551" spans="1:8" ht="15.75" thickBot="1" x14ac:dyDescent="0.3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>IF(ISNUMBER(SEARCH("#",B551)), LEFT(B551,FIND("#",B551)-1), B551)</f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.75" thickBot="1" x14ac:dyDescent="0.3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>IF(ISNUMBER(SEARCH("#",B552)), LEFT(B552,FIND("#",B552)-1), B552)</f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.75" thickBot="1" x14ac:dyDescent="0.3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>IF(ISNUMBER(SEARCH("#",B553)), LEFT(B553,FIND("#",B553)-1), B553)</f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.75" thickBot="1" x14ac:dyDescent="0.3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>IF(ISNUMBER(SEARCH("#",B554)), LEFT(B554,FIND("#",B554)-1), B554)</f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.75" thickBot="1" x14ac:dyDescent="0.3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>IF(ISNUMBER(SEARCH("#",B555)), LEFT(B555,FIND("#",B555)-1), B555)</f>
        <v>Fire Hose Box</v>
      </c>
      <c r="G555" s="26">
        <f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.75" thickBot="1" x14ac:dyDescent="0.3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>IF(ISNUMBER(SEARCH("#",B556)), LEFT(B556,FIND("#",B556)-1), B556)</f>
        <v>Gate Intercom</v>
      </c>
      <c r="G556" s="26">
        <f>IF(ISNUMBER(SEARCH("#",B556)),VALUE(MID(B556,FIND("#",B556)+1,1000)),1)</f>
        <v>1</v>
      </c>
      <c r="H556" t="str">
        <f>IF(AND(regexMatch(B556,".*#[0-9]*$"),ISNUMBER(SEARCH("#",B556))),CONCATENATE(TRIM(F556)," #",G556),B556)</f>
        <v>Gate Intercom</v>
      </c>
    </row>
    <row r="557" spans="1:8" ht="15.75" thickBot="1" x14ac:dyDescent="0.3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>IF(ISNUMBER(SEARCH("#",B557)), LEFT(B557,FIND("#",B557)-1), B557)</f>
        <v>Lift Overlay: Floor 1</v>
      </c>
      <c r="G557" s="26">
        <f>IF(ISNUMBER(SEARCH("#",B557)),VALUE(MID(B557,FIND("#",B557)+1,1000)),1)</f>
        <v>1</v>
      </c>
      <c r="H557" t="str">
        <f>IF(AND(regexMatch(B557,".*#[0-9]*$"),ISNUMBER(SEARCH("#",B557))),CONCATENATE(TRIM(F557)," #",G557),B557)</f>
        <v>Lift Overlay: Floor 1</v>
      </c>
    </row>
    <row r="558" spans="1:8" ht="15.75" thickBot="1" x14ac:dyDescent="0.3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>IF(ISNUMBER(SEARCH("#",B558)), LEFT(B558,FIND("#",B558)-1), B558)</f>
        <v>Lift Overlay: Floor 49</v>
      </c>
      <c r="G558" s="26">
        <f>IF(ISNUMBER(SEARCH("#",B558)),VALUE(MID(B558,FIND("#",B558)+1,1000)),1)</f>
        <v>1</v>
      </c>
      <c r="H558" t="str">
        <f>IF(AND(regexMatch(B558,".*#[0-9]*$"),ISNUMBER(SEARCH("#",B558))),CONCATENATE(TRIM(F558)," #",G558),B558)</f>
        <v>Lift Overlay: Floor 49</v>
      </c>
    </row>
    <row r="559" spans="1:8" ht="15.75" thickBot="1" x14ac:dyDescent="0.3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>IF(ISNUMBER(SEARCH("#",B559)), LEFT(B559,FIND("#",B559)-1), B559)</f>
        <v xml:space="preserve">Mail Box </v>
      </c>
      <c r="G559" s="26">
        <f>IF(ISNUMBER(SEARCH("#",B559)),VALUE(MID(B559,FIND("#",B559)+1,1000)),1)</f>
        <v>1</v>
      </c>
      <c r="H559" t="str">
        <f>IF(AND(regexMatch(B559,".*#[0-9]*$"),ISNUMBER(SEARCH("#",B559))),CONCATENATE(TRIM(F559)," #",G559),B559)</f>
        <v>Mail Box #1</v>
      </c>
    </row>
    <row r="560" spans="1:8" ht="15.75" thickBot="1" x14ac:dyDescent="0.3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>IF(ISNUMBER(SEARCH("#",B560)), LEFT(B560,FIND("#",B560)-1), B560)</f>
        <v xml:space="preserve">Mail Box </v>
      </c>
      <c r="G560" s="26">
        <f>IF(ISNUMBER(SEARCH("#",B560)),VALUE(MID(B560,FIND("#",B560)+1,1000)),1)</f>
        <v>2</v>
      </c>
      <c r="H560" t="str">
        <f>IF(AND(regexMatch(B560,".*#[0-9]*$"),ISNUMBER(SEARCH("#",B560))),CONCATENATE(TRIM(F560)," #",G560),B560)</f>
        <v>Mail Box #2</v>
      </c>
    </row>
    <row r="561" spans="1:8" ht="15.75" thickBot="1" x14ac:dyDescent="0.3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>IF(ISNUMBER(SEARCH("#",B561)), LEFT(B561,FIND("#",B561)-1), B561)</f>
        <v xml:space="preserve">Mail Box </v>
      </c>
      <c r="G561" s="26">
        <f>IF(ISNUMBER(SEARCH("#",B561)),VALUE(MID(B561,FIND("#",B561)+1,1000)),1)</f>
        <v>3</v>
      </c>
      <c r="H561" t="str">
        <f>IF(AND(regexMatch(B561,".*#[0-9]*$"),ISNUMBER(SEARCH("#",B561))),CONCATENATE(TRIM(F561)," #",G561),B561)</f>
        <v>Mail Box #3</v>
      </c>
    </row>
    <row r="562" spans="1:8" ht="15.75" thickBot="1" x14ac:dyDescent="0.3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>IF(ISNUMBER(SEARCH("#",B562)), LEFT(B562,FIND("#",B562)-1), B562)</f>
        <v>Medical Station Box</v>
      </c>
      <c r="G562" s="26">
        <f>IF(ISNUMBER(SEARCH("#",B562)),VALUE(MID(B562,FIND("#",B562)+1,1000)),1)</f>
        <v>1</v>
      </c>
      <c r="H562" t="str">
        <f>IF(AND(regexMatch(B562,".*#[0-9]*$"),ISNUMBER(SEARCH("#",B562))),CONCATENATE(TRIM(F562)," #",G562),B562)</f>
        <v>Medical Station Box</v>
      </c>
    </row>
    <row r="563" spans="1:8" ht="15.75" thickBot="1" x14ac:dyDescent="0.3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>IF(ISNUMBER(SEARCH("#",B563)), LEFT(B563,FIND("#",B563)-1), B563)</f>
        <v>Outside Light</v>
      </c>
      <c r="G563" s="26">
        <f>IF(ISNUMBER(SEARCH("#",B563)),VALUE(MID(B563,FIND("#",B563)+1,1000)),1)</f>
        <v>1</v>
      </c>
      <c r="H563" t="str">
        <f>IF(AND(regexMatch(B563,".*#[0-9]*$"),ISNUMBER(SEARCH("#",B563))),CONCATENATE(TRIM(F563)," #",G563),B563)</f>
        <v>Outside Light</v>
      </c>
    </row>
    <row r="564" spans="1:8" ht="15.75" thickBot="1" x14ac:dyDescent="0.3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>IF(ISNUMBER(SEARCH("#",B564)), LEFT(B564,FIND("#",B564)-1), B564)</f>
        <v xml:space="preserve">Roof Vent </v>
      </c>
      <c r="G564" s="26">
        <f>IF(ISNUMBER(SEARCH("#",B564)),VALUE(MID(B564,FIND("#",B564)+1,1000)),1)</f>
        <v>1</v>
      </c>
      <c r="H564" t="str">
        <f>IF(AND(regexMatch(B564,".*#[0-9]*$"),ISNUMBER(SEARCH("#",B564))),CONCATENATE(TRIM(F564)," #",G564),B564)</f>
        <v>Roof Vent #1</v>
      </c>
    </row>
    <row r="565" spans="1:8" ht="15.75" thickBot="1" x14ac:dyDescent="0.3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>IF(ISNUMBER(SEARCH("#",B565)), LEFT(B565,FIND("#",B565)-1), B565)</f>
        <v xml:space="preserve">Roof Vent </v>
      </c>
      <c r="G565" s="26">
        <f>IF(ISNUMBER(SEARCH("#",B565)),VALUE(MID(B565,FIND("#",B565)+1,1000)),1)</f>
        <v>2</v>
      </c>
      <c r="H565" t="str">
        <f>IF(AND(regexMatch(B565,".*#[0-9]*$"),ISNUMBER(SEARCH("#",B565))),CONCATENATE(TRIM(F565)," #",G565),B565)</f>
        <v>Roof Vent #2</v>
      </c>
    </row>
    <row r="566" spans="1:8" ht="15.75" thickBot="1" x14ac:dyDescent="0.3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>IF(ISNUMBER(SEARCH("#",B566)), LEFT(B566,FIND("#",B566)-1), B566)</f>
        <v xml:space="preserve">Satellite Dish </v>
      </c>
      <c r="G566" s="26">
        <f>IF(ISNUMBER(SEARCH("#",B566)),VALUE(MID(B566,FIND("#",B566)+1,1000)),1)</f>
        <v>1</v>
      </c>
      <c r="H566" t="str">
        <f>IF(AND(regexMatch(B566,".*#[0-9]*$"),ISNUMBER(SEARCH("#",B566))),CONCATENATE(TRIM(F566)," #",G566),B566)</f>
        <v>Satellite Dish #1</v>
      </c>
    </row>
    <row r="567" spans="1:8" ht="15.75" thickBot="1" x14ac:dyDescent="0.3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>IF(ISNUMBER(SEARCH("#",B567)), LEFT(B567,FIND("#",B567)-1), B567)</f>
        <v xml:space="preserve">Satellite Dish </v>
      </c>
      <c r="G567" s="26">
        <f>IF(ISNUMBER(SEARCH("#",B567)),VALUE(MID(B567,FIND("#",B567)+1,1000)),1)</f>
        <v>2</v>
      </c>
      <c r="H567" t="str">
        <f>IF(AND(regexMatch(B567,".*#[0-9]*$"),ISNUMBER(SEARCH("#",B567))),CONCATENATE(TRIM(F567)," #",G567),B567)</f>
        <v>Satellite Dish #2</v>
      </c>
    </row>
    <row r="568" spans="1:8" ht="15.75" thickBot="1" x14ac:dyDescent="0.3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>IF(ISNUMBER(SEARCH("#",B568)), LEFT(B568,FIND("#",B568)-1), B568)</f>
        <v xml:space="preserve">Satellite Dish </v>
      </c>
      <c r="G568" s="26">
        <f>IF(ISNUMBER(SEARCH("#",B568)),VALUE(MID(B568,FIND("#",B568)+1,1000)),1)</f>
        <v>3</v>
      </c>
      <c r="H568" t="str">
        <f>IF(AND(regexMatch(B568,".*#[0-9]*$"),ISNUMBER(SEARCH("#",B568))),CONCATENATE(TRIM(F568)," #",G568),B568)</f>
        <v>Satellite Dish #3</v>
      </c>
    </row>
    <row r="569" spans="1:8" ht="15.75" thickBot="1" x14ac:dyDescent="0.3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>IF(ISNUMBER(SEARCH("#",B569)), LEFT(B569,FIND("#",B569)-1), B569)</f>
        <v xml:space="preserve">Satellite Dish </v>
      </c>
      <c r="G569" s="26">
        <f>IF(ISNUMBER(SEARCH("#",B569)),VALUE(MID(B569,FIND("#",B569)+1,1000)),1)</f>
        <v>4</v>
      </c>
      <c r="H569" t="str">
        <f>IF(AND(regexMatch(B569,".*#[0-9]*$"),ISNUMBER(SEARCH("#",B569))),CONCATENATE(TRIM(F569)," #",G569),B569)</f>
        <v>Satellite Dish #4</v>
      </c>
    </row>
    <row r="570" spans="1:8" ht="15.75" thickBot="1" x14ac:dyDescent="0.3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>IF(ISNUMBER(SEARCH("#",B570)), LEFT(B570,FIND("#",B570)-1), B570)</f>
        <v xml:space="preserve">Satellite Dish </v>
      </c>
      <c r="G570" s="26">
        <f>IF(ISNUMBER(SEARCH("#",B570)),VALUE(MID(B570,FIND("#",B570)+1,1000)),1)</f>
        <v>5</v>
      </c>
      <c r="H570" t="str">
        <f>IF(AND(regexMatch(B570,".*#[0-9]*$"),ISNUMBER(SEARCH("#",B570))),CONCATENATE(TRIM(F570)," #",G570),B570)</f>
        <v>Satellite Dish #5</v>
      </c>
    </row>
    <row r="571" spans="1:8" ht="15.75" thickBot="1" x14ac:dyDescent="0.3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>IF(ISNUMBER(SEARCH("#",B571)), LEFT(B571,FIND("#",B571)-1), B571)</f>
        <v xml:space="preserve">Satellite Dish </v>
      </c>
      <c r="G571" s="26">
        <f>G570+1</f>
        <v>6</v>
      </c>
      <c r="H571" t="str">
        <f>IF(AND(regexMatch(B571,".*#[0-9]*$"),ISNUMBER(SEARCH("#",B571))),CONCATENATE(TRIM(F571)," #",G571),B571)</f>
        <v>Satellite Dish #6</v>
      </c>
    </row>
    <row r="572" spans="1:8" ht="15.75" thickBot="1" x14ac:dyDescent="0.3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>IF(ISNUMBER(SEARCH("#",B572)), LEFT(B572,FIND("#",B572)-1), B572)</f>
        <v xml:space="preserve">Satellite Dish </v>
      </c>
      <c r="G572" s="26">
        <f>G571+1</f>
        <v>7</v>
      </c>
      <c r="H572" t="str">
        <f>IF(AND(regexMatch(B572,".*#[0-9]*$"),ISNUMBER(SEARCH("#",B572))),CONCATENATE(TRIM(F572)," #",G572),B572)</f>
        <v>Satellite Dish #7</v>
      </c>
    </row>
    <row r="573" spans="1:8" ht="15.75" thickBot="1" x14ac:dyDescent="0.3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>IF(ISNUMBER(SEARCH("#",B573)), LEFT(B573,FIND("#",B573)-1), B573)</f>
        <v xml:space="preserve">Satellite Dish </v>
      </c>
      <c r="G573" s="26">
        <f>G572+1</f>
        <v>8</v>
      </c>
      <c r="H573" t="str">
        <f>IF(AND(regexMatch(B573,".*#[0-9]*$"),ISNUMBER(SEARCH("#",B573))),CONCATENATE(TRIM(F573)," #",G573),B573)</f>
        <v>Satellite Dish #8</v>
      </c>
    </row>
    <row r="574" spans="1:8" ht="15.75" thickBot="1" x14ac:dyDescent="0.3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>IF(ISNUMBER(SEARCH("#",B574)), LEFT(B574,FIND("#",B574)-1), B574)</f>
        <v xml:space="preserve">Satellite Dish </v>
      </c>
      <c r="G574" s="26">
        <f>G573+1</f>
        <v>9</v>
      </c>
      <c r="H574" t="str">
        <f>IF(AND(regexMatch(B574,".*#[0-9]*$"),ISNUMBER(SEARCH("#",B574))),CONCATENATE(TRIM(F574)," #",G574),B574)</f>
        <v>Satellite Dish #9</v>
      </c>
    </row>
    <row r="575" spans="1:8" ht="15.75" thickBot="1" x14ac:dyDescent="0.3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>IF(ISNUMBER(SEARCH("#",B575)), LEFT(B575,FIND("#",B575)-1), B575)</f>
        <v xml:space="preserve">Satellite Dish </v>
      </c>
      <c r="G575" s="26">
        <f>G574+1</f>
        <v>10</v>
      </c>
      <c r="H575" t="str">
        <f>IF(AND(regexMatch(B575,".*#[0-9]*$"),ISNUMBER(SEARCH("#",B575))),CONCATENATE(TRIM(F575)," #",G575),B575)</f>
        <v>Satellite Dish #10</v>
      </c>
    </row>
    <row r="576" spans="1:8" ht="15.75" thickBot="1" x14ac:dyDescent="0.3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>IF(ISNUMBER(SEARCH("#",B576)), LEFT(B576,FIND("#",B576)-1), B576)</f>
        <v xml:space="preserve">Satellite Dish </v>
      </c>
      <c r="G576" s="26">
        <f>G575+1</f>
        <v>11</v>
      </c>
      <c r="H576" t="str">
        <f>IF(AND(regexMatch(B576,".*#[0-9]*$"),ISNUMBER(SEARCH("#",B576))),CONCATENATE(TRIM(F576)," #",G576),B576)</f>
        <v>Satellite Dish #11</v>
      </c>
    </row>
    <row r="577" spans="1:8" ht="15.75" thickBot="1" x14ac:dyDescent="0.3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>IF(ISNUMBER(SEARCH("#",B577)), LEFT(B577,FIND("#",B577)-1), B577)</f>
        <v>Satellite Dish Exterior</v>
      </c>
      <c r="G577" s="26">
        <f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.75" thickBot="1" x14ac:dyDescent="0.3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>IF(ISNUMBER(SEARCH("#",B578)), LEFT(B578,FIND("#",B578)-1), B578)</f>
        <v>Satellite Dish Large Roof</v>
      </c>
      <c r="G578" s="26">
        <f>IF(ISNUMBER(SEARCH("#",B578)),VALUE(MID(B578,FIND("#",B578)+1,1000)),1)</f>
        <v>1</v>
      </c>
      <c r="H578" t="str">
        <f>IF(AND(regexMatch(B578,".*#[0-9]*$"),ISNUMBER(SEARCH("#",B578))),CONCATENATE(TRIM(F578)," #",G578),B578)</f>
        <v>Satellite Dish Large Roof</v>
      </c>
    </row>
    <row r="579" spans="1:8" ht="15.75" thickBot="1" x14ac:dyDescent="0.3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>IF(ISNUMBER(SEARCH("#",B579)), LEFT(B579,FIND("#",B579)-1), B579)</f>
        <v xml:space="preserve">Security Light </v>
      </c>
      <c r="G579" s="26">
        <f>IF(ISNUMBER(SEARCH("#",B579)),VALUE(MID(B579,FIND("#",B579)+1,1000)),1)</f>
        <v>1</v>
      </c>
      <c r="H579" t="str">
        <f>IF(AND(regexMatch(B579,".*#[0-9]*$"),ISNUMBER(SEARCH("#",B579))),CONCATENATE(TRIM(F579)," #",G579),B579)</f>
        <v>Security Light #1</v>
      </c>
    </row>
    <row r="580" spans="1:8" ht="15.75" thickBot="1" x14ac:dyDescent="0.3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>IF(ISNUMBER(SEARCH("#",B580)), LEFT(B580,FIND("#",B580)-1), B580)</f>
        <v xml:space="preserve">Security Light </v>
      </c>
      <c r="G580" s="26">
        <f>IF(ISNUMBER(SEARCH("#",B580)),VALUE(MID(B580,FIND("#",B580)+1,1000)),1)</f>
        <v>2</v>
      </c>
      <c r="H580" t="str">
        <f>IF(AND(regexMatch(B580,".*#[0-9]*$"),ISNUMBER(SEARCH("#",B580))),CONCATENATE(TRIM(F580)," #",G580),B580)</f>
        <v>Security Light #2</v>
      </c>
    </row>
    <row r="581" spans="1:8" ht="15.75" thickBot="1" x14ac:dyDescent="0.3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>IF(ISNUMBER(SEARCH("#",B581)), LEFT(B581,FIND("#",B581)-1), B581)</f>
        <v xml:space="preserve">Security Light </v>
      </c>
      <c r="G581" s="26">
        <f>IF(ISNUMBER(SEARCH("#",B581)),VALUE(MID(B581,FIND("#",B581)+1,1000)),1)</f>
        <v>3</v>
      </c>
      <c r="H581" t="str">
        <f>IF(AND(regexMatch(B581,".*#[0-9]*$"),ISNUMBER(SEARCH("#",B581))),CONCATENATE(TRIM(F581)," #",G581),B581)</f>
        <v>Security Light #3</v>
      </c>
    </row>
    <row r="582" spans="1:8" ht="15.75" thickBot="1" x14ac:dyDescent="0.3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>IF(ISNUMBER(SEARCH("#",B582)), LEFT(B582,FIND("#",B582)-1), B582)</f>
        <v xml:space="preserve">Security Light </v>
      </c>
      <c r="G582" s="26">
        <f>IF(ISNUMBER(SEARCH("#",B582)),VALUE(MID(B582,FIND("#",B582)+1,1000)),1)</f>
        <v>4</v>
      </c>
      <c r="H582" t="str">
        <f>IF(AND(regexMatch(B582,".*#[0-9]*$"),ISNUMBER(SEARCH("#",B582))),CONCATENATE(TRIM(F582)," #",G582),B582)</f>
        <v>Security Light #4</v>
      </c>
    </row>
    <row r="583" spans="1:8" ht="15.75" thickBot="1" x14ac:dyDescent="0.3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>IF(ISNUMBER(SEARCH("#",B583)), LEFT(B583,FIND("#",B583)-1), B583)</f>
        <v>Tannoy Speaker</v>
      </c>
      <c r="G583" s="26">
        <f>IF(ISNUMBER(SEARCH("#",B583)),VALUE(MID(B583,FIND("#",B583)+1,1000)),1)</f>
        <v>1</v>
      </c>
      <c r="H583" t="str">
        <f>IF(AND(regexMatch(B583,".*#[0-9]*$"),ISNUMBER(SEARCH("#",B583))),CONCATENATE(TRIM(F583)," #",G583),B583)</f>
        <v>Tannoy Speaker</v>
      </c>
    </row>
    <row r="584" spans="1:8" ht="15.75" thickBot="1" x14ac:dyDescent="0.3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>IF(ISNUMBER(SEARCH("#",B584)), LEFT(B584,FIND("#",B584)-1), B584)</f>
        <v>Test Elevator</v>
      </c>
      <c r="G584" s="26">
        <f>IF(ISNUMBER(SEARCH("#",B584)),VALUE(MID(B584,FIND("#",B584)+1,1000)),1)</f>
        <v>1</v>
      </c>
      <c r="H584" t="str">
        <f>IF(AND(regexMatch(B584,".*#[0-9]*$"),ISNUMBER(SEARCH("#",B584))),CONCATENATE(TRIM(F584)," #",G584),B584)</f>
        <v>Test Elevator</v>
      </c>
    </row>
    <row r="585" spans="1:8" ht="15.75" thickBot="1" x14ac:dyDescent="0.3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>IF(ISNUMBER(SEARCH("#",B585)), LEFT(B585,FIND("#",B585)-1), B585)</f>
        <v>Test Elevator Door L</v>
      </c>
      <c r="G585" s="26">
        <f>IF(ISNUMBER(SEARCH("#",B585)),VALUE(MID(B585,FIND("#",B585)+1,1000)),1)</f>
        <v>1</v>
      </c>
      <c r="H585" t="str">
        <f>IF(AND(regexMatch(B585,".*#[0-9]*$"),ISNUMBER(SEARCH("#",B585))),CONCATENATE(TRIM(F585)," #",G585),B585)</f>
        <v>Test Elevator Door L</v>
      </c>
    </row>
    <row r="586" spans="1:8" ht="15.75" thickBot="1" x14ac:dyDescent="0.3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>IF(ISNUMBER(SEARCH("#",B586)), LEFT(B586,FIND("#",B586)-1), B586)</f>
        <v>Test Elevator Door R</v>
      </c>
      <c r="G586" s="26">
        <f>IF(ISNUMBER(SEARCH("#",B586)),VALUE(MID(B586,FIND("#",B586)+1,1000)),1)</f>
        <v>1</v>
      </c>
      <c r="H586" t="str">
        <f>IF(AND(regexMatch(B586,".*#[0-9]*$"),ISNUMBER(SEARCH("#",B586))),CONCATENATE(TRIM(F586)," #",G586),B586)</f>
        <v>Test Elevator Door R</v>
      </c>
    </row>
    <row r="587" spans="1:8" ht="15.75" thickBot="1" x14ac:dyDescent="0.3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>IF(ISNUMBER(SEARCH("#",B587)), LEFT(B587,FIND("#",B587)-1), B587)</f>
        <v>Trevor Trailer Porch</v>
      </c>
      <c r="G587" s="26">
        <f>IF(ISNUMBER(SEARCH("#",B587)),VALUE(MID(B587,FIND("#",B587)+1,1000)),1)</f>
        <v>1</v>
      </c>
      <c r="H587" t="str">
        <f>IF(AND(regexMatch(B587,".*#[0-9]*$"),ISNUMBER(SEARCH("#",B587))),CONCATENATE(TRIM(F587)," #",G587),B587)</f>
        <v>Trevor Trailer Porch</v>
      </c>
    </row>
    <row r="588" spans="1:8" ht="15.75" thickBot="1" x14ac:dyDescent="0.3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>IF(ISNUMBER(SEARCH("#",B588)), LEFT(B588,FIND("#",B588)-1), B588)</f>
        <v>Up/Down Switch</v>
      </c>
      <c r="G588" s="26">
        <f>IF(ISNUMBER(SEARCH("#",B588)),VALUE(MID(B588,FIND("#",B588)+1,1000)),1)</f>
        <v>1</v>
      </c>
      <c r="H588" t="str">
        <f>IF(AND(regexMatch(B588,".*#[0-9]*$"),ISNUMBER(SEARCH("#",B588))),CONCATENATE(TRIM(F588)," #",G588),B588)</f>
        <v>Up/Down Switch</v>
      </c>
    </row>
    <row r="589" spans="1:8" ht="15.75" thickBot="1" x14ac:dyDescent="0.3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>IF(ISNUMBER(SEARCH("#",B589)), LEFT(B589,FIND("#",B589)-1), B589)</f>
        <v>Valve</v>
      </c>
      <c r="G589" s="26">
        <f>IF(ISNUMBER(SEARCH("#",B589)),VALUE(MID(B589,FIND("#",B589)+1,1000)),1)</f>
        <v>1</v>
      </c>
      <c r="H589" t="str">
        <f>IF(AND(regexMatch(B589,".*#[0-9]*$"),ISNUMBER(SEARCH("#",B589))),CONCATENATE(TRIM(F589)," #",G589),B589)</f>
        <v>Valve</v>
      </c>
    </row>
    <row r="590" spans="1:8" ht="15.75" thickBot="1" x14ac:dyDescent="0.3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>IF(ISNUMBER(SEARCH("#",B590)), LEFT(B590,FIND("#",B590)-1), B590)</f>
        <v>Vent Cover</v>
      </c>
      <c r="G590" s="26">
        <f>IF(ISNUMBER(SEARCH("#",B590)),VALUE(MID(B590,FIND("#",B590)+1,1000)),1)</f>
        <v>1</v>
      </c>
      <c r="H590" t="str">
        <f>IF(AND(regexMatch(B590,".*#[0-9]*$"),ISNUMBER(SEARCH("#",B590))),CONCATENATE(TRIM(F590)," #",G590),B590)</f>
        <v>Vent Cover</v>
      </c>
    </row>
    <row r="591" spans="1:8" ht="15.75" thickBot="1" x14ac:dyDescent="0.3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>IF(ISNUMBER(SEARCH("#",B591)), LEFT(B591,FIND("#",B591)-1), B591)</f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.75" thickBot="1" x14ac:dyDescent="0.3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>IF(ISNUMBER(SEARCH("#",B592)), LEFT(B592,FIND("#",B592)-1), B592)</f>
        <v xml:space="preserve">Wall Light </v>
      </c>
      <c r="G592" s="26">
        <f>G591+1</f>
        <v>2</v>
      </c>
      <c r="H592" t="str">
        <f>IF(AND(regexMatch(B592,".*#[0-9]*$"),ISNUMBER(SEARCH("#",B592))),CONCATENATE(TRIM(F592)," #",G592),B592)</f>
        <v>Wall Light #2</v>
      </c>
    </row>
    <row r="593" spans="1:8" ht="15.75" thickBot="1" x14ac:dyDescent="0.3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>IF(ISNUMBER(SEARCH("#",B593)), LEFT(B593,FIND("#",B593)-1), B593)</f>
        <v xml:space="preserve">Wall Light </v>
      </c>
      <c r="G593" s="26">
        <f>G592+1</f>
        <v>3</v>
      </c>
      <c r="H593" t="str">
        <f>IF(AND(regexMatch(B593,".*#[0-9]*$"),ISNUMBER(SEARCH("#",B593))),CONCATENATE(TRIM(F593)," #",G593),B593)</f>
        <v>Wall Light #3</v>
      </c>
    </row>
    <row r="594" spans="1:8" ht="15.75" thickBot="1" x14ac:dyDescent="0.3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>IF(ISNUMBER(SEARCH("#",B594)), LEFT(B594,FIND("#",B594)-1), B594)</f>
        <v xml:space="preserve">Wall Light </v>
      </c>
      <c r="G594" s="26">
        <f>G593+1</f>
        <v>4</v>
      </c>
      <c r="H594" t="str">
        <f>IF(AND(regexMatch(B594,".*#[0-9]*$"),ISNUMBER(SEARCH("#",B594))),CONCATENATE(TRIM(F594)," #",G594),B594)</f>
        <v>Wall Light #4</v>
      </c>
    </row>
    <row r="595" spans="1:8" ht="15.75" thickBot="1" x14ac:dyDescent="0.3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>IF(ISNUMBER(SEARCH("#",B595)), LEFT(B595,FIND("#",B595)-1), B595)</f>
        <v xml:space="preserve">Wall Light </v>
      </c>
      <c r="G595" s="26">
        <f>G594+1</f>
        <v>5</v>
      </c>
      <c r="H595" t="str">
        <f>IF(AND(regexMatch(B595,".*#[0-9]*$"),ISNUMBER(SEARCH("#",B595))),CONCATENATE(TRIM(F595)," #",G595),B595)</f>
        <v>Wall Light #5</v>
      </c>
    </row>
    <row r="596" spans="1:8" ht="15.75" thickBot="1" x14ac:dyDescent="0.3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>IF(ISNUMBER(SEARCH("#",B596)), LEFT(B596,FIND("#",B596)-1), B596)</f>
        <v xml:space="preserve">Wall Light </v>
      </c>
      <c r="G596" s="26">
        <f>G595+1</f>
        <v>6</v>
      </c>
      <c r="H596" t="str">
        <f>IF(AND(regexMatch(B596,".*#[0-9]*$"),ISNUMBER(SEARCH("#",B596))),CONCATENATE(TRIM(F596)," #",G596),B596)</f>
        <v>Wall Light #6</v>
      </c>
    </row>
    <row r="597" spans="1:8" ht="15.75" thickBot="1" x14ac:dyDescent="0.3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>IF(ISNUMBER(SEARCH("#",B597)), LEFT(B597,FIND("#",B597)-1), B597)</f>
        <v xml:space="preserve">Wall Light </v>
      </c>
      <c r="G597" s="26">
        <f>G596+1</f>
        <v>7</v>
      </c>
      <c r="H597" t="str">
        <f>IF(AND(regexMatch(B597,".*#[0-9]*$"),ISNUMBER(SEARCH("#",B597))),CONCATENATE(TRIM(F597)," #",G597),B597)</f>
        <v>Wall Light #7</v>
      </c>
    </row>
    <row r="598" spans="1:8" ht="15.75" thickBot="1" x14ac:dyDescent="0.3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>IF(ISNUMBER(SEARCH("#",B598)), LEFT(B598,FIND("#",B598)-1), B598)</f>
        <v xml:space="preserve">Wall Light </v>
      </c>
      <c r="G598" s="26">
        <f>G597+1</f>
        <v>8</v>
      </c>
      <c r="H598" t="str">
        <f>IF(AND(regexMatch(B598,".*#[0-9]*$"),ISNUMBER(SEARCH("#",B598))),CONCATENATE(TRIM(F598)," #",G598),B598)</f>
        <v>Wall Light #8</v>
      </c>
    </row>
    <row r="599" spans="1:8" ht="15.75" thickBot="1" x14ac:dyDescent="0.3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>IF(ISNUMBER(SEARCH("#",B599)), LEFT(B599,FIND("#",B599)-1), B599)</f>
        <v xml:space="preserve">Wall Light </v>
      </c>
      <c r="G599" s="26">
        <f>G598+1</f>
        <v>9</v>
      </c>
      <c r="H599" t="str">
        <f>IF(AND(regexMatch(B599,".*#[0-9]*$"),ISNUMBER(SEARCH("#",B599))),CONCATENATE(TRIM(F599)," #",G599),B599)</f>
        <v>Wall Light #9</v>
      </c>
    </row>
    <row r="600" spans="1:8" ht="15.75" thickBot="1" x14ac:dyDescent="0.3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>IF(ISNUMBER(SEARCH("#",B600)), LEFT(B600,FIND("#",B600)-1), B600)</f>
        <v xml:space="preserve">Wall Light </v>
      </c>
      <c r="G600" s="26">
        <f>G599+1</f>
        <v>10</v>
      </c>
      <c r="H600" t="str">
        <f>IF(AND(regexMatch(B600,".*#[0-9]*$"),ISNUMBER(SEARCH("#",B600))),CONCATENATE(TRIM(F600)," #",G600),B600)</f>
        <v>Wall Light #10</v>
      </c>
    </row>
    <row r="601" spans="1:8" ht="15.75" thickBot="1" x14ac:dyDescent="0.3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>IF(ISNUMBER(SEARCH("#",B601)), LEFT(B601,FIND("#",B601)-1), B601)</f>
        <v xml:space="preserve">Wall Light </v>
      </c>
      <c r="G601" s="26">
        <f>G600+1</f>
        <v>11</v>
      </c>
      <c r="H601" t="str">
        <f>IF(AND(regexMatch(B601,".*#[0-9]*$"),ISNUMBER(SEARCH("#",B601))),CONCATENATE(TRIM(F601)," #",G601),B601)</f>
        <v>Wall Light #11</v>
      </c>
    </row>
    <row r="602" spans="1:8" ht="15.75" thickBot="1" x14ac:dyDescent="0.3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>IF(ISNUMBER(SEARCH("#",B602)), LEFT(B602,FIND("#",B602)-1), B602)</f>
        <v xml:space="preserve">Wall Light </v>
      </c>
      <c r="G602" s="26">
        <f>G601+1</f>
        <v>12</v>
      </c>
      <c r="H602" t="str">
        <f>IF(AND(regexMatch(B602,".*#[0-9]*$"),ISNUMBER(SEARCH("#",B602))),CONCATENATE(TRIM(F602)," #",G602),B602)</f>
        <v>Wall Light #12</v>
      </c>
    </row>
    <row r="603" spans="1:8" ht="15.75" thickBot="1" x14ac:dyDescent="0.3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>IF(ISNUMBER(SEARCH("#",B603)), LEFT(B603,FIND("#",B603)-1), B603)</f>
        <v xml:space="preserve">Wall Light </v>
      </c>
      <c r="G603" s="26">
        <f>G602+1</f>
        <v>13</v>
      </c>
      <c r="H603" t="str">
        <f>IF(AND(regexMatch(B603,".*#[0-9]*$"),ISNUMBER(SEARCH("#",B603))),CONCATENATE(TRIM(F603)," #",G603),B603)</f>
        <v>Wall Light #13</v>
      </c>
    </row>
    <row r="604" spans="1:8" ht="15.75" thickBot="1" x14ac:dyDescent="0.3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>IF(ISNUMBER(SEARCH("#",B604)), LEFT(B604,FIND("#",B604)-1), B604)</f>
        <v xml:space="preserve">Wall Light </v>
      </c>
      <c r="G604" s="26">
        <f>G603+1</f>
        <v>14</v>
      </c>
      <c r="H604" t="str">
        <f>IF(AND(regexMatch(B604,".*#[0-9]*$"),ISNUMBER(SEARCH("#",B604))),CONCATENATE(TRIM(F604)," #",G604),B604)</f>
        <v>Wall Light #14</v>
      </c>
    </row>
    <row r="605" spans="1:8" ht="15.75" thickBot="1" x14ac:dyDescent="0.3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>IF(ISNUMBER(SEARCH("#",B605)), LEFT(B605,FIND("#",B605)-1), B605)</f>
        <v xml:space="preserve">Wall Light </v>
      </c>
      <c r="G605" s="26">
        <f>G604+1</f>
        <v>15</v>
      </c>
      <c r="H605" t="str">
        <f>IF(AND(regexMatch(B605,".*#[0-9]*$"),ISNUMBER(SEARCH("#",B605))),CONCATENATE(TRIM(F605)," #",G605),B605)</f>
        <v>Wall Light #15</v>
      </c>
    </row>
    <row r="606" spans="1:8" ht="15.75" thickBot="1" x14ac:dyDescent="0.3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>IF(ISNUMBER(SEARCH("#",B606)), LEFT(B606,FIND("#",B606)-1), B606)</f>
        <v xml:space="preserve">Wall Light </v>
      </c>
      <c r="G606" s="26">
        <f>G605+1</f>
        <v>16</v>
      </c>
      <c r="H606" t="str">
        <f>IF(AND(regexMatch(B606,".*#[0-9]*$"),ISNUMBER(SEARCH("#",B606))),CONCATENATE(TRIM(F606)," #",G606),B606)</f>
        <v>Wall Light #16</v>
      </c>
    </row>
    <row r="607" spans="1:8" ht="15.75" thickBot="1" x14ac:dyDescent="0.3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>IF(ISNUMBER(SEARCH("#",B607)), LEFT(B607,FIND("#",B607)-1), B607)</f>
        <v xml:space="preserve">Wall Light </v>
      </c>
      <c r="G607" s="26">
        <f>G606+1</f>
        <v>17</v>
      </c>
      <c r="H607" t="str">
        <f>IF(AND(regexMatch(B607,".*#[0-9]*$"),ISNUMBER(SEARCH("#",B607))),CONCATENATE(TRIM(F607)," #",G607),B607)</f>
        <v>Wall Light #17</v>
      </c>
    </row>
    <row r="608" spans="1:8" ht="15.75" thickBot="1" x14ac:dyDescent="0.3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>IF(ISNUMBER(SEARCH("#",B608)), LEFT(B608,FIND("#",B608)-1), B608)</f>
        <v xml:space="preserve">Wall Light </v>
      </c>
      <c r="G608" s="26">
        <f>G607+1</f>
        <v>18</v>
      </c>
      <c r="H608" t="str">
        <f>IF(AND(regexMatch(B608,".*#[0-9]*$"),ISNUMBER(SEARCH("#",B608))),CONCATENATE(TRIM(F608)," #",G608),B608)</f>
        <v>Wall Light #18</v>
      </c>
    </row>
    <row r="609" spans="1:8" ht="15.75" thickBot="1" x14ac:dyDescent="0.3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>IF(ISNUMBER(SEARCH("#",B609)), LEFT(B609,FIND("#",B609)-1), B609)</f>
        <v xml:space="preserve">Wall Light </v>
      </c>
      <c r="G609" s="26">
        <f>G608+1</f>
        <v>19</v>
      </c>
      <c r="H609" t="str">
        <f>IF(AND(regexMatch(B609,".*#[0-9]*$"),ISNUMBER(SEARCH("#",B609))),CONCATENATE(TRIM(F609)," #",G609),B609)</f>
        <v>Wall Light #19</v>
      </c>
    </row>
    <row r="610" spans="1:8" ht="15.75" thickBot="1" x14ac:dyDescent="0.3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>IF(ISNUMBER(SEARCH("#",B610)), LEFT(B610,FIND("#",B610)-1), B610)</f>
        <v xml:space="preserve">Wall Light </v>
      </c>
      <c r="G610" s="26">
        <f>G609+1</f>
        <v>20</v>
      </c>
      <c r="H610" t="str">
        <f>IF(AND(regexMatch(B610,".*#[0-9]*$"),ISNUMBER(SEARCH("#",B610))),CONCATENATE(TRIM(F610)," #",G610),B610)</f>
        <v>Wall Light #20</v>
      </c>
    </row>
    <row r="611" spans="1:8" ht="15.75" thickBot="1" x14ac:dyDescent="0.3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>IF(ISNUMBER(SEARCH("#",B611)), LEFT(B611,FIND("#",B611)-1), B611)</f>
        <v xml:space="preserve">Wall Light </v>
      </c>
      <c r="G611" s="26">
        <f>G610+1</f>
        <v>21</v>
      </c>
      <c r="H611" t="str">
        <f>IF(AND(regexMatch(B611,".*#[0-9]*$"),ISNUMBER(SEARCH("#",B611))),CONCATENATE(TRIM(F611)," #",G611),B611)</f>
        <v>Wall Light #21</v>
      </c>
    </row>
    <row r="612" spans="1:8" ht="15.75" thickBot="1" x14ac:dyDescent="0.3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>IF(ISNUMBER(SEARCH("#",B612)), LEFT(B612,FIND("#",B612)-1), B612)</f>
        <v xml:space="preserve">Wall Light </v>
      </c>
      <c r="G612" s="26">
        <f>G611+1</f>
        <v>22</v>
      </c>
      <c r="H612" t="str">
        <f>IF(AND(regexMatch(B612,".*#[0-9]*$"),ISNUMBER(SEARCH("#",B612))),CONCATENATE(TRIM(F612)," #",G612),B612)</f>
        <v>Wall Light #22</v>
      </c>
    </row>
    <row r="613" spans="1:8" ht="15.75" thickBot="1" x14ac:dyDescent="0.3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>IF(ISNUMBER(SEARCH("#",B613)), LEFT(B613,FIND("#",B613)-1), B613)</f>
        <v xml:space="preserve">Wall Light </v>
      </c>
      <c r="G613" s="26">
        <f>G612+1</f>
        <v>23</v>
      </c>
      <c r="H613" t="str">
        <f>IF(AND(regexMatch(B613,".*#[0-9]*$"),ISNUMBER(SEARCH("#",B613))),CONCATENATE(TRIM(F613)," #",G613),B613)</f>
        <v>Wall Light #23</v>
      </c>
    </row>
    <row r="614" spans="1:8" ht="15.75" thickBot="1" x14ac:dyDescent="0.3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>IF(ISNUMBER(SEARCH("#",B614)), LEFT(B614,FIND("#",B614)-1), B614)</f>
        <v xml:space="preserve">Wall Light </v>
      </c>
      <c r="G614" s="26">
        <f>G613+1</f>
        <v>24</v>
      </c>
      <c r="H614" t="str">
        <f>IF(AND(regexMatch(B614,".*#[0-9]*$"),ISNUMBER(SEARCH("#",B614))),CONCATENATE(TRIM(F614)," #",G614),B614)</f>
        <v>Wall Light #24</v>
      </c>
    </row>
    <row r="615" spans="1:8" ht="15.75" thickBot="1" x14ac:dyDescent="0.3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>IF(ISNUMBER(SEARCH("#",B615)), LEFT(B615,FIND("#",B615)-1), B615)</f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.75" thickBot="1" x14ac:dyDescent="0.3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>IF(ISNUMBER(SEARCH("#",B616)), LEFT(B616,FIND("#",B616)-1), B616)</f>
        <v>Window Cleaning Cable</v>
      </c>
      <c r="G616" s="26">
        <f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.75" thickBot="1" x14ac:dyDescent="0.3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>IF(ISNUMBER(SEARCH("#",B617)), LEFT(B617,FIND("#",B617)-1), B617)</f>
        <v>Window Cleaning Platform</v>
      </c>
      <c r="G617" s="26">
        <f>IF(ISNUMBER(SEARCH("#",B617)),VALUE(MID(B617,FIND("#",B617)+1,1000)),1)</f>
        <v>1</v>
      </c>
      <c r="H617" t="str">
        <f>IF(AND(regexMatch(B617,".*#[0-9]*$"),ISNUMBER(SEARCH("#",B617))),CONCATENATE(TRIM(F617)," #",G617),B617)</f>
        <v>Window Cleaning Platform</v>
      </c>
    </row>
    <row r="618" spans="1:8" ht="15.75" thickBot="1" x14ac:dyDescent="0.3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>IF(ISNUMBER(SEARCH("#",B618)), LEFT(B618,FIND("#",B618)-1), B618)</f>
        <v>Window Cleaning Support</v>
      </c>
      <c r="G618" s="26">
        <f>IF(ISNUMBER(SEARCH("#",B618)),VALUE(MID(B618,FIND("#",B618)+1,1000)),1)</f>
        <v>1</v>
      </c>
      <c r="H618" t="str">
        <f>IF(AND(regexMatch(B618,".*#[0-9]*$"),ISNUMBER(SEARCH("#",B618))),CONCATENATE(TRIM(F618)," #",G618),B618)</f>
        <v>Window Cleaning Support</v>
      </c>
    </row>
    <row r="619" spans="1:8" ht="15.75" thickBot="1" x14ac:dyDescent="0.3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>IF(ISNUMBER(SEARCH("#",B619)), LEFT(B619,FIND("#",B619)-1), B619)</f>
        <v xml:space="preserve">Bleachers </v>
      </c>
      <c r="G619" s="26">
        <f>IF(ISNUMBER(SEARCH("#",B619)),VALUE(MID(B619,FIND("#",B619)+1,1000)),1)</f>
        <v>1</v>
      </c>
      <c r="H619" t="str">
        <f>IF(AND(regexMatch(B619,".*#[0-9]*$"),ISNUMBER(SEARCH("#",B619))),CONCATENATE(TRIM(F619)," #",G619),B619)</f>
        <v>Bleachers #1</v>
      </c>
    </row>
    <row r="620" spans="1:8" ht="15.75" thickBot="1" x14ac:dyDescent="0.3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>IF(ISNUMBER(SEARCH("#",B620)), LEFT(B620,FIND("#",B620)-1), B620)</f>
        <v xml:space="preserve">Bleachers </v>
      </c>
      <c r="G620" s="26">
        <f>IF(ISNUMBER(SEARCH("#",B620)),VALUE(MID(B620,FIND("#",B620)+1,1000)),1)</f>
        <v>2</v>
      </c>
      <c r="H620" t="str">
        <f>IF(AND(regexMatch(B620,".*#[0-9]*$"),ISNUMBER(SEARCH("#",B620))),CONCATENATE(TRIM(F620)," #",G620),B620)</f>
        <v>Bleachers #2</v>
      </c>
    </row>
    <row r="621" spans="1:8" ht="15.75" thickBot="1" x14ac:dyDescent="0.3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>IF(ISNUMBER(SEARCH("#",B621)), LEFT(B621,FIND("#",B621)-1), B621)</f>
        <v xml:space="preserve">Building Pillar </v>
      </c>
      <c r="G621" s="26">
        <f>IF(ISNUMBER(SEARCH("#",B621)),VALUE(MID(B621,FIND("#",B621)+1,1000)),1)</f>
        <v>1</v>
      </c>
      <c r="H621" t="str">
        <f>IF(AND(regexMatch(B621,".*#[0-9]*$"),ISNUMBER(SEARCH("#",B621))),CONCATENATE(TRIM(F621)," #",G621),B621)</f>
        <v>Building Pillar #1</v>
      </c>
    </row>
    <row r="622" spans="1:8" ht="15.75" thickBot="1" x14ac:dyDescent="0.3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>IF(ISNUMBER(SEARCH("#",B622)), LEFT(B622,FIND("#",B622)-1), B622)</f>
        <v xml:space="preserve">Building Pillar </v>
      </c>
      <c r="G622" s="26">
        <f>IF(ISNUMBER(SEARCH("#",B622)),VALUE(MID(B622,FIND("#",B622)+1,1000)),1)</f>
        <v>2</v>
      </c>
      <c r="H622" t="str">
        <f>IF(AND(regexMatch(B622,".*#[0-9]*$"),ISNUMBER(SEARCH("#",B622))),CONCATENATE(TRIM(F622)," #",G622),B622)</f>
        <v>Building Pillar #2</v>
      </c>
    </row>
    <row r="623" spans="1:8" ht="15.75" thickBot="1" x14ac:dyDescent="0.3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>IF(ISNUMBER(SEARCH("#",B623)), LEFT(B623,FIND("#",B623)-1), B623)</f>
        <v xml:space="preserve">Building Pillar </v>
      </c>
      <c r="G623" s="26">
        <f>IF(ISNUMBER(SEARCH("#",B623)),VALUE(MID(B623,FIND("#",B623)+1,1000)),1)</f>
        <v>3</v>
      </c>
      <c r="H623" t="str">
        <f>IF(AND(regexMatch(B623,".*#[0-9]*$"),ISNUMBER(SEARCH("#",B623))),CONCATENATE(TRIM(F623)," #",G623),B623)</f>
        <v>Building Pillar #3</v>
      </c>
    </row>
    <row r="624" spans="1:8" ht="15.75" thickBot="1" x14ac:dyDescent="0.3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>IF(ISNUMBER(SEARCH("#",B624)), LEFT(B624,FIND("#",B624)-1), B624)</f>
        <v xml:space="preserve">Building Pillar </v>
      </c>
      <c r="G624" s="26">
        <f>IF(ISNUMBER(SEARCH("#",B624)),VALUE(MID(B624,FIND("#",B624)+1,1000)),1)</f>
        <v>4</v>
      </c>
      <c r="H624" t="str">
        <f>IF(AND(regexMatch(B624,".*#[0-9]*$"),ISNUMBER(SEARCH("#",B624))),CONCATENATE(TRIM(F624)," #",G624),B624)</f>
        <v>Building Pillar #4</v>
      </c>
    </row>
    <row r="625" spans="1:8" ht="15.75" thickBot="1" x14ac:dyDescent="0.3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>IF(ISNUMBER(SEARCH("#",B625)), LEFT(B625,FIND("#",B625)-1), B625)</f>
        <v xml:space="preserve">Building Pillar </v>
      </c>
      <c r="G625" s="26">
        <f>IF(ISNUMBER(SEARCH("#",B625)),VALUE(MID(B625,FIND("#",B625)+1,1000)),1)</f>
        <v>5</v>
      </c>
      <c r="H625" t="str">
        <f>IF(AND(regexMatch(B625,".*#[0-9]*$"),ISNUMBER(SEARCH("#",B625))),CONCATENATE(TRIM(F625)," #",G625),B625)</f>
        <v>Building Pillar #5</v>
      </c>
    </row>
    <row r="626" spans="1:8" ht="15.75" thickBot="1" x14ac:dyDescent="0.3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>IF(ISNUMBER(SEARCH("#",B626)), LEFT(B626,FIND("#",B626)-1), B626)</f>
        <v xml:space="preserve">Building Pillar </v>
      </c>
      <c r="G626" s="26">
        <f>IF(ISNUMBER(SEARCH("#",B626)),VALUE(MID(B626,FIND("#",B626)+1,1000)),1)</f>
        <v>6</v>
      </c>
      <c r="H626" t="str">
        <f>IF(AND(regexMatch(B626,".*#[0-9]*$"),ISNUMBER(SEARCH("#",B626))),CONCATENATE(TRIM(F626)," #",G626),B626)</f>
        <v>Building Pillar #6</v>
      </c>
    </row>
    <row r="627" spans="1:8" ht="15.75" thickBot="1" x14ac:dyDescent="0.3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>IF(ISNUMBER(SEARCH("#",B627)), LEFT(B627,FIND("#",B627)-1), B627)</f>
        <v xml:space="preserve">Building Pillar </v>
      </c>
      <c r="G627" s="26">
        <f>IF(ISNUMBER(SEARCH("#",B627)),VALUE(MID(B627,FIND("#",B627)+1,1000)),1)</f>
        <v>7</v>
      </c>
      <c r="H627" t="str">
        <f>IF(AND(regexMatch(B627,".*#[0-9]*$"),ISNUMBER(SEARCH("#",B627))),CONCATENATE(TRIM(F627)," #",G627),B627)</f>
        <v>Building Pillar #7</v>
      </c>
    </row>
    <row r="628" spans="1:8" ht="15.75" thickBot="1" x14ac:dyDescent="0.3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>IF(ISNUMBER(SEARCH("#",B628)), LEFT(B628,FIND("#",B628)-1), B628)</f>
        <v xml:space="preserve">Building Pillar </v>
      </c>
      <c r="G628" s="26">
        <f>IF(ISNUMBER(SEARCH("#",B628)),VALUE(MID(B628,FIND("#",B628)+1,1000)),1)</f>
        <v>8</v>
      </c>
      <c r="H628" t="str">
        <f>IF(AND(regexMatch(B628,".*#[0-9]*$"),ISNUMBER(SEARCH("#",B628))),CONCATENATE(TRIM(F628)," #",G628),B628)</f>
        <v>Building Pillar #8</v>
      </c>
    </row>
    <row r="629" spans="1:8" ht="15.75" thickBot="1" x14ac:dyDescent="0.3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>IF(ISNUMBER(SEARCH("#",B629)), LEFT(B629,FIND("#",B629)-1), B629)</f>
        <v>Building Wall</v>
      </c>
      <c r="G629" s="26">
        <f>IF(ISNUMBER(SEARCH("#",B629)),VALUE(MID(B629,FIND("#",B629)+1,1000)),1)</f>
        <v>1</v>
      </c>
      <c r="H629" t="str">
        <f>IF(AND(regexMatch(B629,".*#[0-9]*$"),ISNUMBER(SEARCH("#",B629))),CONCATENATE(TRIM(F629)," #",G629),B629)</f>
        <v>Building Wall</v>
      </c>
    </row>
    <row r="630" spans="1:8" ht="15.75" thickBot="1" x14ac:dyDescent="0.3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>IF(ISNUMBER(SEARCH("#",B630)), LEFT(B630,FIND("#",B630)-1), B630)</f>
        <v>Concrete Pillar Corner</v>
      </c>
      <c r="G630" s="26">
        <f>IF(ISNUMBER(SEARCH("#",B630)),VALUE(MID(B630,FIND("#",B630)+1,1000)),1)</f>
        <v>1</v>
      </c>
      <c r="H630" t="str">
        <f>IF(AND(regexMatch(B630,".*#[0-9]*$"),ISNUMBER(SEARCH("#",B630))),CONCATENATE(TRIM(F630)," #",G630),B630)</f>
        <v>Concrete Pillar Corner</v>
      </c>
    </row>
    <row r="631" spans="1:8" ht="15.75" thickBot="1" x14ac:dyDescent="0.3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>IF(ISNUMBER(SEARCH("#",B631)), LEFT(B631,FIND("#",B631)-1), B631)</f>
        <v>FIB Corner Pillar</v>
      </c>
      <c r="G631" s="26">
        <f>IF(ISNUMBER(SEARCH("#",B631)),VALUE(MID(B631,FIND("#",B631)+1,1000)),1)</f>
        <v>1</v>
      </c>
      <c r="H631" t="str">
        <f>IF(AND(regexMatch(B631,".*#[0-9]*$"),ISNUMBER(SEARCH("#",B631))),CONCATENATE(TRIM(F631)," #",G631),B631)</f>
        <v>FIB Corner Pillar</v>
      </c>
    </row>
    <row r="632" spans="1:8" ht="15.75" thickBot="1" x14ac:dyDescent="0.3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>IF(ISNUMBER(SEARCH("#",B632)), LEFT(B632,FIND("#",B632)-1), B632)</f>
        <v xml:space="preserve">FIB Planter Box </v>
      </c>
      <c r="G632" s="26">
        <f>IF(ISNUMBER(SEARCH("#",B632)),VALUE(MID(B632,FIND("#",B632)+1,1000)),1)</f>
        <v>1</v>
      </c>
      <c r="H632" t="str">
        <f>IF(AND(regexMatch(B632,".*#[0-9]*$"),ISNUMBER(SEARCH("#",B632))),CONCATENATE(TRIM(F632)," #",G632),B632)</f>
        <v>FIB Planter Box #1</v>
      </c>
    </row>
    <row r="633" spans="1:8" ht="15.75" thickBot="1" x14ac:dyDescent="0.3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>IF(ISNUMBER(SEARCH("#",B633)), LEFT(B633,FIND("#",B633)-1), B633)</f>
        <v xml:space="preserve">FIB Planter Box </v>
      </c>
      <c r="G633" s="26">
        <f>IF(ISNUMBER(SEARCH("#",B633)),VALUE(MID(B633,FIND("#",B633)+1,1000)),1)</f>
        <v>2</v>
      </c>
      <c r="H633" t="str">
        <f>IF(AND(regexMatch(B633,".*#[0-9]*$"),ISNUMBER(SEARCH("#",B633))),CONCATENATE(TRIM(F633)," #",G633),B633)</f>
        <v>FIB Planter Box #2</v>
      </c>
    </row>
    <row r="634" spans="1:8" ht="15.75" thickBot="1" x14ac:dyDescent="0.3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>IF(ISNUMBER(SEARCH("#",B634)), LEFT(B634,FIND("#",B634)-1), B634)</f>
        <v xml:space="preserve">FIB Planter Box </v>
      </c>
      <c r="G634" s="26">
        <f>IF(ISNUMBER(SEARCH("#",B634)),VALUE(MID(B634,FIND("#",B634)+1,1000)),1)</f>
        <v>3</v>
      </c>
      <c r="H634" t="str">
        <f>IF(AND(regexMatch(B634,".*#[0-9]*$"),ISNUMBER(SEARCH("#",B634))),CONCATENATE(TRIM(F634)," #",G634),B634)</f>
        <v>FIB Planter Box #3</v>
      </c>
    </row>
    <row r="635" spans="1:8" ht="15.75" thickBot="1" x14ac:dyDescent="0.3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>IF(ISNUMBER(SEARCH("#",B635)), LEFT(B635,FIND("#",B635)-1), B635)</f>
        <v>FIB Wall Fragment</v>
      </c>
      <c r="G635" s="26">
        <f>IF(ISNUMBER(SEARCH("#",B635)),VALUE(MID(B635,FIND("#",B635)+1,1000)),1)</f>
        <v>1</v>
      </c>
      <c r="H635" t="str">
        <f>IF(AND(regexMatch(B635,".*#[0-9]*$"),ISNUMBER(SEARCH("#",B635))),CONCATENATE(TRIM(F635)," #",G635),B635)</f>
        <v>FIB Wall Fragment</v>
      </c>
    </row>
    <row r="636" spans="1:8" ht="15.75" thickBot="1" x14ac:dyDescent="0.3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>IF(ISNUMBER(SEARCH("#",B636)), LEFT(B636,FIND("#",B636)-1), B636)</f>
        <v xml:space="preserve">FIB Wall Section </v>
      </c>
      <c r="G636" s="26">
        <f>IF(ISNUMBER(SEARCH("#",B636)),VALUE(MID(B636,FIND("#",B636)+1,1000)),1)</f>
        <v>1</v>
      </c>
      <c r="H636" t="str">
        <f>IF(AND(regexMatch(B636,".*#[0-9]*$"),ISNUMBER(SEARCH("#",B636))),CONCATENATE(TRIM(F636)," #",G636),B636)</f>
        <v>FIB Wall Section #1</v>
      </c>
    </row>
    <row r="637" spans="1:8" ht="15.75" thickBot="1" x14ac:dyDescent="0.3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>IF(ISNUMBER(SEARCH("#",B637)), LEFT(B637,FIND("#",B637)-1), B637)</f>
        <v xml:space="preserve">FIB Wall Section </v>
      </c>
      <c r="G637" s="26">
        <f>IF(ISNUMBER(SEARCH("#",B637)),VALUE(MID(B637,FIND("#",B637)+1,1000)),1)</f>
        <v>2</v>
      </c>
      <c r="H637" t="str">
        <f>IF(AND(regexMatch(B637,".*#[0-9]*$"),ISNUMBER(SEARCH("#",B637))),CONCATENATE(TRIM(F637)," #",G637),B637)</f>
        <v>FIB Wall Section #2</v>
      </c>
    </row>
    <row r="638" spans="1:8" ht="15.75" thickBot="1" x14ac:dyDescent="0.3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>IF(ISNUMBER(SEARCH("#",B638)), LEFT(B638,FIND("#",B638)-1), B638)</f>
        <v xml:space="preserve">FIB Wall Section </v>
      </c>
      <c r="G638" s="26">
        <f>IF(ISNUMBER(SEARCH("#",B638)),VALUE(MID(B638,FIND("#",B638)+1,1000)),1)</f>
        <v>3</v>
      </c>
      <c r="H638" t="str">
        <f>IF(AND(regexMatch(B638,".*#[0-9]*$"),ISNUMBER(SEARCH("#",B638))),CONCATENATE(TRIM(F638)," #",G638),B638)</f>
        <v>FIB Wall Section #3</v>
      </c>
    </row>
    <row r="639" spans="1:8" ht="15.75" thickBot="1" x14ac:dyDescent="0.3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>IF(ISNUMBER(SEARCH("#",B639)), LEFT(B639,FIND("#",B639)-1), B639)</f>
        <v>Lab Doorway</v>
      </c>
      <c r="G639" s="26">
        <f>IF(ISNUMBER(SEARCH("#",B639)),VALUE(MID(B639,FIND("#",B639)+1,1000)),1)</f>
        <v>1</v>
      </c>
      <c r="H639" t="str">
        <f>IF(AND(regexMatch(B639,".*#[0-9]*$"),ISNUMBER(SEARCH("#",B639))),CONCATENATE(TRIM(F639)," #",G639),B639)</f>
        <v>Lab Doorway</v>
      </c>
    </row>
    <row r="640" spans="1:8" ht="15.75" thickBot="1" x14ac:dyDescent="0.3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>IF(ISNUMBER(SEARCH("#",B640)), LEFT(B640,FIND("#",B640)-1), B640)</f>
        <v>Lab Wall Corner</v>
      </c>
      <c r="G640" s="26">
        <f>IF(ISNUMBER(SEARCH("#",B640)),VALUE(MID(B640,FIND("#",B640)+1,1000)),1)</f>
        <v>1</v>
      </c>
      <c r="H640" t="str">
        <f>IF(AND(regexMatch(B640,".*#[0-9]*$"),ISNUMBER(SEARCH("#",B640))),CONCATENATE(TRIM(F640)," #",G640),B640)</f>
        <v>Lab Wall Corner</v>
      </c>
    </row>
    <row r="641" spans="1:8" ht="15.75" thickBot="1" x14ac:dyDescent="0.3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>IF(ISNUMBER(SEARCH("#",B641)), LEFT(B641,FIND("#",B641)-1), B641)</f>
        <v xml:space="preserve">Low Wall </v>
      </c>
      <c r="G641" s="26">
        <f>IF(ISNUMBER(SEARCH("#",B641)),VALUE(MID(B641,FIND("#",B641)+1,1000)),1)</f>
        <v>1</v>
      </c>
      <c r="H641" t="str">
        <f>IF(AND(regexMatch(B641,".*#[0-9]*$"),ISNUMBER(SEARCH("#",B641))),CONCATENATE(TRIM(F641)," #",G641),B641)</f>
        <v>Low Wall #1</v>
      </c>
    </row>
    <row r="642" spans="1:8" ht="15.75" thickBot="1" x14ac:dyDescent="0.3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>IF(ISNUMBER(SEARCH("#",B642)), LEFT(B642,FIND("#",B642)-1), B642)</f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.75" thickBot="1" x14ac:dyDescent="0.3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>IF(ISNUMBER(SEARCH("#",B643)), LEFT(B643,FIND("#",B643)-1), B643)</f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.75" thickBot="1" x14ac:dyDescent="0.3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>IF(ISNUMBER(SEARCH("#",B644)), LEFT(B644,FIND("#",B644)-1), B644)</f>
        <v xml:space="preserve">Low Wall </v>
      </c>
      <c r="G644" s="26" t="e">
        <f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.75" thickBot="1" x14ac:dyDescent="0.3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>IF(ISNUMBER(SEARCH("#",B645)), LEFT(B645,FIND("#",B645)-1), B645)</f>
        <v xml:space="preserve">Low Wall </v>
      </c>
      <c r="G645" s="26" t="e">
        <f>IF(ISNUMBER(SEARCH("#",B645)),VALUE(MID(B645,FIND("#",B645)+1,1000)),1)</f>
        <v>#VALUE!</v>
      </c>
      <c r="H645" t="str">
        <f>IF(AND(regexMatch(B645,".*#[0-9]*$"),ISNUMBER(SEARCH("#",B645))),CONCATENATE(TRIM(F645)," #",G645),B645)</f>
        <v>Low Wall #2 Short</v>
      </c>
    </row>
    <row r="646" spans="1:8" ht="15.75" thickBot="1" x14ac:dyDescent="0.3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>IF(ISNUMBER(SEARCH("#",B646)), LEFT(B646,FIND("#",B646)-1), B646)</f>
        <v xml:space="preserve">Low Wall </v>
      </c>
      <c r="G646" s="26" t="e">
        <f>IF(ISNUMBER(SEARCH("#",B646)),VALUE(MID(B646,FIND("#",B646)+1,1000)),1)</f>
        <v>#VALUE!</v>
      </c>
      <c r="H646" t="str">
        <f>IF(AND(regexMatch(B646,".*#[0-9]*$"),ISNUMBER(SEARCH("#",B646))),CONCATENATE(TRIM(F646)," #",G646),B646)</f>
        <v>Low Wall #2 Corner</v>
      </c>
    </row>
    <row r="647" spans="1:8" ht="15.75" thickBot="1" x14ac:dyDescent="0.3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>IF(ISNUMBER(SEARCH("#",B647)), LEFT(B647,FIND("#",B647)-1), B647)</f>
        <v xml:space="preserve">Low Wall </v>
      </c>
      <c r="G647" s="26" t="e">
        <f>IF(ISNUMBER(SEARCH("#",B647)),VALUE(MID(B647,FIND("#",B647)+1,1000)),1)</f>
        <v>#VALUE!</v>
      </c>
      <c r="H647" t="str">
        <f>IF(AND(regexMatch(B647,".*#[0-9]*$"),ISNUMBER(SEARCH("#",B647))),CONCATENATE(TRIM(F647)," #",G647),B647)</f>
        <v>Low Wall #2 Long</v>
      </c>
    </row>
    <row r="648" spans="1:8" ht="15.75" thickBot="1" x14ac:dyDescent="0.3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>IF(ISNUMBER(SEARCH("#",B648)), LEFT(B648,FIND("#",B648)-1), B648)</f>
        <v xml:space="preserve">Low Wall </v>
      </c>
      <c r="G648" s="26" t="e">
        <f>IF(ISNUMBER(SEARCH("#",B648)),VALUE(MID(B648,FIND("#",B648)+1,1000)),1)</f>
        <v>#VALUE!</v>
      </c>
      <c r="H648" t="str">
        <f>IF(AND(regexMatch(B648,".*#[0-9]*$"),ISNUMBER(SEARCH("#",B648))),CONCATENATE(TRIM(F648)," #",G648),B648)</f>
        <v>Low Wall #3 Long</v>
      </c>
    </row>
    <row r="649" spans="1:8" ht="15.75" thickBot="1" x14ac:dyDescent="0.3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>IF(ISNUMBER(SEARCH("#",B649)), LEFT(B649,FIND("#",B649)-1), B649)</f>
        <v xml:space="preserve">Low Wall </v>
      </c>
      <c r="G649" s="26" t="e">
        <f>IF(ISNUMBER(SEARCH("#",B649)),VALUE(MID(B649,FIND("#",B649)+1,1000)),1)</f>
        <v>#VALUE!</v>
      </c>
      <c r="H649" t="str">
        <f>IF(AND(regexMatch(B649,".*#[0-9]*$"),ISNUMBER(SEARCH("#",B649))),CONCATENATE(TRIM(F649)," #",G649),B649)</f>
        <v>Low Wall #3 Corner</v>
      </c>
    </row>
    <row r="650" spans="1:8" ht="15.75" thickBot="1" x14ac:dyDescent="0.3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>IF(ISNUMBER(SEARCH("#",B650)), LEFT(B650,FIND("#",B650)-1), B650)</f>
        <v xml:space="preserve">Low Wall </v>
      </c>
      <c r="G650" s="26" t="e">
        <f>IF(ISNUMBER(SEARCH("#",B650)),VALUE(MID(B650,FIND("#",B650)+1,1000)),1)</f>
        <v>#VALUE!</v>
      </c>
      <c r="H650" t="str">
        <f>IF(AND(regexMatch(B650,".*#[0-9]*$"),ISNUMBER(SEARCH("#",B650))),CONCATENATE(TRIM(F650)," #",G650),B650)</f>
        <v>Low Wall #3 Short</v>
      </c>
    </row>
    <row r="651" spans="1:8" ht="15.75" thickBot="1" x14ac:dyDescent="0.3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>IF(ISNUMBER(SEARCH("#",B651)), LEFT(B651,FIND("#",B651)-1), B651)</f>
        <v>Marble Block</v>
      </c>
      <c r="G651" s="26">
        <f>IF(ISNUMBER(SEARCH("#",B651)),VALUE(MID(B651,FIND("#",B651)+1,1000)),1)</f>
        <v>1</v>
      </c>
      <c r="H651" t="str">
        <f>IF(AND(regexMatch(B651,".*#[0-9]*$"),ISNUMBER(SEARCH("#",B651))),CONCATENATE(TRIM(F651)," #",G651),B651)</f>
        <v>Marble Block</v>
      </c>
    </row>
    <row r="652" spans="1:8" ht="15.75" thickBot="1" x14ac:dyDescent="0.3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>IF(ISNUMBER(SEARCH("#",B652)), LEFT(B652,FIND("#",B652)-1), B652)</f>
        <v xml:space="preserve">Planter </v>
      </c>
      <c r="G652" s="26">
        <f>IF(ISNUMBER(SEARCH("#",B652)),VALUE(MID(B652,FIND("#",B652)+1,1000)),1)</f>
        <v>1</v>
      </c>
      <c r="H652" t="str">
        <f>IF(AND(regexMatch(B652,".*#[0-9]*$"),ISNUMBER(SEARCH("#",B652))),CONCATENATE(TRIM(F652)," #",G652),B652)</f>
        <v>Planter #1</v>
      </c>
    </row>
    <row r="653" spans="1:8" ht="15.75" thickBot="1" x14ac:dyDescent="0.3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>IF(ISNUMBER(SEARCH("#",B653)), LEFT(B653,FIND("#",B653)-1), B653)</f>
        <v xml:space="preserve">Planter </v>
      </c>
      <c r="G653" s="26">
        <f>IF(ISNUMBER(SEARCH("#",B653)),VALUE(MID(B653,FIND("#",B653)+1,1000)),1)</f>
        <v>2</v>
      </c>
      <c r="H653" t="str">
        <f>IF(AND(regexMatch(B653,".*#[0-9]*$"),ISNUMBER(SEARCH("#",B653))),CONCATENATE(TRIM(F653)," #",G653),B653)</f>
        <v>Planter #2</v>
      </c>
    </row>
    <row r="654" spans="1:8" ht="15.75" thickBot="1" x14ac:dyDescent="0.3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>IF(ISNUMBER(SEARCH("#",B654)), LEFT(B654,FIND("#",B654)-1), B654)</f>
        <v>Prologue Pillar</v>
      </c>
      <c r="G654" s="26">
        <f>IF(ISNUMBER(SEARCH("#",B654)),VALUE(MID(B654,FIND("#",B654)+1,1000)),1)</f>
        <v>1</v>
      </c>
      <c r="H654" t="str">
        <f>IF(AND(regexMatch(B654,".*#[0-9]*$"),ISNUMBER(SEARCH("#",B654))),CONCATENATE(TRIM(F654)," #",G654),B654)</f>
        <v>Prologue Pillar</v>
      </c>
    </row>
    <row r="655" spans="1:8" ht="15.75" thickBot="1" x14ac:dyDescent="0.3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>IF(ISNUMBER(SEARCH("#",B655)), LEFT(B655,FIND("#",B655)-1), B655)</f>
        <v xml:space="preserve">Car Battery </v>
      </c>
      <c r="G655" s="26">
        <f>IF(ISNUMBER(SEARCH("#",B655)),VALUE(MID(B655,FIND("#",B655)+1,1000)),1)</f>
        <v>1</v>
      </c>
      <c r="H655" t="str">
        <f>IF(AND(regexMatch(B655,".*#[0-9]*$"),ISNUMBER(SEARCH("#",B655))),CONCATENATE(TRIM(F655)," #",G655),B655)</f>
        <v>Car Battery #1</v>
      </c>
    </row>
    <row r="656" spans="1:8" ht="15.75" thickBot="1" x14ac:dyDescent="0.3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>IF(ISNUMBER(SEARCH("#",B656)), LEFT(B656,FIND("#",B656)-1), B656)</f>
        <v xml:space="preserve">Car Battery </v>
      </c>
      <c r="G656" s="26">
        <f>IF(ISNUMBER(SEARCH("#",B656)),VALUE(MID(B656,FIND("#",B656)+1,1000)),1)</f>
        <v>2</v>
      </c>
      <c r="H656" t="str">
        <f>IF(AND(regexMatch(B656,".*#[0-9]*$"),ISNUMBER(SEARCH("#",B656))),CONCATENATE(TRIM(F656)," #",G656),B656)</f>
        <v>Car Battery #2</v>
      </c>
    </row>
    <row r="657" spans="1:8" ht="15.75" thickBot="1" x14ac:dyDescent="0.3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>IF(ISNUMBER(SEARCH("#",B657)), LEFT(B657,FIND("#",B657)-1), B657)</f>
        <v xml:space="preserve">Car Battery </v>
      </c>
      <c r="G657" s="26">
        <f>IF(ISNUMBER(SEARCH("#",B657)),VALUE(MID(B657,FIND("#",B657)+1,1000)),1)</f>
        <v>3</v>
      </c>
      <c r="H657" t="str">
        <f>IF(AND(regexMatch(B657,".*#[0-9]*$"),ISNUMBER(SEARCH("#",B657))),CONCATENATE(TRIM(F657)," #",G657),B657)</f>
        <v>Car Battery #3</v>
      </c>
    </row>
    <row r="658" spans="1:8" ht="15.75" thickBot="1" x14ac:dyDescent="0.3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>IF(ISNUMBER(SEARCH("#",B658)), LEFT(B658,FIND("#",B658)-1), B658)</f>
        <v xml:space="preserve">Car Bonnet </v>
      </c>
      <c r="G658" s="26">
        <f>IF(ISNUMBER(SEARCH("#",B658)),VALUE(MID(B658,FIND("#",B658)+1,1000)),1)</f>
        <v>1</v>
      </c>
      <c r="H658" t="str">
        <f>IF(AND(regexMatch(B658,".*#[0-9]*$"),ISNUMBER(SEARCH("#",B658))),CONCATENATE(TRIM(F658)," #",G658),B658)</f>
        <v>Car Bonnet #1</v>
      </c>
    </row>
    <row r="659" spans="1:8" ht="15.75" thickBot="1" x14ac:dyDescent="0.3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>IF(ISNUMBER(SEARCH("#",B659)), LEFT(B659,FIND("#",B659)-1), B659)</f>
        <v xml:space="preserve">Car Bonnet </v>
      </c>
      <c r="G659" s="26">
        <f>IF(ISNUMBER(SEARCH("#",B659)),VALUE(MID(B659,FIND("#",B659)+1,1000)),1)</f>
        <v>2</v>
      </c>
      <c r="H659" t="str">
        <f>IF(AND(regexMatch(B659,".*#[0-9]*$"),ISNUMBER(SEARCH("#",B659))),CONCATENATE(TRIM(F659)," #",G659),B659)</f>
        <v>Car Bonnet #2</v>
      </c>
    </row>
    <row r="660" spans="1:8" ht="15.75" thickBot="1" x14ac:dyDescent="0.3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>IF(ISNUMBER(SEARCH("#",B660)), LEFT(B660,FIND("#",B660)-1), B660)</f>
        <v xml:space="preserve">Car Bumper </v>
      </c>
      <c r="G660" s="26">
        <f>IF(ISNUMBER(SEARCH("#",B660)),VALUE(MID(B660,FIND("#",B660)+1,1000)),1)</f>
        <v>1</v>
      </c>
      <c r="H660" t="str">
        <f>IF(AND(regexMatch(B660,".*#[0-9]*$"),ISNUMBER(SEARCH("#",B660))),CONCATENATE(TRIM(F660)," #",G660),B660)</f>
        <v>Car Bumper #1</v>
      </c>
    </row>
    <row r="661" spans="1:8" ht="15.75" thickBot="1" x14ac:dyDescent="0.3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>IF(ISNUMBER(SEARCH("#",B661)), LEFT(B661,FIND("#",B661)-1), B661)</f>
        <v xml:space="preserve">Car Bumper </v>
      </c>
      <c r="G661" s="26">
        <f>IF(ISNUMBER(SEARCH("#",B661)),VALUE(MID(B661,FIND("#",B661)+1,1000)),1)</f>
        <v>2</v>
      </c>
      <c r="H661" t="str">
        <f>IF(AND(regexMatch(B661,".*#[0-9]*$"),ISNUMBER(SEARCH("#",B661))),CONCATENATE(TRIM(F661)," #",G661),B661)</f>
        <v>Car Bumper #2</v>
      </c>
    </row>
    <row r="662" spans="1:8" ht="15.75" thickBot="1" x14ac:dyDescent="0.3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>IF(ISNUMBER(SEARCH("#",B662)), LEFT(B662,FIND("#",B662)-1), B662)</f>
        <v xml:space="preserve">Car Bumper </v>
      </c>
      <c r="G662" s="26">
        <f>IF(ISNUMBER(SEARCH("#",B662)),VALUE(MID(B662,FIND("#",B662)+1,1000)),1)</f>
        <v>3</v>
      </c>
      <c r="H662" t="str">
        <f>IF(AND(regexMatch(B662,".*#[0-9]*$"),ISNUMBER(SEARCH("#",B662))),CONCATENATE(TRIM(F662)," #",G662),B662)</f>
        <v>Car Bumper #3</v>
      </c>
    </row>
    <row r="663" spans="1:8" ht="15.75" thickBot="1" x14ac:dyDescent="0.3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>IF(ISNUMBER(SEARCH("#",B663)), LEFT(B663,FIND("#",B663)-1), B663)</f>
        <v xml:space="preserve">Car Bumper </v>
      </c>
      <c r="G663" s="26">
        <f>IF(ISNUMBER(SEARCH("#",B663)),VALUE(MID(B663,FIND("#",B663)+1,1000)),1)</f>
        <v>4</v>
      </c>
      <c r="H663" t="str">
        <f>IF(AND(regexMatch(B663,".*#[0-9]*$"),ISNUMBER(SEARCH("#",B663))),CONCATENATE(TRIM(F663)," #",G663),B663)</f>
        <v>Car Bumper #4</v>
      </c>
    </row>
    <row r="664" spans="1:8" ht="15.75" thickBot="1" x14ac:dyDescent="0.3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>IF(ISNUMBER(SEARCH("#",B664)), LEFT(B664,FIND("#",B664)-1), B664)</f>
        <v xml:space="preserve">Car Bumper </v>
      </c>
      <c r="G664" s="26">
        <f>IF(ISNUMBER(SEARCH("#",B664)),VALUE(MID(B664,FIND("#",B664)+1,1000)),1)</f>
        <v>5</v>
      </c>
      <c r="H664" t="str">
        <f>IF(AND(regexMatch(B664,".*#[0-9]*$"),ISNUMBER(SEARCH("#",B664))),CONCATENATE(TRIM(F664)," #",G664),B664)</f>
        <v>Car Bumper #5</v>
      </c>
    </row>
    <row r="665" spans="1:8" ht="15.75" thickBot="1" x14ac:dyDescent="0.3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>IF(ISNUMBER(SEARCH("#",B665)), LEFT(B665,FIND("#",B665)-1), B665)</f>
        <v xml:space="preserve">Car Bumper </v>
      </c>
      <c r="G665" s="26">
        <f>IF(ISNUMBER(SEARCH("#",B665)),VALUE(MID(B665,FIND("#",B665)+1,1000)),1)</f>
        <v>6</v>
      </c>
      <c r="H665" t="str">
        <f>IF(AND(regexMatch(B665,".*#[0-9]*$"),ISNUMBER(SEARCH("#",B665))),CONCATENATE(TRIM(F665)," #",G665),B665)</f>
        <v>Car Bumper #6</v>
      </c>
    </row>
    <row r="666" spans="1:8" ht="15.75" thickBot="1" x14ac:dyDescent="0.3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>IF(ISNUMBER(SEARCH("#",B666)), LEFT(B666,FIND("#",B666)-1), B666)</f>
        <v xml:space="preserve">Car Door </v>
      </c>
      <c r="G666" s="26">
        <f>IF(ISNUMBER(SEARCH("#",B666)),VALUE(MID(B666,FIND("#",B666)+1,1000)),1)</f>
        <v>1</v>
      </c>
      <c r="H666" t="str">
        <f>IF(AND(regexMatch(B666,".*#[0-9]*$"),ISNUMBER(SEARCH("#",B666))),CONCATENATE(TRIM(F666)," #",G666),B666)</f>
        <v>Car Door #1</v>
      </c>
    </row>
    <row r="667" spans="1:8" ht="15.75" thickBot="1" x14ac:dyDescent="0.3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>IF(ISNUMBER(SEARCH("#",B667)), LEFT(B667,FIND("#",B667)-1), B667)</f>
        <v xml:space="preserve">Car Door </v>
      </c>
      <c r="G667" s="26">
        <f>IF(ISNUMBER(SEARCH("#",B667)),VALUE(MID(B667,FIND("#",B667)+1,1000)),1)</f>
        <v>2</v>
      </c>
      <c r="H667" t="str">
        <f>IF(AND(regexMatch(B667,".*#[0-9]*$"),ISNUMBER(SEARCH("#",B667))),CONCATENATE(TRIM(F667)," #",G667),B667)</f>
        <v>Car Door #2</v>
      </c>
    </row>
    <row r="668" spans="1:8" ht="15.75" thickBot="1" x14ac:dyDescent="0.3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>IF(ISNUMBER(SEARCH("#",B668)), LEFT(B668,FIND("#",B668)-1), B668)</f>
        <v xml:space="preserve">Car Door </v>
      </c>
      <c r="G668" s="26">
        <f>IF(ISNUMBER(SEARCH("#",B668)),VALUE(MID(B668,FIND("#",B668)+1,1000)),1)</f>
        <v>3</v>
      </c>
      <c r="H668" t="str">
        <f>IF(AND(regexMatch(B668,".*#[0-9]*$"),ISNUMBER(SEARCH("#",B668))),CONCATENATE(TRIM(F668)," #",G668),B668)</f>
        <v>Car Door #3</v>
      </c>
    </row>
    <row r="669" spans="1:8" ht="15.75" thickBot="1" x14ac:dyDescent="0.3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>IF(ISNUMBER(SEARCH("#",B669)), LEFT(B669,FIND("#",B669)-1), B669)</f>
        <v xml:space="preserve">Car Door </v>
      </c>
      <c r="G669" s="26">
        <f>IF(ISNUMBER(SEARCH("#",B669)),VALUE(MID(B669,FIND("#",B669)+1,1000)),1)</f>
        <v>4</v>
      </c>
      <c r="H669" t="str">
        <f>IF(AND(regexMatch(B669,".*#[0-9]*$"),ISNUMBER(SEARCH("#",B669))),CONCATENATE(TRIM(F669)," #",G669),B669)</f>
        <v>Car Door #4</v>
      </c>
    </row>
    <row r="670" spans="1:8" ht="15.75" thickBot="1" x14ac:dyDescent="0.3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>IF(ISNUMBER(SEARCH("#",B670)), LEFT(B670,FIND("#",B670)-1), B670)</f>
        <v>Car Engine</v>
      </c>
      <c r="G670" s="26">
        <f>IF(ISNUMBER(SEARCH("#",B670)),VALUE(MID(B670,FIND("#",B670)+1,1000)),1)</f>
        <v>1</v>
      </c>
      <c r="H670" t="str">
        <f>IF(AND(regexMatch(B670,".*#[0-9]*$"),ISNUMBER(SEARCH("#",B670))),CONCATENATE(TRIM(F670)," #",G670),B670)</f>
        <v>Car Engine</v>
      </c>
    </row>
    <row r="671" spans="1:8" ht="15.75" thickBot="1" x14ac:dyDescent="0.3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>IF(ISNUMBER(SEARCH("#",B671)), LEFT(B671,FIND("#",B671)-1), B671)</f>
        <v>Car Exhaust</v>
      </c>
      <c r="G671" s="26">
        <f>IF(ISNUMBER(SEARCH("#",B671)),VALUE(MID(B671,FIND("#",B671)+1,1000)),1)</f>
        <v>1</v>
      </c>
      <c r="H671" t="str">
        <f>IF(AND(regexMatch(B671,".*#[0-9]*$"),ISNUMBER(SEARCH("#",B671))),CONCATENATE(TRIM(F671)," #",G671),B671)</f>
        <v>Car Exhaust</v>
      </c>
    </row>
    <row r="672" spans="1:8" ht="15.75" thickBot="1" x14ac:dyDescent="0.3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>IF(ISNUMBER(SEARCH("#",B672)), LEFT(B672,FIND("#",B672)-1), B672)</f>
        <v>Car Ignition</v>
      </c>
      <c r="G672" s="26">
        <f>IF(ISNUMBER(SEARCH("#",B672)),VALUE(MID(B672,FIND("#",B672)+1,1000)),1)</f>
        <v>1</v>
      </c>
      <c r="H672" t="str">
        <f>IF(AND(regexMatch(B672,".*#[0-9]*$"),ISNUMBER(SEARCH("#",B672))),CONCATENATE(TRIM(F672)," #",G672),B672)</f>
        <v>Car Ignition</v>
      </c>
    </row>
    <row r="673" spans="1:8" ht="15.75" thickBot="1" x14ac:dyDescent="0.3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>IF(ISNUMBER(SEARCH("#",B673)), LEFT(B673,FIND("#",B673)-1), B673)</f>
        <v>Car Seat</v>
      </c>
      <c r="G673" s="26">
        <f>IF(ISNUMBER(SEARCH("#",B673)),VALUE(MID(B673,FIND("#",B673)+1,1000)),1)</f>
        <v>1</v>
      </c>
      <c r="H673" t="str">
        <f>IF(AND(regexMatch(B673,".*#[0-9]*$"),ISNUMBER(SEARCH("#",B673))),CONCATENATE(TRIM(F673)," #",G673),B673)</f>
        <v>Car Seat</v>
      </c>
    </row>
    <row r="674" spans="1:8" ht="15.75" thickBot="1" x14ac:dyDescent="0.3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>IF(ISNUMBER(SEARCH("#",B674)), LEFT(B674,FIND("#",B674)-1), B674)</f>
        <v>Car Seats (Four)</v>
      </c>
      <c r="G674" s="26">
        <f>IF(ISNUMBER(SEARCH("#",B674)),VALUE(MID(B674,FIND("#",B674)+1,1000)),1)</f>
        <v>1</v>
      </c>
      <c r="H674" t="str">
        <f>IF(AND(regexMatch(B674,".*#[0-9]*$"),ISNUMBER(SEARCH("#",B674))),CONCATENATE(TRIM(F674)," #",G674),B674)</f>
        <v>Car Seats (Four)</v>
      </c>
    </row>
    <row r="675" spans="1:8" ht="15.75" thickBot="1" x14ac:dyDescent="0.3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>IF(ISNUMBER(SEARCH("#",B675)), LEFT(B675,FIND("#",B675)-1), B675)</f>
        <v>Car Tyre</v>
      </c>
      <c r="G675" s="26">
        <f>IF(ISNUMBER(SEARCH("#",B675)),VALUE(MID(B675,FIND("#",B675)+1,1000)),1)</f>
        <v>1</v>
      </c>
      <c r="H675" t="str">
        <f>IF(AND(regexMatch(B675,".*#[0-9]*$"),ISNUMBER(SEARCH("#",B675))),CONCATENATE(TRIM(F675)," #",G675),B675)</f>
        <v>Car Tyre</v>
      </c>
    </row>
    <row r="676" spans="1:8" ht="15.75" thickBot="1" x14ac:dyDescent="0.3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>IF(ISNUMBER(SEARCH("#",B676)), LEFT(B676,FIND("#",B676)-1), B676)</f>
        <v>Covered Car: Cheetah</v>
      </c>
      <c r="G676" s="26">
        <f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.75" thickBot="1" x14ac:dyDescent="0.3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>IF(ISNUMBER(SEARCH("#",B677)), LEFT(B677,FIND("#",B677)-1), B677)</f>
        <v>Covered Car: Entity XF</v>
      </c>
      <c r="G677" s="26">
        <f>IF(ISNUMBER(SEARCH("#",B677)),VALUE(MID(B677,FIND("#",B677)+1,1000)),1)</f>
        <v>1</v>
      </c>
      <c r="H677" t="str">
        <f>IF(AND(regexMatch(B677,".*#[0-9]*$"),ISNUMBER(SEARCH("#",B677))),CONCATENATE(TRIM(F677)," #",G677),B677)</f>
        <v>Covered Car: Entity XF</v>
      </c>
    </row>
    <row r="678" spans="1:8" ht="15.75" thickBot="1" x14ac:dyDescent="0.3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>IF(ISNUMBER(SEARCH("#",B678)), LEFT(B678,FIND("#",B678)-1), B678)</f>
        <v>Covered Car: JB700</v>
      </c>
      <c r="G678" s="26">
        <f>IF(ISNUMBER(SEARCH("#",B678)),VALUE(MID(B678,FIND("#",B678)+1,1000)),1)</f>
        <v>1</v>
      </c>
      <c r="H678" t="str">
        <f>IF(AND(regexMatch(B678,".*#[0-9]*$"),ISNUMBER(SEARCH("#",B678))),CONCATENATE(TRIM(F678)," #",G678),B678)</f>
        <v>Covered Car: JB700</v>
      </c>
    </row>
    <row r="679" spans="1:8" ht="15.75" thickBot="1" x14ac:dyDescent="0.3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>IF(ISNUMBER(SEARCH("#",B679)), LEFT(B679,FIND("#",B679)-1), B679)</f>
        <v>Covered Car: Z-Type</v>
      </c>
      <c r="G679" s="26">
        <f>IF(ISNUMBER(SEARCH("#",B679)),VALUE(MID(B679,FIND("#",B679)+1,1000)),1)</f>
        <v>1</v>
      </c>
      <c r="H679" t="str">
        <f>IF(AND(regexMatch(B679,".*#[0-9]*$"),ISNUMBER(SEARCH("#",B679))),CONCATENATE(TRIM(F679)," #",G679),B679)</f>
        <v>Covered Car: Z-Type</v>
      </c>
    </row>
    <row r="680" spans="1:8" ht="15.75" thickBot="1" x14ac:dyDescent="0.3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>IF(ISNUMBER(SEARCH("#",B680)), LEFT(B680,FIND("#",B680)-1), B680)</f>
        <v>Ejector Seat</v>
      </c>
      <c r="G680" s="26">
        <f>IF(ISNUMBER(SEARCH("#",B680)),VALUE(MID(B680,FIND("#",B680)+1,1000)),1)</f>
        <v>1</v>
      </c>
      <c r="H680" t="str">
        <f>IF(AND(regexMatch(B680,".*#[0-9]*$"),ISNUMBER(SEARCH("#",B680))),CONCATENATE(TRIM(F680)," #",G680),B680)</f>
        <v>Ejector Seat</v>
      </c>
    </row>
    <row r="681" spans="1:8" ht="15.75" thickBot="1" x14ac:dyDescent="0.3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>IF(ISNUMBER(SEARCH("#",B681)), LEFT(B681,FIND("#",B681)-1), B681)</f>
        <v>Jetski Trailer</v>
      </c>
      <c r="G681" s="26">
        <f>IF(ISNUMBER(SEARCH("#",B681)),VALUE(MID(B681,FIND("#",B681)+1,1000)),1)</f>
        <v>1</v>
      </c>
      <c r="H681" t="str">
        <f>IF(AND(regexMatch(B681,".*#[0-9]*$"),ISNUMBER(SEARCH("#",B681))),CONCATENATE(TRIM(F681)," #",G681),B681)</f>
        <v>Jetski Trailer</v>
      </c>
    </row>
    <row r="682" spans="1:8" ht="15.75" thickBot="1" x14ac:dyDescent="0.3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>IF(ISNUMBER(SEARCH("#",B682)), LEFT(B682,FIND("#",B682)-1), B682)</f>
        <v>Number Plate: Brad</v>
      </c>
      <c r="G682" s="26">
        <f>IF(ISNUMBER(SEARCH("#",B682)),VALUE(MID(B682,FIND("#",B682)+1,1000)),1)</f>
        <v>1</v>
      </c>
      <c r="H682" t="str">
        <f>IF(AND(regexMatch(B682,".*#[0-9]*$"),ISNUMBER(SEARCH("#",B682))),CONCATENATE(TRIM(F682)," #",G682),B682)</f>
        <v>Number Plate: Brad</v>
      </c>
    </row>
    <row r="683" spans="1:8" ht="15.75" thickBot="1" x14ac:dyDescent="0.3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>IF(ISNUMBER(SEARCH("#",B683)), LEFT(B683,FIND("#",B683)-1), B683)</f>
        <v>Number Plate: Lily</v>
      </c>
      <c r="G683" s="26">
        <f>IF(ISNUMBER(SEARCH("#",B683)),VALUE(MID(B683,FIND("#",B683)+1,1000)),1)</f>
        <v>1</v>
      </c>
      <c r="H683" t="str">
        <f>IF(AND(regexMatch(B683,".*#[0-9]*$"),ISNUMBER(SEARCH("#",B683))),CONCATENATE(TRIM(F683)," #",G683),B683)</f>
        <v>Number Plate: Lily</v>
      </c>
    </row>
    <row r="684" spans="1:8" ht="15.75" thickBot="1" x14ac:dyDescent="0.3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>IF(ISNUMBER(SEARCH("#",B684)), LEFT(B684,FIND("#",B684)-1), B684)</f>
        <v>Number Plate: Sindy</v>
      </c>
      <c r="G684" s="26">
        <f>IF(ISNUMBER(SEARCH("#",B684)),VALUE(MID(B684,FIND("#",B684)+1,1000)),1)</f>
        <v>1</v>
      </c>
      <c r="H684" t="str">
        <f>IF(AND(regexMatch(B684,".*#[0-9]*$"),ISNUMBER(SEARCH("#",B684))),CONCATENATE(TRIM(F684)," #",G684),B684)</f>
        <v>Number Plate: Sindy</v>
      </c>
    </row>
    <row r="685" spans="1:8" ht="15.75" thickBot="1" x14ac:dyDescent="0.3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>IF(ISNUMBER(SEARCH("#",B685)), LEFT(B685,FIND("#",B685)-1), B685)</f>
        <v>Number Plate: Tyler</v>
      </c>
      <c r="G685" s="26">
        <f>IF(ISNUMBER(SEARCH("#",B685)),VALUE(MID(B685,FIND("#",B685)+1,1000)),1)</f>
        <v>1</v>
      </c>
      <c r="H685" t="str">
        <f>IF(AND(regexMatch(B685,".*#[0-9]*$"),ISNUMBER(SEARCH("#",B685))),CONCATENATE(TRIM(F685)," #",G685),B685)</f>
        <v>Number Plate: Tyler</v>
      </c>
    </row>
    <row r="686" spans="1:8" ht="15.75" thickBot="1" x14ac:dyDescent="0.3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>IF(ISNUMBER(SEARCH("#",B686)), LEFT(B686,FIND("#",B686)-1), B686)</f>
        <v>Stockade Wheel</v>
      </c>
      <c r="G686" s="26">
        <f>IF(ISNUMBER(SEARCH("#",B686)),VALUE(MID(B686,FIND("#",B686)+1,1000)),1)</f>
        <v>1</v>
      </c>
      <c r="H686" t="str">
        <f>IF(AND(regexMatch(B686,".*#[0-9]*$"),ISNUMBER(SEARCH("#",B686))),CONCATENATE(TRIM(F686)," #",G686),B686)</f>
        <v>Stockade Wheel</v>
      </c>
    </row>
    <row r="687" spans="1:8" ht="15.75" thickBot="1" x14ac:dyDescent="0.3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>IF(ISNUMBER(SEARCH("#",B687)), LEFT(B687,FIND("#",B687)-1), B687)</f>
        <v>Stockade Wheel With Flat Tyre</v>
      </c>
      <c r="G687" s="26">
        <f>IF(ISNUMBER(SEARCH("#",B687)),VALUE(MID(B687,FIND("#",B687)+1,1000)),1)</f>
        <v>1</v>
      </c>
      <c r="H687" t="str">
        <f>IF(AND(regexMatch(B687,".*#[0-9]*$"),ISNUMBER(SEARCH("#",B687))),CONCATENATE(TRIM(F687)," #",G687),B687)</f>
        <v>Stockade Wheel With Flat Tyre</v>
      </c>
    </row>
    <row r="688" spans="1:8" ht="15.75" thickBot="1" x14ac:dyDescent="0.3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>IF(ISNUMBER(SEARCH("#",B688)), LEFT(B688,FIND("#",B688)-1), B688)</f>
        <v xml:space="preserve">Taxi Meter </v>
      </c>
      <c r="G688" s="26">
        <f>IF(ISNUMBER(SEARCH("#",B688)),VALUE(MID(B688,FIND("#",B688)+1,1000)),1)</f>
        <v>1</v>
      </c>
      <c r="H688" t="str">
        <f>IF(AND(regexMatch(B688,".*#[0-9]*$"),ISNUMBER(SEARCH("#",B688))),CONCATENATE(TRIM(F688)," #",G688),B688)</f>
        <v>Taxi Meter #1</v>
      </c>
    </row>
    <row r="689" spans="1:8" ht="15.75" thickBot="1" x14ac:dyDescent="0.3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>IF(ISNUMBER(SEARCH("#",B689)), LEFT(B689,FIND("#",B689)-1), B689)</f>
        <v xml:space="preserve">Taxi Meter </v>
      </c>
      <c r="G689" s="26">
        <f>IF(ISNUMBER(SEARCH("#",B689)),VALUE(MID(B689,FIND("#",B689)+1,1000)),1)</f>
        <v>2</v>
      </c>
      <c r="H689" t="str">
        <f>IF(AND(regexMatch(B689,".*#[0-9]*$"),ISNUMBER(SEARCH("#",B689))),CONCATENATE(TRIM(F689)," #",G689),B689)</f>
        <v>Taxi Meter #2</v>
      </c>
    </row>
    <row r="690" spans="1:8" ht="15.75" thickBot="1" x14ac:dyDescent="0.3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>IF(ISNUMBER(SEARCH("#",B690)), LEFT(B690,FIND("#",B690)-1), B690)</f>
        <v>Tyre Rack</v>
      </c>
      <c r="G690" s="26">
        <f>IF(ISNUMBER(SEARCH("#",B690)),VALUE(MID(B690,FIND("#",B690)+1,1000)),1)</f>
        <v>1</v>
      </c>
      <c r="H690" t="str">
        <f>IF(AND(regexMatch(B690,".*#[0-9]*$"),ISNUMBER(SEARCH("#",B690))),CONCATENATE(TRIM(F690)," #",G690),B690)</f>
        <v>Tyre Rack</v>
      </c>
    </row>
    <row r="691" spans="1:8" ht="15.75" thickBot="1" x14ac:dyDescent="0.3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>IF(ISNUMBER(SEARCH("#",B691)), LEFT(B691,FIND("#",B691)-1), B691)</f>
        <v xml:space="preserve">Wheel </v>
      </c>
      <c r="G691" s="26">
        <f>IF(ISNUMBER(SEARCH("#",B691)),VALUE(MID(B691,FIND("#",B691)+1,1000)),1)</f>
        <v>1</v>
      </c>
      <c r="H691" t="str">
        <f>IF(AND(regexMatch(B691,".*#[0-9]*$"),ISNUMBER(SEARCH("#",B691))),CONCATENATE(TRIM(F691)," #",G691),B691)</f>
        <v>Wheel #1</v>
      </c>
    </row>
    <row r="692" spans="1:8" ht="15.75" thickBot="1" x14ac:dyDescent="0.3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>IF(ISNUMBER(SEARCH("#",B692)), LEFT(B692,FIND("#",B692)-1), B692)</f>
        <v xml:space="preserve">Wheel </v>
      </c>
      <c r="G692" s="26">
        <f>IF(ISNUMBER(SEARCH("#",B692)),VALUE(MID(B692,FIND("#",B692)+1,1000)),1)</f>
        <v>2</v>
      </c>
      <c r="H692" t="str">
        <f>IF(AND(regexMatch(B692,".*#[0-9]*$"),ISNUMBER(SEARCH("#",B692))),CONCATENATE(TRIM(F692)," #",G692),B692)</f>
        <v>Wheel #2</v>
      </c>
    </row>
    <row r="693" spans="1:8" ht="15.75" thickBot="1" x14ac:dyDescent="0.3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>IF(ISNUMBER(SEARCH("#",B693)), LEFT(B693,FIND("#",B693)-1), B693)</f>
        <v xml:space="preserve">Wheel </v>
      </c>
      <c r="G693" s="26">
        <f>IF(ISNUMBER(SEARCH("#",B693)),VALUE(MID(B693,FIND("#",B693)+1,1000)),1)</f>
        <v>3</v>
      </c>
      <c r="H693" t="str">
        <f>IF(AND(regexMatch(B693,".*#[0-9]*$"),ISNUMBER(SEARCH("#",B693))),CONCATENATE(TRIM(F693)," #",G693),B693)</f>
        <v>Wheel #3</v>
      </c>
    </row>
    <row r="694" spans="1:8" ht="15.75" thickBot="1" x14ac:dyDescent="0.3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>IF(ISNUMBER(SEARCH("#",B694)), LEFT(B694,FIND("#",B694)-1), B694)</f>
        <v xml:space="preserve">Wheel </v>
      </c>
      <c r="G694" s="26">
        <f>IF(ISNUMBER(SEARCH("#",B694)),VALUE(MID(B694,FIND("#",B694)+1,1000)),1)</f>
        <v>4</v>
      </c>
      <c r="H694" t="str">
        <f>IF(AND(regexMatch(B694,".*#[0-9]*$"),ISNUMBER(SEARCH("#",B694))),CONCATENATE(TRIM(F694)," #",G694),B694)</f>
        <v>Wheel #4</v>
      </c>
    </row>
    <row r="695" spans="1:8" ht="15.75" thickBot="1" x14ac:dyDescent="0.3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>IF(ISNUMBER(SEARCH("#",B695)), LEFT(B695,FIND("#",B695)-1), B695)</f>
        <v xml:space="preserve">Wheel </v>
      </c>
      <c r="G695" s="26">
        <f>IF(ISNUMBER(SEARCH("#",B695)),VALUE(MID(B695,FIND("#",B695)+1,1000)),1)</f>
        <v>5</v>
      </c>
      <c r="H695" t="str">
        <f>IF(AND(regexMatch(B695,".*#[0-9]*$"),ISNUMBER(SEARCH("#",B695))),CONCATENATE(TRIM(F695)," #",G695),B695)</f>
        <v>Wheel #5</v>
      </c>
    </row>
    <row r="696" spans="1:8" ht="15.75" thickBot="1" x14ac:dyDescent="0.3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>IF(ISNUMBER(SEARCH("#",B696)), LEFT(B696,FIND("#",B696)-1), B696)</f>
        <v xml:space="preserve">Wheel </v>
      </c>
      <c r="G696" s="26">
        <f>IF(ISNUMBER(SEARCH("#",B696)),VALUE(MID(B696,FIND("#",B696)+1,1000)),1)</f>
        <v>6</v>
      </c>
      <c r="H696" t="str">
        <f>IF(AND(regexMatch(B696,".*#[0-9]*$"),ISNUMBER(SEARCH("#",B696))),CONCATENATE(TRIM(F696)," #",G696),B696)</f>
        <v>Wheel #6</v>
      </c>
    </row>
    <row r="697" spans="1:8" ht="15.75" thickBot="1" x14ac:dyDescent="0.3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>IF(ISNUMBER(SEARCH("#",B697)), LEFT(B697,FIND("#",B697)-1), B697)</f>
        <v xml:space="preserve">Wheel Rim </v>
      </c>
      <c r="G697" s="26">
        <f>IF(ISNUMBER(SEARCH("#",B697)),VALUE(MID(B697,FIND("#",B697)+1,1000)),1)</f>
        <v>1</v>
      </c>
      <c r="H697" t="str">
        <f>IF(AND(regexMatch(B697,".*#[0-9]*$"),ISNUMBER(SEARCH("#",B697))),CONCATENATE(TRIM(F697)," #",G697),B697)</f>
        <v>Wheel Rim #1</v>
      </c>
    </row>
    <row r="698" spans="1:8" ht="15.75" thickBot="1" x14ac:dyDescent="0.3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>IF(ISNUMBER(SEARCH("#",B698)), LEFT(B698,FIND("#",B698)-1), B698)</f>
        <v xml:space="preserve">Wheel Rim </v>
      </c>
      <c r="G698" s="26">
        <f>IF(ISNUMBER(SEARCH("#",B698)),VALUE(MID(B698,FIND("#",B698)+1,1000)),1)</f>
        <v>2</v>
      </c>
      <c r="H698" t="str">
        <f>IF(AND(regexMatch(B698,".*#[0-9]*$"),ISNUMBER(SEARCH("#",B698))),CONCATENATE(TRIM(F698)," #",G698),B698)</f>
        <v>Wheel Rim #2</v>
      </c>
    </row>
    <row r="699" spans="1:8" ht="15.75" thickBot="1" x14ac:dyDescent="0.3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>IF(ISNUMBER(SEARCH("#",B699)), LEFT(B699,FIND("#",B699)-1), B699)</f>
        <v xml:space="preserve">Wheel Rim </v>
      </c>
      <c r="G699" s="26">
        <f>IF(ISNUMBER(SEARCH("#",B699)),VALUE(MID(B699,FIND("#",B699)+1,1000)),1)</f>
        <v>3</v>
      </c>
      <c r="H699" t="str">
        <f>IF(AND(regexMatch(B699,".*#[0-9]*$"),ISNUMBER(SEARCH("#",B699))),CONCATENATE(TRIM(F699)," #",G699),B699)</f>
        <v>Wheel Rim #3</v>
      </c>
    </row>
    <row r="700" spans="1:8" ht="15.75" thickBot="1" x14ac:dyDescent="0.3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>IF(ISNUMBER(SEARCH("#",B700)), LEFT(B700,FIND("#",B700)-1), B700)</f>
        <v xml:space="preserve">Wheel Rim </v>
      </c>
      <c r="G700" s="26">
        <f>IF(ISNUMBER(SEARCH("#",B700)),VALUE(MID(B700,FIND("#",B700)+1,1000)),1)</f>
        <v>4</v>
      </c>
      <c r="H700" t="str">
        <f>IF(AND(regexMatch(B700,".*#[0-9]*$"),ISNUMBER(SEARCH("#",B700))),CONCATENATE(TRIM(F700)," #",G700),B700)</f>
        <v>Wheel Rim #4</v>
      </c>
    </row>
    <row r="701" spans="1:8" ht="15.75" thickBot="1" x14ac:dyDescent="0.3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>IF(ISNUMBER(SEARCH("#",B701)), LEFT(B701,FIND("#",B701)-1), B701)</f>
        <v xml:space="preserve">Wheel Rim </v>
      </c>
      <c r="G701" s="26">
        <f>IF(ISNUMBER(SEARCH("#",B701)),VALUE(MID(B701,FIND("#",B701)+1,1000)),1)</f>
        <v>5</v>
      </c>
      <c r="H701" t="str">
        <f>IF(AND(regexMatch(B701,".*#[0-9]*$"),ISNUMBER(SEARCH("#",B701))),CONCATENATE(TRIM(F701)," #",G701),B701)</f>
        <v>Wheel Rim #5</v>
      </c>
    </row>
    <row r="702" spans="1:8" ht="15.75" thickBot="1" x14ac:dyDescent="0.3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>IF(ISNUMBER(SEARCH("#",B702)), LEFT(B702,FIND("#",B702)-1), B702)</f>
        <v>Wheel Trim</v>
      </c>
      <c r="G702" s="26">
        <f>IF(ISNUMBER(SEARCH("#",B702)),VALUE(MID(B702,FIND("#",B702)+1,1000)),1)</f>
        <v>1</v>
      </c>
      <c r="H702" t="str">
        <f>IF(AND(regexMatch(B702,".*#[0-9]*$"),ISNUMBER(SEARCH("#",B702))),CONCATENATE(TRIM(F702)," #",G702),B702)</f>
        <v>Wheel Trim</v>
      </c>
    </row>
    <row r="703" spans="1:8" ht="15.75" thickBot="1" x14ac:dyDescent="0.3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>IF(ISNUMBER(SEARCH("#",B703)), LEFT(B703,FIND("#",B703)-1), B703)</f>
        <v>Wheel: Tornado</v>
      </c>
      <c r="G703" s="26">
        <f>IF(ISNUMBER(SEARCH("#",B703)),VALUE(MID(B703,FIND("#",B703)+1,1000)),1)</f>
        <v>1</v>
      </c>
      <c r="H703" t="str">
        <f>IF(AND(regexMatch(B703,".*#[0-9]*$"),ISNUMBER(SEARCH("#",B703))),CONCATENATE(TRIM(F703)," #",G703),B703)</f>
        <v>Wheel: Tornado</v>
      </c>
    </row>
    <row r="704" spans="1:8" ht="15.75" thickBot="1" x14ac:dyDescent="0.3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1"/>
      <c r="G704" s="41" t="s">
        <v>9748</v>
      </c>
      <c r="H704" s="41" t="s">
        <v>10378</v>
      </c>
    </row>
    <row r="705" spans="1:8" ht="15.75" thickBot="1" x14ac:dyDescent="0.3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>IF(ISNUMBER(SEARCH("#",B705)), LEFT(B705,FIND("#",B705)-1), B705)</f>
        <v>Armchair</v>
      </c>
      <c r="G705" s="26">
        <f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.75" thickBot="1" x14ac:dyDescent="0.3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>IF(ISNUMBER(SEARCH("#",B706)), LEFT(B706,FIND("#",B706)-1), B706)</f>
        <v xml:space="preserve">Camping Chair </v>
      </c>
      <c r="G706" s="26">
        <f>IF(ISNUMBER(SEARCH("#",B706)),VALUE(MID(B706,FIND("#",B706)+1,1000)),1)</f>
        <v>1</v>
      </c>
      <c r="H706" t="str">
        <f>IF(AND(regexMatch(B706,".*#[0-9]*$"),ISNUMBER(SEARCH("#",B706))),CONCATENATE(TRIM(F706)," #",G706),B706)</f>
        <v>Camping Chair #1</v>
      </c>
    </row>
    <row r="707" spans="1:8" ht="15.75" thickBot="1" x14ac:dyDescent="0.3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>IF(ISNUMBER(SEARCH("#",B707)), LEFT(B707,FIND("#",B707)-1), B707)</f>
        <v xml:space="preserve">Camping Chair </v>
      </c>
      <c r="G707" s="26">
        <f>IF(ISNUMBER(SEARCH("#",B707)),VALUE(MID(B707,FIND("#",B707)+1,1000)),1)</f>
        <v>2</v>
      </c>
      <c r="H707" t="str">
        <f>IF(AND(regexMatch(B707,".*#[0-9]*$"),ISNUMBER(SEARCH("#",B707))),CONCATENATE(TRIM(F707)," #",G707),B707)</f>
        <v>Camping Chair #2</v>
      </c>
    </row>
    <row r="708" spans="1:8" ht="15.75" thickBot="1" x14ac:dyDescent="0.3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>IF(ISNUMBER(SEARCH("#",B708)), LEFT(B708,FIND("#",B708)-1), B708)</f>
        <v xml:space="preserve">Camping Chair </v>
      </c>
      <c r="G708" s="26">
        <f>IF(ISNUMBER(SEARCH("#",B708)),VALUE(MID(B708,FIND("#",B708)+1,1000)),1)</f>
        <v>3</v>
      </c>
      <c r="H708" t="str">
        <f>IF(AND(regexMatch(B708,".*#[0-9]*$"),ISNUMBER(SEARCH("#",B708))),CONCATENATE(TRIM(F708)," #",G708),B708)</f>
        <v>Camping Chair #3</v>
      </c>
    </row>
    <row r="709" spans="1:8" ht="15.75" thickBot="1" x14ac:dyDescent="0.3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>IF(ISNUMBER(SEARCH("#",B709)), LEFT(B709,FIND("#",B709)-1), B709)</f>
        <v xml:space="preserve">Chair </v>
      </c>
      <c r="G709" s="26">
        <f>IF(ISNUMBER(SEARCH("#",B709)),VALUE(MID(B709,FIND("#",B709)+1,1000)),1)</f>
        <v>1</v>
      </c>
      <c r="H709" t="str">
        <f>IF(AND(regexMatch(B709,".*#[0-9]*$"),ISNUMBER(SEARCH("#",B709))),CONCATENATE(TRIM(F709)," #",G709),B709)</f>
        <v>Chair #1</v>
      </c>
    </row>
    <row r="710" spans="1:8" ht="15.75" thickBot="1" x14ac:dyDescent="0.3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>IF(ISNUMBER(SEARCH("#",B710)), LEFT(B710,FIND("#",B710)-1), B710)</f>
        <v xml:space="preserve">Chair </v>
      </c>
      <c r="G710" s="26">
        <f>IF(ISNUMBER(SEARCH("#",B710)),VALUE(MID(B710,FIND("#",B710)+1,1000)),1)</f>
        <v>2</v>
      </c>
      <c r="H710" t="str">
        <f>IF(AND(regexMatch(B710,".*#[0-9]*$"),ISNUMBER(SEARCH("#",B710))),CONCATENATE(TRIM(F710)," #",G710),B710)</f>
        <v>Chair #2</v>
      </c>
    </row>
    <row r="711" spans="1:8" ht="15.75" thickBot="1" x14ac:dyDescent="0.3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>IF(ISNUMBER(SEARCH("#",B711)), LEFT(B711,FIND("#",B711)-1), B711)</f>
        <v xml:space="preserve">Chair </v>
      </c>
      <c r="G711" s="26">
        <f>IF(ISNUMBER(SEARCH("#",B711)),VALUE(MID(B711,FIND("#",B711)+1,1000)),1)</f>
        <v>3</v>
      </c>
      <c r="H711" t="str">
        <f>IF(AND(regexMatch(B711,".*#[0-9]*$"),ISNUMBER(SEARCH("#",B711))),CONCATENATE(TRIM(F711)," #",G711),B711)</f>
        <v>Chair #3</v>
      </c>
    </row>
    <row r="712" spans="1:8" ht="15.75" thickBot="1" x14ac:dyDescent="0.3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>IF(ISNUMBER(SEARCH("#",B712)), LEFT(B712,FIND("#",B712)-1), B712)</f>
        <v xml:space="preserve">Chair </v>
      </c>
      <c r="G712" s="26">
        <f>IF(ISNUMBER(SEARCH("#",B712)),VALUE(MID(B712,FIND("#",B712)+1,1000)),1)</f>
        <v>4</v>
      </c>
      <c r="H712" t="str">
        <f>IF(AND(regexMatch(B712,".*#[0-9]*$"),ISNUMBER(SEARCH("#",B712))),CONCATENATE(TRIM(F712)," #",G712),B712)</f>
        <v>Chair #4</v>
      </c>
    </row>
    <row r="713" spans="1:8" ht="15.75" thickBot="1" x14ac:dyDescent="0.3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>IF(ISNUMBER(SEARCH("#",B713)), LEFT(B713,FIND("#",B713)-1), B713)</f>
        <v xml:space="preserve">Chair </v>
      </c>
      <c r="G713" s="26">
        <f>IF(ISNUMBER(SEARCH("#",B713)),VALUE(MID(B713,FIND("#",B713)+1,1000)),1)</f>
        <v>5</v>
      </c>
      <c r="H713" t="str">
        <f>IF(AND(regexMatch(B713,".*#[0-9]*$"),ISNUMBER(SEARCH("#",B713))),CONCATENATE(TRIM(F713)," #",G713),B713)</f>
        <v>Chair #5</v>
      </c>
    </row>
    <row r="714" spans="1:8" ht="15.75" thickBot="1" x14ac:dyDescent="0.3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>IF(ISNUMBER(SEARCH("#",B714)), LEFT(B714,FIND("#",B714)-1), B714)</f>
        <v xml:space="preserve">Chair </v>
      </c>
      <c r="G714" s="26">
        <f>IF(ISNUMBER(SEARCH("#",B714)),VALUE(MID(B714,FIND("#",B714)+1,1000)),1)</f>
        <v>6</v>
      </c>
      <c r="H714" t="str">
        <f>IF(AND(regexMatch(B714,".*#[0-9]*$"),ISNUMBER(SEARCH("#",B714))),CONCATENATE(TRIM(F714)," #",G714),B714)</f>
        <v>Chair #6</v>
      </c>
    </row>
    <row r="715" spans="1:8" ht="15.75" thickBot="1" x14ac:dyDescent="0.3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>IF(ISNUMBER(SEARCH("#",B715)), LEFT(B715,FIND("#",B715)-1), B715)</f>
        <v xml:space="preserve">Chair </v>
      </c>
      <c r="G715" s="26">
        <f>IF(ISNUMBER(SEARCH("#",B715)),VALUE(MID(B715,FIND("#",B715)+1,1000)),1)</f>
        <v>7</v>
      </c>
      <c r="H715" t="str">
        <f>IF(AND(regexMatch(B715,".*#[0-9]*$"),ISNUMBER(SEARCH("#",B715))),CONCATENATE(TRIM(F715)," #",G715),B715)</f>
        <v>Chair #7</v>
      </c>
    </row>
    <row r="716" spans="1:8" ht="15.75" thickBot="1" x14ac:dyDescent="0.3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>IF(ISNUMBER(SEARCH("#",B716)), LEFT(B716,FIND("#",B716)-1), B716)</f>
        <v xml:space="preserve">Chair </v>
      </c>
      <c r="G716" s="26">
        <f>IF(ISNUMBER(SEARCH("#",B716)),VALUE(MID(B716,FIND("#",B716)+1,1000)),1)</f>
        <v>8</v>
      </c>
      <c r="H716" t="str">
        <f>IF(AND(regexMatch(B716,".*#[0-9]*$"),ISNUMBER(SEARCH("#",B716))),CONCATENATE(TRIM(F716)," #",G716),B716)</f>
        <v>Chair #8</v>
      </c>
    </row>
    <row r="717" spans="1:8" ht="15.75" thickBot="1" x14ac:dyDescent="0.3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>IF(ISNUMBER(SEARCH("#",B717)), LEFT(B717,FIND("#",B717)-1), B717)</f>
        <v xml:space="preserve">Chair </v>
      </c>
      <c r="G717" s="26">
        <f>IF(ISNUMBER(SEARCH("#",B717)),VALUE(MID(B717,FIND("#",B717)+1,1000)),1)</f>
        <v>9</v>
      </c>
      <c r="H717" t="str">
        <f>IF(AND(regexMatch(B717,".*#[0-9]*$"),ISNUMBER(SEARCH("#",B717))),CONCATENATE(TRIM(F717)," #",G717),B717)</f>
        <v>Chair #9</v>
      </c>
    </row>
    <row r="718" spans="1:8" ht="15.75" thickBot="1" x14ac:dyDescent="0.3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>IF(ISNUMBER(SEARCH("#",B718)), LEFT(B718,FIND("#",B718)-1), B718)</f>
        <v xml:space="preserve">Chair </v>
      </c>
      <c r="G718" s="26">
        <f>IF(ISNUMBER(SEARCH("#",B718)),VALUE(MID(B718,FIND("#",B718)+1,1000)),1)</f>
        <v>10</v>
      </c>
      <c r="H718" t="str">
        <f>IF(AND(regexMatch(B718,".*#[0-9]*$"),ISNUMBER(SEARCH("#",B718))),CONCATENATE(TRIM(F718)," #",G718),B718)</f>
        <v>Chair #10</v>
      </c>
    </row>
    <row r="719" spans="1:8" ht="15.75" thickBot="1" x14ac:dyDescent="0.3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>IF(ISNUMBER(SEARCH("#",B719)), LEFT(B719,FIND("#",B719)-1), B719)</f>
        <v xml:space="preserve">Chair </v>
      </c>
      <c r="G719" s="26">
        <f>IF(ISNUMBER(SEARCH("#",B719)),VALUE(MID(B719,FIND("#",B719)+1,1000)),1)</f>
        <v>11</v>
      </c>
      <c r="H719" t="str">
        <f>IF(AND(regexMatch(B719,".*#[0-9]*$"),ISNUMBER(SEARCH("#",B719))),CONCATENATE(TRIM(F719)," #",G719),B719)</f>
        <v>Chair #11</v>
      </c>
    </row>
    <row r="720" spans="1:8" ht="15.75" thickBot="1" x14ac:dyDescent="0.3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>IF(ISNUMBER(SEARCH("#",B720)), LEFT(B720,FIND("#",B720)-1), B720)</f>
        <v xml:space="preserve">Chair </v>
      </c>
      <c r="G720" s="26">
        <f>IF(ISNUMBER(SEARCH("#",B720)),VALUE(MID(B720,FIND("#",B720)+1,1000)),1)</f>
        <v>12</v>
      </c>
      <c r="H720" t="str">
        <f>IF(AND(regexMatch(B720,".*#[0-9]*$"),ISNUMBER(SEARCH("#",B720))),CONCATENATE(TRIM(F720)," #",G720),B720)</f>
        <v>Chair #12</v>
      </c>
    </row>
    <row r="721" spans="1:8" ht="15.75" thickBot="1" x14ac:dyDescent="0.3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>IF(ISNUMBER(SEARCH("#",B721)), LEFT(B721,FIND("#",B721)-1), B721)</f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.75" thickBot="1" x14ac:dyDescent="0.3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>IF(ISNUMBER(SEARCH("#",B722)), LEFT(B722,FIND("#",B722)-1), B722)</f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.75" thickBot="1" x14ac:dyDescent="0.3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>IF(ISNUMBER(SEARCH("#",B723)), LEFT(B723,FIND("#",B723)-1), B723)</f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.75" thickBot="1" x14ac:dyDescent="0.3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>IF(ISNUMBER(SEARCH("#",B724)), LEFT(B724,FIND("#",B724)-1), B724)</f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.75" thickBot="1" x14ac:dyDescent="0.3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>IF(ISNUMBER(SEARCH("#",B725)), LEFT(B725,FIND("#",B725)-1), B725)</f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.75" thickBot="1" x14ac:dyDescent="0.3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>IF(ISNUMBER(SEARCH("#",B726)), LEFT(B726,FIND("#",B726)-1), B726)</f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.75" thickBot="1" x14ac:dyDescent="0.3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>IF(ISNUMBER(SEARCH("#",B727)), LEFT(B727,FIND("#",B727)-1), B727)</f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.75" thickBot="1" x14ac:dyDescent="0.3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>IF(ISNUMBER(SEARCH("#",B728)), LEFT(B728,FIND("#",B728)-1), B728)</f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.75" thickBot="1" x14ac:dyDescent="0.3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>IF(ISNUMBER(SEARCH("#",B729)), LEFT(B729,FIND("#",B729)-1), B729)</f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.75" thickBot="1" x14ac:dyDescent="0.3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>IF(ISNUMBER(SEARCH("#",B730)), LEFT(B730,FIND("#",B730)-1), B730)</f>
        <v>Dining Table Chair</v>
      </c>
      <c r="G730" s="26">
        <f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.75" thickBot="1" x14ac:dyDescent="0.3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>IF(ISNUMBER(SEARCH("#",B731)), LEFT(B731,FIND("#",B731)-1), B731)</f>
        <v xml:space="preserve">Directors Chair </v>
      </c>
      <c r="G731" s="26">
        <f>IF(ISNUMBER(SEARCH("#",B731)),VALUE(MID(B731,FIND("#",B731)+1,1000)),1)</f>
        <v>1</v>
      </c>
      <c r="H731" t="str">
        <f>IF(AND(regexMatch(B731,".*#[0-9]*$"),ISNUMBER(SEARCH("#",B731))),CONCATENATE(TRIM(F731)," #",G731),B731)</f>
        <v>Directors Chair #1</v>
      </c>
    </row>
    <row r="732" spans="1:8" ht="15.75" thickBot="1" x14ac:dyDescent="0.3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>IF(ISNUMBER(SEARCH("#",B732)), LEFT(B732,FIND("#",B732)-1), B732)</f>
        <v xml:space="preserve">Directors Chair </v>
      </c>
      <c r="G732" s="26">
        <f>IF(ISNUMBER(SEARCH("#",B732)),VALUE(MID(B732,FIND("#",B732)+1,1000)),1)</f>
        <v>2</v>
      </c>
      <c r="H732" t="str">
        <f>IF(AND(regexMatch(B732,".*#[0-9]*$"),ISNUMBER(SEARCH("#",B732))),CONCATENATE(TRIM(F732)," #",G732),B732)</f>
        <v>Directors Chair #2</v>
      </c>
    </row>
    <row r="733" spans="1:8" ht="15.75" thickBot="1" x14ac:dyDescent="0.3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>IF(ISNUMBER(SEARCH("#",B733)), LEFT(B733,FIND("#",B733)-1), B733)</f>
        <v>Easy Chair</v>
      </c>
      <c r="G733" s="26">
        <f>IF(ISNUMBER(SEARCH("#",B733)),VALUE(MID(B733,FIND("#",B733)+1,1000)),1)</f>
        <v>1</v>
      </c>
      <c r="H733" t="str">
        <f>IF(AND(regexMatch(B733,".*#[0-9]*$"),ISNUMBER(SEARCH("#",B733))),CONCATENATE(TRIM(F733)," #",G733),B733)</f>
        <v>Easy Chair</v>
      </c>
    </row>
    <row r="734" spans="1:8" ht="15.75" thickBot="1" x14ac:dyDescent="0.3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>IF(ISNUMBER(SEARCH("#",B734)), LEFT(B734,FIND("#",B734)-1), B734)</f>
        <v>FIB Waiting Area Seats</v>
      </c>
      <c r="G734" s="26">
        <f>IF(ISNUMBER(SEARCH("#",B734)),VALUE(MID(B734,FIND("#",B734)+1,1000)),1)</f>
        <v>1</v>
      </c>
      <c r="H734" t="str">
        <f>IF(AND(regexMatch(B734,".*#[0-9]*$"),ISNUMBER(SEARCH("#",B734))),CONCATENATE(TRIM(F734)," #",G734),B734)</f>
        <v>FIB Waiting Area Seats</v>
      </c>
    </row>
    <row r="735" spans="1:8" ht="15.75" thickBot="1" x14ac:dyDescent="0.3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>IF(ISNUMBER(SEARCH("#",B735)), LEFT(B735,FIND("#",B735)-1), B735)</f>
        <v>Folding Chair</v>
      </c>
      <c r="G735" s="26">
        <f>IF(ISNUMBER(SEARCH("#",B735)),VALUE(MID(B735,FIND("#",B735)+1,1000)),1)</f>
        <v>1</v>
      </c>
      <c r="H735" t="str">
        <f>IF(AND(regexMatch(B735,".*#[0-9]*$"),ISNUMBER(SEARCH("#",B735))),CONCATENATE(TRIM(F735)," #",G735),B735)</f>
        <v>Folding Chair</v>
      </c>
    </row>
    <row r="736" spans="1:8" ht="15.75" thickBot="1" x14ac:dyDescent="0.3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>IF(ISNUMBER(SEARCH("#",B736)), LEFT(B736,FIND("#",B736)-1), B736)</f>
        <v xml:space="preserve">Hobo Seat </v>
      </c>
      <c r="G736" s="26">
        <f>IF(ISNUMBER(SEARCH("#",B736)),VALUE(MID(B736,FIND("#",B736)+1,1000)),1)</f>
        <v>1</v>
      </c>
      <c r="H736" t="str">
        <f>IF(AND(regexMatch(B736,".*#[0-9]*$"),ISNUMBER(SEARCH("#",B736))),CONCATENATE(TRIM(F736)," #",G736),B736)</f>
        <v>Hobo Seat #1</v>
      </c>
    </row>
    <row r="737" spans="1:8" ht="15.75" thickBot="1" x14ac:dyDescent="0.3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>IF(ISNUMBER(SEARCH("#",B737)), LEFT(B737,FIND("#",B737)-1), B737)</f>
        <v>Large Sofa</v>
      </c>
      <c r="G737" s="26">
        <f>IF(ISNUMBER(SEARCH("#",B737)),VALUE(MID(B737,FIND("#",B737)+1,1000)),1)</f>
        <v>1</v>
      </c>
      <c r="H737" t="str">
        <f>IF(AND(regexMatch(B737,".*#[0-9]*$"),ISNUMBER(SEARCH("#",B737))),CONCATENATE(TRIM(F737)," #",G737),B737)</f>
        <v>Large Sofa</v>
      </c>
    </row>
    <row r="738" spans="1:8" ht="15.75" thickBot="1" x14ac:dyDescent="0.3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>IF(ISNUMBER(SEARCH("#",B738)), LEFT(B738,FIND("#",B738)-1), B738)</f>
        <v>Leather Office Chair</v>
      </c>
      <c r="G738" s="26">
        <f>IF(ISNUMBER(SEARCH("#",B738)),VALUE(MID(B738,FIND("#",B738)+1,1000)),1)</f>
        <v>1</v>
      </c>
      <c r="H738" t="str">
        <f>IF(AND(regexMatch(B738,".*#[0-9]*$"),ISNUMBER(SEARCH("#",B738))),CONCATENATE(TRIM(F738)," #",G738),B738)</f>
        <v>Leather Office Chair</v>
      </c>
    </row>
    <row r="739" spans="1:8" ht="15.75" thickBot="1" x14ac:dyDescent="0.3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>IF(ISNUMBER(SEARCH("#",B739)), LEFT(B739,FIND("#",B739)-1), B739)</f>
        <v>Office Chair</v>
      </c>
      <c r="G739" s="26">
        <f>IF(ISNUMBER(SEARCH("#",B739)),VALUE(MID(B739,FIND("#",B739)+1,1000)),1)</f>
        <v>1</v>
      </c>
      <c r="H739" t="str">
        <f>IF(AND(regexMatch(B739,".*#[0-9]*$"),ISNUMBER(SEARCH("#",B739))),CONCATENATE(TRIM(F739)," #",G739),B739)</f>
        <v>Office Chair</v>
      </c>
    </row>
    <row r="740" spans="1:8" ht="15.75" thickBot="1" x14ac:dyDescent="0.3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>IF(ISNUMBER(SEARCH("#",B740)), LEFT(B740,FIND("#",B740)-1), B740)</f>
        <v xml:space="preserve">Office Chair </v>
      </c>
      <c r="G740" s="26">
        <f>IF(ISNUMBER(SEARCH("#",B740)),VALUE(MID(B740,FIND("#",B740)+1,1000)),1)</f>
        <v>1</v>
      </c>
      <c r="H740" t="str">
        <f>IF(AND(regexMatch(B740,".*#[0-9]*$"),ISNUMBER(SEARCH("#",B740))),CONCATENATE(TRIM(F740)," #",G740),B740)</f>
        <v>Office Chair #1</v>
      </c>
    </row>
    <row r="741" spans="1:8" ht="15.75" thickBot="1" x14ac:dyDescent="0.3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>IF(ISNUMBER(SEARCH("#",B741)), LEFT(B741,FIND("#",B741)-1), B741)</f>
        <v xml:space="preserve">Office Chair </v>
      </c>
      <c r="G741" s="26">
        <f>IF(ISNUMBER(SEARCH("#",B741)),VALUE(MID(B741,FIND("#",B741)+1,1000)),1)</f>
        <v>2</v>
      </c>
      <c r="H741" t="str">
        <f>IF(AND(regexMatch(B741,".*#[0-9]*$"),ISNUMBER(SEARCH("#",B741))),CONCATENATE(TRIM(F741)," #",G741),B741)</f>
        <v>Office Chair #2</v>
      </c>
    </row>
    <row r="742" spans="1:8" ht="15.75" thickBot="1" x14ac:dyDescent="0.3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>IF(ISNUMBER(SEARCH("#",B742)), LEFT(B742,FIND("#",B742)-1), B742)</f>
        <v xml:space="preserve">Office Chair </v>
      </c>
      <c r="G742" s="26">
        <f>IF(ISNUMBER(SEARCH("#",B742)),VALUE(MID(B742,FIND("#",B742)+1,1000)),1)</f>
        <v>3</v>
      </c>
      <c r="H742" t="str">
        <f>IF(AND(regexMatch(B742,".*#[0-9]*$"),ISNUMBER(SEARCH("#",B742))),CONCATENATE(TRIM(F742)," #",G742),B742)</f>
        <v>Office Chair #3</v>
      </c>
    </row>
    <row r="743" spans="1:8" ht="15.75" thickBot="1" x14ac:dyDescent="0.3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>IF(ISNUMBER(SEARCH("#",B743)), LEFT(B743,FIND("#",B743)-1), B743)</f>
        <v xml:space="preserve">Office Chair </v>
      </c>
      <c r="G743" s="26">
        <f>IF(ISNUMBER(SEARCH("#",B743)),VALUE(MID(B743,FIND("#",B743)+1,1000)),1)</f>
        <v>4</v>
      </c>
      <c r="H743" t="str">
        <f>IF(AND(regexMatch(B743,".*#[0-9]*$"),ISNUMBER(SEARCH("#",B743))),CONCATENATE(TRIM(F743)," #",G743),B743)</f>
        <v>Office Chair #4</v>
      </c>
    </row>
    <row r="744" spans="1:8" ht="15.75" thickBot="1" x14ac:dyDescent="0.3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>IF(ISNUMBER(SEARCH("#",B744)), LEFT(B744,FIND("#",B744)-1), B744)</f>
        <v xml:space="preserve">Office Chair </v>
      </c>
      <c r="G744" s="26">
        <f>IF(ISNUMBER(SEARCH("#",B744)),VALUE(MID(B744,FIND("#",B744)+1,1000)),1)</f>
        <v>5</v>
      </c>
      <c r="H744" t="str">
        <f>IF(AND(regexMatch(B744,".*#[0-9]*$"),ISNUMBER(SEARCH("#",B744))),CONCATENATE(TRIM(F744)," #",G744),B744)</f>
        <v>Office Chair #5</v>
      </c>
    </row>
    <row r="745" spans="1:8" ht="15.75" thickBot="1" x14ac:dyDescent="0.3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>IF(ISNUMBER(SEARCH("#",B745)), LEFT(B745,FIND("#",B745)-1), B745)</f>
        <v xml:space="preserve">Office Chair </v>
      </c>
      <c r="G745" s="26">
        <f>IF(ISNUMBER(SEARCH("#",B745)),VALUE(MID(B745,FIND("#",B745)+1,1000)),1)</f>
        <v>6</v>
      </c>
      <c r="H745" t="str">
        <f>IF(AND(regexMatch(B745,".*#[0-9]*$"),ISNUMBER(SEARCH("#",B745))),CONCATENATE(TRIM(F745)," #",G745),B745)</f>
        <v>Office Chair #6</v>
      </c>
    </row>
    <row r="746" spans="1:8" ht="15.75" thickBot="1" x14ac:dyDescent="0.3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>IF(ISNUMBER(SEARCH("#",B746)), LEFT(B746,FIND("#",B746)-1), B746)</f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.75" thickBot="1" x14ac:dyDescent="0.3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>IF(ISNUMBER(SEARCH("#",B747)), LEFT(B747,FIND("#",B747)-1), B747)</f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.75" thickBot="1" x14ac:dyDescent="0.3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>IF(ISNUMBER(SEARCH("#",B748)), LEFT(B748,FIND("#",B748)-1), B748)</f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.75" thickBot="1" x14ac:dyDescent="0.3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>IF(ISNUMBER(SEARCH("#",B749)), LEFT(B749,FIND("#",B749)-1), B749)</f>
        <v xml:space="preserve">Old Deckchair </v>
      </c>
      <c r="G749" s="26">
        <f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.75" thickBot="1" x14ac:dyDescent="0.3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>IF(ISNUMBER(SEARCH("#",B750)), LEFT(B750,FIND("#",B750)-1), B750)</f>
        <v xml:space="preserve">Old Deckchair </v>
      </c>
      <c r="G750" s="26">
        <f>IF(ISNUMBER(SEARCH("#",B750)),VALUE(MID(B750,FIND("#",B750)+1,1000)),1)</f>
        <v>2</v>
      </c>
      <c r="H750" t="str">
        <f>IF(AND(regexMatch(B750,".*#[0-9]*$"),ISNUMBER(SEARCH("#",B750))),CONCATENATE(TRIM(F750)," #",G750),B750)</f>
        <v>Old Deckchair #2</v>
      </c>
    </row>
    <row r="751" spans="1:8" ht="15.75" thickBot="1" x14ac:dyDescent="0.3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>IF(ISNUMBER(SEARCH("#",B751)), LEFT(B751,FIND("#",B751)-1), B751)</f>
        <v>Old Wooden Chair</v>
      </c>
      <c r="G751" s="26">
        <f>IF(ISNUMBER(SEARCH("#",B751)),VALUE(MID(B751,FIND("#",B751)+1,1000)),1)</f>
        <v>1</v>
      </c>
      <c r="H751" t="str">
        <f>IF(AND(regexMatch(B751,".*#[0-9]*$"),ISNUMBER(SEARCH("#",B751))),CONCATENATE(TRIM(F751)," #",G751),B751)</f>
        <v>Old Wooden Chair</v>
      </c>
    </row>
    <row r="752" spans="1:8" ht="15.75" thickBot="1" x14ac:dyDescent="0.3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>IF(ISNUMBER(SEARCH("#",B752)), LEFT(B752,FIND("#",B752)-1), B752)</f>
        <v>Patio Lounger</v>
      </c>
      <c r="G752" s="26">
        <f>IF(ISNUMBER(SEARCH("#",B752)),VALUE(MID(B752,FIND("#",B752)+1,1000)),1)</f>
        <v>1</v>
      </c>
      <c r="H752" t="str">
        <f>IF(AND(regexMatch(B752,".*#[0-9]*$"),ISNUMBER(SEARCH("#",B752))),CONCATENATE(TRIM(F752)," #",G752),B752)</f>
        <v>Patio Lounger</v>
      </c>
    </row>
    <row r="753" spans="1:8" ht="15.75" thickBot="1" x14ac:dyDescent="0.3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>IF(ISNUMBER(SEARCH("#",B753)), LEFT(B753,FIND("#",B753)-1), B753)</f>
        <v xml:space="preserve">Patio Lounger </v>
      </c>
      <c r="G753" s="26">
        <f>IF(ISNUMBER(SEARCH("#",B753)),VALUE(MID(B753,FIND("#",B753)+1,1000)),1)</f>
        <v>1</v>
      </c>
      <c r="H753" t="str">
        <f>IF(AND(regexMatch(B753,".*#[0-9]*$"),ISNUMBER(SEARCH("#",B753))),CONCATENATE(TRIM(F753)," #",G753),B753)</f>
        <v>Patio Lounger #1</v>
      </c>
    </row>
    <row r="754" spans="1:8" ht="15.75" thickBot="1" x14ac:dyDescent="0.3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>IF(ISNUMBER(SEARCH("#",B754)), LEFT(B754,FIND("#",B754)-1), B754)</f>
        <v xml:space="preserve">Patio Lounger </v>
      </c>
      <c r="G754" s="26">
        <f>IF(ISNUMBER(SEARCH("#",B754)),VALUE(MID(B754,FIND("#",B754)+1,1000)),1)</f>
        <v>2</v>
      </c>
      <c r="H754" t="str">
        <f>IF(AND(regexMatch(B754,".*#[0-9]*$"),ISNUMBER(SEARCH("#",B754))),CONCATENATE(TRIM(F754)," #",G754),B754)</f>
        <v>Patio Lounger #2</v>
      </c>
    </row>
    <row r="755" spans="1:8" ht="15.75" thickBot="1" x14ac:dyDescent="0.3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>IF(ISNUMBER(SEARCH("#",B755)), LEFT(B755,FIND("#",B755)-1), B755)</f>
        <v xml:space="preserve">Patio Lounger </v>
      </c>
      <c r="G755" s="26">
        <f>IF(ISNUMBER(SEARCH("#",B755)),VALUE(MID(B755,FIND("#",B755)+1,1000)),1)</f>
        <v>3</v>
      </c>
      <c r="H755" t="str">
        <f>IF(AND(regexMatch(B755,".*#[0-9]*$"),ISNUMBER(SEARCH("#",B755))),CONCATENATE(TRIM(F755)," #",G755),B755)</f>
        <v>Patio Lounger #3</v>
      </c>
    </row>
    <row r="756" spans="1:8" ht="15.75" thickBot="1" x14ac:dyDescent="0.3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>IF(ISNUMBER(SEARCH("#",B756)), LEFT(B756,FIND("#",B756)-1), B756)</f>
        <v xml:space="preserve">Patio Lounger </v>
      </c>
      <c r="G756" s="26">
        <f>IF(ISNUMBER(SEARCH("#",B756)),VALUE(MID(B756,FIND("#",B756)+1,1000)),1)</f>
        <v>4</v>
      </c>
      <c r="H756" t="str">
        <f>IF(AND(regexMatch(B756,".*#[0-9]*$"),ISNUMBER(SEARCH("#",B756))),CONCATENATE(TRIM(F756)," #",G756),B756)</f>
        <v>Patio Lounger #4</v>
      </c>
    </row>
    <row r="757" spans="1:8" ht="15.75" thickBot="1" x14ac:dyDescent="0.3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>IF(ISNUMBER(SEARCH("#",B757)), LEFT(B757,FIND("#",B757)-1), B757)</f>
        <v>Rocking Chair</v>
      </c>
      <c r="G757" s="26">
        <f>IF(ISNUMBER(SEARCH("#",B757)),VALUE(MID(B757,FIND("#",B757)+1,1000)),1)</f>
        <v>1</v>
      </c>
      <c r="H757" t="str">
        <f>IF(AND(regexMatch(B757,".*#[0-9]*$"),ISNUMBER(SEARCH("#",B757))),CONCATENATE(TRIM(F757)," #",G757),B757)</f>
        <v>Rocking Chair</v>
      </c>
    </row>
    <row r="758" spans="1:8" ht="15.75" thickBot="1" x14ac:dyDescent="0.3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>IF(ISNUMBER(SEARCH("#",B758)), LEFT(B758,FIND("#",B758)-1), B758)</f>
        <v xml:space="preserve">Sofa </v>
      </c>
      <c r="G758" s="26">
        <f>IF(ISNUMBER(SEARCH("#",B758)),VALUE(MID(B758,FIND("#",B758)+1,1000)),1)</f>
        <v>1</v>
      </c>
      <c r="H758" t="str">
        <f>IF(AND(regexMatch(B758,".*#[0-9]*$"),ISNUMBER(SEARCH("#",B758))),CONCATENATE(TRIM(F758)," #",G758),B758)</f>
        <v>Sofa #1</v>
      </c>
    </row>
    <row r="759" spans="1:8" ht="15.75" thickBot="1" x14ac:dyDescent="0.3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>IF(ISNUMBER(SEARCH("#",B759)), LEFT(B759,FIND("#",B759)-1), B759)</f>
        <v xml:space="preserve">Sofa </v>
      </c>
      <c r="G759" s="26">
        <f>IF(ISNUMBER(SEARCH("#",B759)),VALUE(MID(B759,FIND("#",B759)+1,1000)),1)</f>
        <v>2</v>
      </c>
      <c r="H759" t="str">
        <f>IF(AND(regexMatch(B759,".*#[0-9]*$"),ISNUMBER(SEARCH("#",B759))),CONCATENATE(TRIM(F759)," #",G759),B759)</f>
        <v>Sofa #2</v>
      </c>
    </row>
    <row r="760" spans="1:8" ht="15.75" thickBot="1" x14ac:dyDescent="0.3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>IF(ISNUMBER(SEARCH("#",B760)), LEFT(B760,FIND("#",B760)-1), B760)</f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.75" thickBot="1" x14ac:dyDescent="0.3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>IF(ISNUMBER(SEARCH("#",B761)), LEFT(B761,FIND("#",B761)-1), B761)</f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.75" thickBot="1" x14ac:dyDescent="0.3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>IF(ISNUMBER(SEARCH("#",B762)), LEFT(B762,FIND("#",B762)-1), B762)</f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.75" thickBot="1" x14ac:dyDescent="0.3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>IF(ISNUMBER(SEARCH("#",B763)), LEFT(B763,FIND("#",B763)-1), B763)</f>
        <v>Solomon's Chair</v>
      </c>
      <c r="G763" s="26">
        <f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.75" thickBot="1" x14ac:dyDescent="0.3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>IF(ISNUMBER(SEARCH("#",B764)), LEFT(B764,FIND("#",B764)-1), B764)</f>
        <v xml:space="preserve">Table </v>
      </c>
      <c r="G764" s="26">
        <f>IF(ISNUMBER(SEARCH("#",B764)),VALUE(MID(B764,FIND("#",B764)+1,1000)),1)</f>
        <v>14</v>
      </c>
      <c r="H764" t="str">
        <f>IF(AND(regexMatch(B764,".*#[0-9]*$"),ISNUMBER(SEARCH("#",B764))),CONCATENATE(TRIM(F764)," #",G764),B764)</f>
        <v>Table #14</v>
      </c>
    </row>
    <row r="765" spans="1:8" ht="15.75" thickBot="1" x14ac:dyDescent="0.3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>IF(ISNUMBER(SEARCH("#",B765)), LEFT(B765,FIND("#",B765)-1), B765)</f>
        <v>Tatty Armchair</v>
      </c>
      <c r="G765" s="26">
        <f>IF(ISNUMBER(SEARCH("#",B765)),VALUE(MID(B765,FIND("#",B765)+1,1000)),1)</f>
        <v>1</v>
      </c>
      <c r="H765" t="str">
        <f>IF(AND(regexMatch(B765,".*#[0-9]*$"),ISNUMBER(SEARCH("#",B765))),CONCATENATE(TRIM(F765)," #",G765),B765)</f>
        <v>Tatty Armchair</v>
      </c>
    </row>
    <row r="766" spans="1:8" ht="15.75" thickBot="1" x14ac:dyDescent="0.3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>IF(ISNUMBER(SEARCH("#",B766)), LEFT(B766,FIND("#",B766)-1), B766)</f>
        <v>Tennis Umpire Chair</v>
      </c>
      <c r="G766" s="26">
        <f>IF(ISNUMBER(SEARCH("#",B766)),VALUE(MID(B766,FIND("#",B766)+1,1000)),1)</f>
        <v>1</v>
      </c>
      <c r="H766" t="str">
        <f>IF(AND(regexMatch(B766,".*#[0-9]*$"),ISNUMBER(SEARCH("#",B766))),CONCATENATE(TRIM(F766)," #",G766),B766)</f>
        <v>Tennis Umpire Chair</v>
      </c>
    </row>
    <row r="767" spans="1:8" ht="15.75" thickBot="1" x14ac:dyDescent="0.3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>IF(ISNUMBER(SEARCH("#",B767)), LEFT(B767,FIND("#",B767)-1), B767)</f>
        <v>Torture Chair</v>
      </c>
      <c r="G767" s="26">
        <f>IF(ISNUMBER(SEARCH("#",B767)),VALUE(MID(B767,FIND("#",B767)+1,1000)),1)</f>
        <v>1</v>
      </c>
      <c r="H767" t="str">
        <f>IF(AND(regexMatch(B767,".*#[0-9]*$"),ISNUMBER(SEARCH("#",B767))),CONCATENATE(TRIM(F767)," #",G767),B767)</f>
        <v>Torture Chair</v>
      </c>
    </row>
    <row r="768" spans="1:8" ht="15.75" thickBot="1" x14ac:dyDescent="0.3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>IF(ISNUMBER(SEARCH("#",B768)), LEFT(B768,FIND("#",B768)-1), B768)</f>
        <v>Venice Market Stool</v>
      </c>
      <c r="G768" s="26">
        <f>IF(ISNUMBER(SEARCH("#",B768)),VALUE(MID(B768,FIND("#",B768)+1,1000)),1)</f>
        <v>1</v>
      </c>
      <c r="H768" t="str">
        <f>IF(AND(regexMatch(B768,".*#[0-9]*$"),ISNUMBER(SEARCH("#",B768))),CONCATENATE(TRIM(F768)," #",G768),B768)</f>
        <v>Venice Market Stool</v>
      </c>
    </row>
    <row r="769" spans="1:8" ht="15.75" thickBot="1" x14ac:dyDescent="0.3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>IF(ISNUMBER(SEARCH("#",B769)), LEFT(B769,FIND("#",B769)-1), B769)</f>
        <v>Waiting Area Bench</v>
      </c>
      <c r="G769" s="26">
        <f>IF(ISNUMBER(SEARCH("#",B769)),VALUE(MID(B769,FIND("#",B769)+1,1000)),1)</f>
        <v>1</v>
      </c>
      <c r="H769" t="str">
        <f>IF(AND(regexMatch(B769,".*#[0-9]*$"),ISNUMBER(SEARCH("#",B769))),CONCATENATE(TRIM(F769)," #",G769),B769)</f>
        <v>Waiting Area Bench</v>
      </c>
    </row>
    <row r="770" spans="1:8" ht="15.75" thickBot="1" x14ac:dyDescent="0.3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>IF(ISNUMBER(SEARCH("#",B770)), LEFT(B770,FIND("#",B770)-1), B770)</f>
        <v>Waiting Area Seat</v>
      </c>
      <c r="G770" s="26">
        <f>IF(ISNUMBER(SEARCH("#",B770)),VALUE(MID(B770,FIND("#",B770)+1,1000)),1)</f>
        <v>1</v>
      </c>
      <c r="H770" t="str">
        <f>IF(AND(regexMatch(B770,".*#[0-9]*$"),ISNUMBER(SEARCH("#",B770))),CONCATENATE(TRIM(F770)," #",G770),B770)</f>
        <v>Waiting Area Seat</v>
      </c>
    </row>
    <row r="771" spans="1:8" ht="15.75" thickBot="1" x14ac:dyDescent="0.3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>IF(ISNUMBER(SEARCH("#",B771)), LEFT(B771,FIND("#",B771)-1), B771)</f>
        <v>Wooden Chair Arms</v>
      </c>
      <c r="G771" s="26">
        <f>IF(ISNUMBER(SEARCH("#",B771)),VALUE(MID(B771,FIND("#",B771)+1,1000)),1)</f>
        <v>1</v>
      </c>
      <c r="H771" t="str">
        <f>IF(AND(regexMatch(B771,".*#[0-9]*$"),ISNUMBER(SEARCH("#",B771))),CONCATENATE(TRIM(F771)," #",G771),B771)</f>
        <v>Wooden Chair Arms</v>
      </c>
    </row>
    <row r="772" spans="1:8" ht="15.75" thickBot="1" x14ac:dyDescent="0.3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>IF(ISNUMBER(SEARCH("#",B772)), LEFT(B772,FIND("#",B772)-1), B772)</f>
        <v>Wooden Chair No Arms</v>
      </c>
      <c r="G772" s="26">
        <f>IF(ISNUMBER(SEARCH("#",B772)),VALUE(MID(B772,FIND("#",B772)+1,1000)),1)</f>
        <v>1</v>
      </c>
      <c r="H772" t="str">
        <f>IF(AND(regexMatch(B772,".*#[0-9]*$"),ISNUMBER(SEARCH("#",B772))),CONCATENATE(TRIM(F772)," #",G772),B772)</f>
        <v>Wooden Chair No Arms</v>
      </c>
    </row>
    <row r="773" spans="1:8" ht="15.75" thickBot="1" x14ac:dyDescent="0.3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>IF(ISNUMBER(SEARCH("#",B773)), LEFT(B773,FIND("#",B773)-1), B773)</f>
        <v>Yacht Lounger</v>
      </c>
      <c r="G773" s="26">
        <f>IF(ISNUMBER(SEARCH("#",B773)),VALUE(MID(B773,FIND("#",B773)+1,1000)),1)</f>
        <v>1</v>
      </c>
      <c r="H773" t="str">
        <f>IF(AND(regexMatch(B773,".*#[0-9]*$"),ISNUMBER(SEARCH("#",B773))),CONCATENATE(TRIM(F773)," #",G773),B773)</f>
        <v>Yacht Lounger</v>
      </c>
    </row>
    <row r="774" spans="1:8" ht="15.75" thickBot="1" x14ac:dyDescent="0.3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>IF(ISNUMBER(SEARCH("#",B774)), LEFT(B774,FIND("#",B774)-1), B774)</f>
        <v xml:space="preserve">Yacht Seat </v>
      </c>
      <c r="G774" s="26">
        <f>IF(ISNUMBER(SEARCH("#",B774)),VALUE(MID(B774,FIND("#",B774)+1,1000)),1)</f>
        <v>1</v>
      </c>
      <c r="H774" t="str">
        <f>IF(AND(regexMatch(B774,".*#[0-9]*$"),ISNUMBER(SEARCH("#",B774))),CONCATENATE(TRIM(F774)," #",G774),B774)</f>
        <v>Yacht Seat #1</v>
      </c>
    </row>
    <row r="775" spans="1:8" ht="15.75" thickBot="1" x14ac:dyDescent="0.3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>IF(ISNUMBER(SEARCH("#",B775)), LEFT(B775,FIND("#",B775)-1), B775)</f>
        <v xml:space="preserve">Yacht Seat </v>
      </c>
      <c r="G775" s="26">
        <f>IF(ISNUMBER(SEARCH("#",B775)),VALUE(MID(B775,FIND("#",B775)+1,1000)),1)</f>
        <v>2</v>
      </c>
      <c r="H775" t="str">
        <f>IF(AND(regexMatch(B775,".*#[0-9]*$"),ISNUMBER(SEARCH("#",B775))),CONCATENATE(TRIM(F775)," #",G775),B775)</f>
        <v>Yacht Seat #2</v>
      </c>
    </row>
    <row r="776" spans="1:8" ht="15.75" thickBot="1" x14ac:dyDescent="0.3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>IF(ISNUMBER(SEARCH("#",B776)), LEFT(B776,FIND("#",B776)-1), B776)</f>
        <v xml:space="preserve">Yacht Seat </v>
      </c>
      <c r="G776" s="26">
        <f>IF(ISNUMBER(SEARCH("#",B776)),VALUE(MID(B776,FIND("#",B776)+1,1000)),1)</f>
        <v>3</v>
      </c>
      <c r="H776" t="str">
        <f>IF(AND(regexMatch(B776,".*#[0-9]*$"),ISNUMBER(SEARCH("#",B776))),CONCATENATE(TRIM(F776)," #",G776),B776)</f>
        <v>Yacht Seat #3</v>
      </c>
    </row>
    <row r="777" spans="1:8" ht="15.75" thickBot="1" x14ac:dyDescent="0.3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>IF(ISNUMBER(SEARCH("#",B777)), LEFT(B777,FIND("#",B777)-1), B777)</f>
        <v>Big Clock</v>
      </c>
      <c r="G777" s="26">
        <f>IF(ISNUMBER(SEARCH("#",B777)),VALUE(MID(B777,FIND("#",B777)+1,1000)),1)</f>
        <v>1</v>
      </c>
      <c r="H777" t="str">
        <f>IF(AND(regexMatch(B777,".*#[0-9]*$"),ISNUMBER(SEARCH("#",B777))),CONCATENATE(TRIM(F777)," #",G777),B777)</f>
        <v>Big Clock</v>
      </c>
    </row>
    <row r="778" spans="1:8" ht="15.75" thickBot="1" x14ac:dyDescent="0.3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>IF(ISNUMBER(SEARCH("#",B778)), LEFT(B778,FIND("#",B778)-1), B778)</f>
        <v>Egg Shaped Clock</v>
      </c>
      <c r="G778" s="26">
        <f>IF(ISNUMBER(SEARCH("#",B778)),VALUE(MID(B778,FIND("#",B778)+1,1000)),1)</f>
        <v>1</v>
      </c>
      <c r="H778" t="str">
        <f>IF(AND(regexMatch(B778,".*#[0-9]*$"),ISNUMBER(SEARCH("#",B778))),CONCATENATE(TRIM(F778)," #",G778),B778)</f>
        <v>Egg Shaped Clock</v>
      </c>
    </row>
    <row r="779" spans="1:8" ht="15.75" thickBot="1" x14ac:dyDescent="0.3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>IF(ISNUMBER(SEARCH("#",B779)), LEFT(B779,FIND("#",B779)-1), B779)</f>
        <v>Hotel Clock</v>
      </c>
      <c r="G779" s="26">
        <f>IF(ISNUMBER(SEARCH("#",B779)),VALUE(MID(B779,FIND("#",B779)+1,1000)),1)</f>
        <v>1</v>
      </c>
      <c r="H779" t="str">
        <f>IF(AND(regexMatch(B779,".*#[0-9]*$"),ISNUMBER(SEARCH("#",B779))),CONCATENATE(TRIM(F779)," #",G779),B779)</f>
        <v>Hotel Clock</v>
      </c>
    </row>
    <row r="780" spans="1:8" ht="15.75" thickBot="1" x14ac:dyDescent="0.3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>IF(ISNUMBER(SEARCH("#",B780)), LEFT(B780,FIND("#",B780)-1), B780)</f>
        <v>Large Outline Clock</v>
      </c>
      <c r="G780" s="26">
        <f>IF(ISNUMBER(SEARCH("#",B780)),VALUE(MID(B780,FIND("#",B780)+1,1000)),1)</f>
        <v>1</v>
      </c>
      <c r="H780" t="str">
        <f>IF(AND(regexMatch(B780,".*#[0-9]*$"),ISNUMBER(SEARCH("#",B780))),CONCATENATE(TRIM(F780)," #",G780),B780)</f>
        <v>Large Outline Clock</v>
      </c>
    </row>
    <row r="781" spans="1:8" ht="15.75" thickBot="1" x14ac:dyDescent="0.3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>IF(ISNUMBER(SEARCH("#",B781)), LEFT(B781,FIND("#",B781)-1), B781)</f>
        <v>Misc Clock</v>
      </c>
      <c r="G781" s="26">
        <f>IF(ISNUMBER(SEARCH("#",B781)),VALUE(MID(B781,FIND("#",B781)+1,1000)),1)</f>
        <v>1</v>
      </c>
      <c r="H781" t="str">
        <f>IF(AND(regexMatch(B781,".*#[0-9]*$"),ISNUMBER(SEARCH("#",B781))),CONCATENATE(TRIM(F781)," #",G781),B781)</f>
        <v>Misc Clock</v>
      </c>
    </row>
    <row r="782" spans="1:8" ht="15.75" thickBot="1" x14ac:dyDescent="0.3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>IF(ISNUMBER(SEARCH("#",B782)), LEFT(B782,FIND("#",B782)-1), B782)</f>
        <v>Small Clock</v>
      </c>
      <c r="G782" s="26">
        <f>IF(ISNUMBER(SEARCH("#",B782)),VALUE(MID(B782,FIND("#",B782)+1,1000)),1)</f>
        <v>1</v>
      </c>
      <c r="H782" t="str">
        <f>IF(AND(regexMatch(B782,".*#[0-9]*$"),ISNUMBER(SEARCH("#",B782))),CONCATENATE(TRIM(F782)," #",G782),B782)</f>
        <v>Small Clock</v>
      </c>
    </row>
    <row r="783" spans="1:8" ht="15.75" thickBot="1" x14ac:dyDescent="0.3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>IF(ISNUMBER(SEARCH("#",B783)), LEFT(B783,FIND("#",B783)-1), B783)</f>
        <v>Sports Clock</v>
      </c>
      <c r="G783" s="26">
        <f>IF(ISNUMBER(SEARCH("#",B783)),VALUE(MID(B783,FIND("#",B783)+1,1000)),1)</f>
        <v>1</v>
      </c>
      <c r="H783" t="str">
        <f>IF(AND(regexMatch(B783,".*#[0-9]*$"),ISNUMBER(SEARCH("#",B783))),CONCATENATE(TRIM(F783)," #",G783),B783)</f>
        <v>Sports Clock</v>
      </c>
    </row>
    <row r="784" spans="1:8" ht="15.75" thickBot="1" x14ac:dyDescent="0.3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>IF(ISNUMBER(SEARCH("#",B784)), LEFT(B784,FIND("#",B784)-1), B784)</f>
        <v>USA Wall Clock</v>
      </c>
      <c r="G784" s="26">
        <f>IF(ISNUMBER(SEARCH("#",B784)),VALUE(MID(B784,FIND("#",B784)+1,1000)),1)</f>
        <v>1</v>
      </c>
      <c r="H784" t="str">
        <f>IF(AND(regexMatch(B784,".*#[0-9]*$"),ISNUMBER(SEARCH("#",B784))),CONCATENATE(TRIM(F784)," #",G784),B784)</f>
        <v>USA Wall Clock</v>
      </c>
    </row>
    <row r="785" spans="1:8" ht="15.75" thickBot="1" x14ac:dyDescent="0.3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>IF(ISNUMBER(SEARCH("#",B785)), LEFT(B785,FIND("#",B785)-1), B785)</f>
        <v xml:space="preserve">Wall Clock </v>
      </c>
      <c r="G785" s="26">
        <f>IF(ISNUMBER(SEARCH("#",B785)),VALUE(MID(B785,FIND("#",B785)+1,1000)),1)</f>
        <v>1</v>
      </c>
      <c r="H785" t="str">
        <f>IF(AND(regexMatch(B785,".*#[0-9]*$"),ISNUMBER(SEARCH("#",B785))),CONCATENATE(TRIM(F785)," #",G785),B785)</f>
        <v>Wall Clock #1</v>
      </c>
    </row>
    <row r="786" spans="1:8" ht="15.75" thickBot="1" x14ac:dyDescent="0.3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>IF(ISNUMBER(SEARCH("#",B786)), LEFT(B786,FIND("#",B786)-1), B786)</f>
        <v xml:space="preserve">Wall Clock </v>
      </c>
      <c r="G786" s="26">
        <f>IF(ISNUMBER(SEARCH("#",B786)),VALUE(MID(B786,FIND("#",B786)+1,1000)),1)</f>
        <v>2</v>
      </c>
      <c r="H786" t="str">
        <f>IF(AND(regexMatch(B786,".*#[0-9]*$"),ISNUMBER(SEARCH("#",B786))),CONCATENATE(TRIM(F786)," #",G786),B786)</f>
        <v>Wall Clock #2</v>
      </c>
    </row>
    <row r="787" spans="1:8" ht="15.75" thickBot="1" x14ac:dyDescent="0.3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>IF(ISNUMBER(SEARCH("#",B787)), LEFT(B787,FIND("#",B787)-1), B787)</f>
        <v>Amanda Shoe</v>
      </c>
      <c r="G787" s="26">
        <f>IF(ISNUMBER(SEARCH("#",B787)),VALUE(MID(B787,FIND("#",B787)+1,1000)),1)</f>
        <v>1</v>
      </c>
      <c r="H787" t="str">
        <f>IF(AND(regexMatch(B787,".*#[0-9]*$"),ISNUMBER(SEARCH("#",B787))),CONCATENATE(TRIM(F787)," #",G787),B787)</f>
        <v>Amanda Shoe</v>
      </c>
    </row>
    <row r="788" spans="1:8" ht="15.75" thickBot="1" x14ac:dyDescent="0.3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>IF(ISNUMBER(SEARCH("#",B788)), LEFT(B788,FIND("#",B788)-1), B788)</f>
        <v>Aviators</v>
      </c>
      <c r="G788" s="26">
        <f>IF(ISNUMBER(SEARCH("#",B788)),VALUE(MID(B788,FIND("#",B788)+1,1000)),1)</f>
        <v>1</v>
      </c>
      <c r="H788" t="str">
        <f>IF(AND(regexMatch(B788,".*#[0-9]*$"),ISNUMBER(SEARCH("#",B788))),CONCATENATE(TRIM(F788)," #",G788),B788)</f>
        <v>Aviators</v>
      </c>
    </row>
    <row r="789" spans="1:8" ht="15.75" thickBot="1" x14ac:dyDescent="0.3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>IF(ISNUMBER(SEARCH("#",B789)), LEFT(B789,FIND("#",B789)-1), B789)</f>
        <v>Bandana</v>
      </c>
      <c r="G789" s="26">
        <f>IF(ISNUMBER(SEARCH("#",B789)),VALUE(MID(B789,FIND("#",B789)+1,1000)),1)</f>
        <v>1</v>
      </c>
      <c r="H789" t="str">
        <f>IF(AND(regexMatch(B789,".*#[0-9]*$"),ISNUMBER(SEARCH("#",B789))),CONCATENATE(TRIM(F789)," #",G789),B789)</f>
        <v>Bandana</v>
      </c>
    </row>
    <row r="790" spans="1:8" ht="15.75" thickBot="1" x14ac:dyDescent="0.3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>IF(ISNUMBER(SEARCH("#",B790)), LEFT(B790,FIND("#",B790)-1), B790)</f>
        <v>Bright Balaclava</v>
      </c>
      <c r="G790" s="26">
        <f>IF(ISNUMBER(SEARCH("#",B790)),VALUE(MID(B790,FIND("#",B790)+1,1000)),1)</f>
        <v>1</v>
      </c>
      <c r="H790" t="str">
        <f>IF(AND(regexMatch(B790,".*#[0-9]*$"),ISNUMBER(SEARCH("#",B790))),CONCATENATE(TRIM(F790)," #",G790),B790)</f>
        <v>Bright Balaclava</v>
      </c>
    </row>
    <row r="791" spans="1:8" ht="15.75" thickBot="1" x14ac:dyDescent="0.3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>IF(ISNUMBER(SEARCH("#",B791)), LEFT(B791,FIND("#",B791)-1), B791)</f>
        <v>Busker Hat</v>
      </c>
      <c r="G791" s="26">
        <f>IF(ISNUMBER(SEARCH("#",B791)),VALUE(MID(B791,FIND("#",B791)+1,1000)),1)</f>
        <v>1</v>
      </c>
      <c r="H791" t="str">
        <f>IF(AND(regexMatch(B791,".*#[0-9]*$"),ISNUMBER(SEARCH("#",B791))),CONCATENATE(TRIM(F791)," #",G791),B791)</f>
        <v>Busker Hat</v>
      </c>
    </row>
    <row r="792" spans="1:8" ht="15.75" thickBot="1" x14ac:dyDescent="0.3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>IF(ISNUMBER(SEARCH("#",B792)), LEFT(B792,FIND("#",B792)-1), B792)</f>
        <v>Cowboy Hat</v>
      </c>
      <c r="G792" s="26">
        <f>IF(ISNUMBER(SEARCH("#",B792)),VALUE(MID(B792,FIND("#",B792)+1,1000)),1)</f>
        <v>1</v>
      </c>
      <c r="H792" t="str">
        <f>IF(AND(regexMatch(B792,".*#[0-9]*$"),ISNUMBER(SEARCH("#",B792))),CONCATENATE(TRIM(F792)," #",G792),B792)</f>
        <v>Cowboy Hat</v>
      </c>
    </row>
    <row r="793" spans="1:8" ht="15.75" thickBot="1" x14ac:dyDescent="0.3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>IF(ISNUMBER(SEARCH("#",B793)), LEFT(B793,FIND("#",B793)-1), B793)</f>
        <v>Earrings</v>
      </c>
      <c r="G793" s="26">
        <f>IF(ISNUMBER(SEARCH("#",B793)),VALUE(MID(B793,FIND("#",B793)+1,1000)),1)</f>
        <v>1</v>
      </c>
      <c r="H793" t="str">
        <f>IF(AND(regexMatch(B793,".*#[0-9]*$"),ISNUMBER(SEARCH("#",B793))),CONCATENATE(TRIM(F793)," #",G793),B793)</f>
        <v>Earrings</v>
      </c>
    </row>
    <row r="794" spans="1:8" ht="15.75" thickBot="1" x14ac:dyDescent="0.3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>IF(ISNUMBER(SEARCH("#",B794)), LEFT(B794,FIND("#",B794)-1), B794)</f>
        <v>Gas Mask</v>
      </c>
      <c r="G794" s="26">
        <f>IF(ISNUMBER(SEARCH("#",B794)),VALUE(MID(B794,FIND("#",B794)+1,1000)),1)</f>
        <v>1</v>
      </c>
      <c r="H794" t="str">
        <f>IF(AND(regexMatch(B794,".*#[0-9]*$"),ISNUMBER(SEARCH("#",B794))),CONCATENATE(TRIM(F794)," #",G794),B794)</f>
        <v>Gas Mask</v>
      </c>
    </row>
    <row r="795" spans="1:8" ht="15.75" thickBot="1" x14ac:dyDescent="0.3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>IF(ISNUMBER(SEARCH("#",B795)), LEFT(B795,FIND("#",B795)-1), B795)</f>
        <v xml:space="preserve">Jeans </v>
      </c>
      <c r="G795" s="26">
        <f>IF(ISNUMBER(SEARCH("#",B795)),VALUE(MID(B795,FIND("#",B795)+1,1000)),1)</f>
        <v>1</v>
      </c>
      <c r="H795" t="str">
        <f>IF(AND(regexMatch(B795,".*#[0-9]*$"),ISNUMBER(SEARCH("#",B795))),CONCATENATE(TRIM(F795)," #",G795),B795)</f>
        <v>Jeans #1</v>
      </c>
    </row>
    <row r="796" spans="1:8" ht="15.75" thickBot="1" x14ac:dyDescent="0.3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>IF(ISNUMBER(SEARCH("#",B796)), LEFT(B796,FIND("#",B796)-1), B796)</f>
        <v xml:space="preserve">Jeans </v>
      </c>
      <c r="G796" s="26">
        <f>IF(ISNUMBER(SEARCH("#",B796)),VALUE(MID(B796,FIND("#",B796)+1,1000)),1)</f>
        <v>2</v>
      </c>
      <c r="H796" t="str">
        <f>IF(AND(regexMatch(B796,".*#[0-9]*$"),ISNUMBER(SEARCH("#",B796))),CONCATENATE(TRIM(F796)," #",G796),B796)</f>
        <v>Jeans #2</v>
      </c>
    </row>
    <row r="797" spans="1:8" ht="15.75" thickBot="1" x14ac:dyDescent="0.3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>IF(ISNUMBER(SEARCH("#",B797)), LEFT(B797,FIND("#",B797)-1), B797)</f>
        <v xml:space="preserve">Lazlow Jeans </v>
      </c>
      <c r="G797" s="26">
        <f>IF(ISNUMBER(SEARCH("#",B797)),VALUE(MID(B797,FIND("#",B797)+1,1000)),1)</f>
        <v>1</v>
      </c>
      <c r="H797" t="str">
        <f>IF(AND(regexMatch(B797,".*#[0-9]*$"),ISNUMBER(SEARCH("#",B797))),CONCATENATE(TRIM(F797)," #",G797),B797)</f>
        <v>Lazlow Jeans #1</v>
      </c>
    </row>
    <row r="798" spans="1:8" ht="15.75" thickBot="1" x14ac:dyDescent="0.3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>IF(ISNUMBER(SEARCH("#",B798)), LEFT(B798,FIND("#",B798)-1), B798)</f>
        <v xml:space="preserve">Lazlow Jeans </v>
      </c>
      <c r="G798" s="26">
        <f>IF(ISNUMBER(SEARCH("#",B798)),VALUE(MID(B798,FIND("#",B798)+1,1000)),1)</f>
        <v>2</v>
      </c>
      <c r="H798" t="str">
        <f>IF(AND(regexMatch(B798,".*#[0-9]*$"),ISNUMBER(SEARCH("#",B798))),CONCATENATE(TRIM(F798)," #",G798),B798)</f>
        <v>Lazlow Jeans #2</v>
      </c>
    </row>
    <row r="799" spans="1:8" ht="15.75" thickBot="1" x14ac:dyDescent="0.3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>IF(ISNUMBER(SEARCH("#",B799)), LEFT(B799,FIND("#",B799)-1), B799)</f>
        <v xml:space="preserve">Lazlow Shirt </v>
      </c>
      <c r="G799" s="26">
        <f>IF(ISNUMBER(SEARCH("#",B799)),VALUE(MID(B799,FIND("#",B799)+1,1000)),1)</f>
        <v>1</v>
      </c>
      <c r="H799" t="str">
        <f>IF(AND(regexMatch(B799,".*#[0-9]*$"),ISNUMBER(SEARCH("#",B799))),CONCATENATE(TRIM(F799)," #",G799),B799)</f>
        <v>Lazlow Shirt #1</v>
      </c>
    </row>
    <row r="800" spans="1:8" ht="15.75" thickBot="1" x14ac:dyDescent="0.3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>IF(ISNUMBER(SEARCH("#",B800)), LEFT(B800,FIND("#",B800)-1), B800)</f>
        <v xml:space="preserve">Lazlow Shirt </v>
      </c>
      <c r="G800" s="26">
        <f>IF(ISNUMBER(SEARCH("#",B800)),VALUE(MID(B800,FIND("#",B800)+1,1000)),1)</f>
        <v>2</v>
      </c>
      <c r="H800" t="str">
        <f>IF(AND(regexMatch(B800,".*#[0-9]*$"),ISNUMBER(SEARCH("#",B800))),CONCATENATE(TRIM(F800)," #",G800),B800)</f>
        <v>Lazlow Shirt #2</v>
      </c>
    </row>
    <row r="801" spans="1:8" ht="15.75" thickBot="1" x14ac:dyDescent="0.3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>IF(ISNUMBER(SEARCH("#",B801)), LEFT(B801,FIND("#",B801)-1), B801)</f>
        <v>Medal</v>
      </c>
      <c r="G801" s="26">
        <f>IF(ISNUMBER(SEARCH("#",B801)),VALUE(MID(B801,FIND("#",B801)+1,1000)),1)</f>
        <v>1</v>
      </c>
      <c r="H801" t="str">
        <f>IF(AND(regexMatch(B801,".*#[0-9]*$"),ISNUMBER(SEARCH("#",B801))),CONCATENATE(TRIM(F801)," #",G801),B801)</f>
        <v>Medal</v>
      </c>
    </row>
    <row r="802" spans="1:8" ht="15.75" thickBot="1" x14ac:dyDescent="0.3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>IF(ISNUMBER(SEARCH("#",B802)), LEFT(B802,FIND("#",B802)-1), B802)</f>
        <v>Michael Balaclava</v>
      </c>
      <c r="G802" s="26">
        <f>IF(ISNUMBER(SEARCH("#",B802)),VALUE(MID(B802,FIND("#",B802)+1,1000)),1)</f>
        <v>1</v>
      </c>
      <c r="H802" t="str">
        <f>IF(AND(regexMatch(B802,".*#[0-9]*$"),ISNUMBER(SEARCH("#",B802))),CONCATENATE(TRIM(F802)," #",G802),B802)</f>
        <v>Michael Balaclava</v>
      </c>
    </row>
    <row r="803" spans="1:8" ht="15.75" thickBot="1" x14ac:dyDescent="0.3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>IF(ISNUMBER(SEARCH("#",B803)), LEFT(B803,FIND("#",B803)-1), B803)</f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.75" thickBot="1" x14ac:dyDescent="0.3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>IF(ISNUMBER(SEARCH("#",B804)), LEFT(B804,FIND("#",B804)-1), B804)</f>
        <v xml:space="preserve">Necklace </v>
      </c>
      <c r="G804" s="26">
        <f>G803+1</f>
        <v>2</v>
      </c>
      <c r="H804" t="str">
        <f>IF(AND(regexMatch(B804,".*#[0-9]*$"),ISNUMBER(SEARCH("#",B804))),CONCATENATE(TRIM(F804)," #",G804),B804)</f>
        <v>Necklace #2</v>
      </c>
    </row>
    <row r="805" spans="1:8" ht="15.75" thickBot="1" x14ac:dyDescent="0.3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>IF(ISNUMBER(SEARCH("#",B805)), LEFT(B805,FIND("#",B805)-1), B805)</f>
        <v xml:space="preserve">Necklace </v>
      </c>
      <c r="G805" s="26">
        <f>G804+1</f>
        <v>3</v>
      </c>
      <c r="H805" t="str">
        <f>IF(AND(regexMatch(B805,".*#[0-9]*$"),ISNUMBER(SEARCH("#",B805))),CONCATENATE(TRIM(F805)," #",G805),B805)</f>
        <v>Necklace #3</v>
      </c>
    </row>
    <row r="806" spans="1:8" ht="15.75" thickBot="1" x14ac:dyDescent="0.3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>IF(ISNUMBER(SEARCH("#",B806)), LEFT(B806,FIND("#",B806)-1), B806)</f>
        <v xml:space="preserve">Necklace </v>
      </c>
      <c r="G806" s="26">
        <f>G805+1</f>
        <v>4</v>
      </c>
      <c r="H806" t="str">
        <f>IF(AND(regexMatch(B806,".*#[0-9]*$"),ISNUMBER(SEARCH("#",B806))),CONCATENATE(TRIM(F806)," #",G806),B806)</f>
        <v>Necklace #4</v>
      </c>
    </row>
    <row r="807" spans="1:8" ht="15.75" thickBot="1" x14ac:dyDescent="0.3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>IF(ISNUMBER(SEARCH("#",B807)), LEFT(B807,FIND("#",B807)-1), B807)</f>
        <v xml:space="preserve">Necklace </v>
      </c>
      <c r="G807" s="26">
        <f>G806+1</f>
        <v>5</v>
      </c>
      <c r="H807" t="str">
        <f>IF(AND(regexMatch(B807,".*#[0-9]*$"),ISNUMBER(SEARCH("#",B807))),CONCATENATE(TRIM(F807)," #",G807),B807)</f>
        <v>Necklace #5</v>
      </c>
    </row>
    <row r="808" spans="1:8" ht="15.75" thickBot="1" x14ac:dyDescent="0.3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>IF(ISNUMBER(SEARCH("#",B808)), LEFT(B808,FIND("#",B808)-1), B808)</f>
        <v xml:space="preserve">Necklace </v>
      </c>
      <c r="G808" s="26">
        <f>G807+1</f>
        <v>6</v>
      </c>
      <c r="H808" t="str">
        <f>IF(AND(regexMatch(B808,".*#[0-9]*$"),ISNUMBER(SEARCH("#",B808))),CONCATENATE(TRIM(F808)," #",G808),B808)</f>
        <v>Necklace #6</v>
      </c>
    </row>
    <row r="809" spans="1:8" ht="15.75" thickBot="1" x14ac:dyDescent="0.3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>IF(ISNUMBER(SEARCH("#",B809)), LEFT(B809,FIND("#",B809)-1), B809)</f>
        <v xml:space="preserve">Necklace </v>
      </c>
      <c r="G809" s="26">
        <f>G808+1</f>
        <v>7</v>
      </c>
      <c r="H809" t="str">
        <f>IF(AND(regexMatch(B809,".*#[0-9]*$"),ISNUMBER(SEARCH("#",B809))),CONCATENATE(TRIM(F809)," #",G809),B809)</f>
        <v>Necklace #7</v>
      </c>
    </row>
    <row r="810" spans="1:8" ht="15.75" thickBot="1" x14ac:dyDescent="0.3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>IF(ISNUMBER(SEARCH("#",B810)), LEFT(B810,FIND("#",B810)-1), B810)</f>
        <v xml:space="preserve">Necklace </v>
      </c>
      <c r="G810" s="26">
        <f>G809+1</f>
        <v>8</v>
      </c>
      <c r="H810" t="str">
        <f>IF(AND(regexMatch(B810,".*#[0-9]*$"),ISNUMBER(SEARCH("#",B810))),CONCATENATE(TRIM(F810)," #",G810),B810)</f>
        <v>Necklace #8</v>
      </c>
    </row>
    <row r="811" spans="1:8" ht="15.75" thickBot="1" x14ac:dyDescent="0.3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>IF(ISNUMBER(SEARCH("#",B811)), LEFT(B811,FIND("#",B811)-1), B811)</f>
        <v xml:space="preserve">Necklace </v>
      </c>
      <c r="G811" s="26">
        <f>G810+1</f>
        <v>9</v>
      </c>
      <c r="H811" t="str">
        <f>IF(AND(regexMatch(B811,".*#[0-9]*$"),ISNUMBER(SEARCH("#",B811))),CONCATENATE(TRIM(F811)," #",G811),B811)</f>
        <v>Necklace #9</v>
      </c>
    </row>
    <row r="812" spans="1:8" ht="15.75" thickBot="1" x14ac:dyDescent="0.3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>IF(ISNUMBER(SEARCH("#",B812)), LEFT(B812,FIND("#",B812)-1), B812)</f>
        <v xml:space="preserve">Necklace </v>
      </c>
      <c r="G812" s="26">
        <f>G811+1</f>
        <v>10</v>
      </c>
      <c r="H812" t="str">
        <f>IF(AND(regexMatch(B812,".*#[0-9]*$"),ISNUMBER(SEARCH("#",B812))),CONCATENATE(TRIM(F812)," #",G812),B812)</f>
        <v>Necklace #10</v>
      </c>
    </row>
    <row r="813" spans="1:8" ht="15.75" thickBot="1" x14ac:dyDescent="0.3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>IF(ISNUMBER(SEARCH("#",B813)), LEFT(B813,FIND("#",B813)-1), B813)</f>
        <v xml:space="preserve">Necklace </v>
      </c>
      <c r="G813" s="26">
        <f>G812+1</f>
        <v>11</v>
      </c>
      <c r="H813" t="str">
        <f>IF(AND(regexMatch(B813,".*#[0-9]*$"),ISNUMBER(SEARCH("#",B813))),CONCATENATE(TRIM(F813)," #",G813),B813)</f>
        <v>Necklace #11</v>
      </c>
    </row>
    <row r="814" spans="1:8" ht="15.75" thickBot="1" x14ac:dyDescent="0.3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>IF(ISNUMBER(SEARCH("#",B814)), LEFT(B814,FIND("#",B814)-1), B814)</f>
        <v xml:space="preserve">Necklace </v>
      </c>
      <c r="G814" s="26">
        <f>G813+1</f>
        <v>12</v>
      </c>
      <c r="H814" t="str">
        <f>IF(AND(regexMatch(B814,".*#[0-9]*$"),ISNUMBER(SEARCH("#",B814))),CONCATENATE(TRIM(F814)," #",G814),B814)</f>
        <v>Necklace #12</v>
      </c>
    </row>
    <row r="815" spans="1:8" ht="15.75" thickBot="1" x14ac:dyDescent="0.3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>IF(ISNUMBER(SEARCH("#",B815)), LEFT(B815,FIND("#",B815)-1), B815)</f>
        <v xml:space="preserve">Necklace </v>
      </c>
      <c r="G815" s="26">
        <f>G814+1</f>
        <v>13</v>
      </c>
      <c r="H815" t="str">
        <f>IF(AND(regexMatch(B815,".*#[0-9]*$"),ISNUMBER(SEARCH("#",B815))),CONCATENATE(TRIM(F815)," #",G815),B815)</f>
        <v>Necklace #13</v>
      </c>
    </row>
    <row r="816" spans="1:8" ht="15.75" thickBot="1" x14ac:dyDescent="0.3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>IF(ISNUMBER(SEARCH("#",B816)), LEFT(B816,FIND("#",B816)-1), B816)</f>
        <v xml:space="preserve">Necklace </v>
      </c>
      <c r="G816" s="26">
        <f>G815+1</f>
        <v>14</v>
      </c>
      <c r="H816" t="str">
        <f>IF(AND(regexMatch(B816,".*#[0-9]*$"),ISNUMBER(SEARCH("#",B816))),CONCATENATE(TRIM(F816)," #",G816),B816)</f>
        <v>Necklace #14</v>
      </c>
    </row>
    <row r="817" spans="1:8" ht="15.75" thickBot="1" x14ac:dyDescent="0.3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>IF(ISNUMBER(SEARCH("#",B817)), LEFT(B817,FIND("#",B817)-1), B817)</f>
        <v xml:space="preserve">Necklace </v>
      </c>
      <c r="G817" s="26">
        <f>G816+1</f>
        <v>15</v>
      </c>
      <c r="H817" t="str">
        <f>IF(AND(regexMatch(B817,".*#[0-9]*$"),ISNUMBER(SEARCH("#",B817))),CONCATENATE(TRIM(F817)," #",G817),B817)</f>
        <v>Necklace #15</v>
      </c>
    </row>
    <row r="818" spans="1:8" ht="15.75" thickBot="1" x14ac:dyDescent="0.3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>IF(ISNUMBER(SEARCH("#",B818)), LEFT(B818,FIND("#",B818)-1), B818)</f>
        <v xml:space="preserve">Necklace </v>
      </c>
      <c r="G818" s="26">
        <f>G817+1</f>
        <v>16</v>
      </c>
      <c r="H818" t="str">
        <f>IF(AND(regexMatch(B818,".*#[0-9]*$"),ISNUMBER(SEARCH("#",B818))),CONCATENATE(TRIM(F818)," #",G818),B818)</f>
        <v>Necklace #16</v>
      </c>
    </row>
    <row r="819" spans="1:8" ht="15.75" thickBot="1" x14ac:dyDescent="0.3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>IF(ISNUMBER(SEARCH("#",B819)), LEFT(B819,FIND("#",B819)-1), B819)</f>
        <v>Old Boot</v>
      </c>
      <c r="G819" s="26">
        <f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.75" thickBot="1" x14ac:dyDescent="0.3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>IF(ISNUMBER(SEARCH("#",B820)), LEFT(B820,FIND("#",B820)-1), B820)</f>
        <v>Orleans Mask</v>
      </c>
      <c r="G820" s="26">
        <f>IF(ISNUMBER(SEARCH("#",B820)),VALUE(MID(B820,FIND("#",B820)+1,1000)),1)</f>
        <v>1</v>
      </c>
      <c r="H820" t="str">
        <f>IF(AND(regexMatch(B820,".*#[0-9]*$"),ISNUMBER(SEARCH("#",B820))),CONCATENATE(TRIM(F820)," #",G820),B820)</f>
        <v>Orleans Mask</v>
      </c>
    </row>
    <row r="821" spans="1:8" ht="15.75" thickBot="1" x14ac:dyDescent="0.3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>IF(ISNUMBER(SEARCH("#",B821)), LEFT(B821,FIND("#",B821)-1), B821)</f>
        <v xml:space="preserve">Overalls </v>
      </c>
      <c r="G821" s="26">
        <f>IF(ISNUMBER(SEARCH("#",B821)),VALUE(MID(B821,FIND("#",B821)+1,1000)),1)</f>
        <v>1</v>
      </c>
      <c r="H821" t="str">
        <f>IF(AND(regexMatch(B821,".*#[0-9]*$"),ISNUMBER(SEARCH("#",B821))),CONCATENATE(TRIM(F821)," #",G821),B821)</f>
        <v>Overalls #1</v>
      </c>
    </row>
    <row r="822" spans="1:8" ht="15.75" thickBot="1" x14ac:dyDescent="0.3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>IF(ISNUMBER(SEARCH("#",B822)), LEFT(B822,FIND("#",B822)-1), B822)</f>
        <v xml:space="preserve">Overalls </v>
      </c>
      <c r="G822" s="26">
        <f>IF(ISNUMBER(SEARCH("#",B822)),VALUE(MID(B822,FIND("#",B822)+1,1000)),1)</f>
        <v>2</v>
      </c>
      <c r="H822" t="str">
        <f>IF(AND(regexMatch(B822,".*#[0-9]*$"),ISNUMBER(SEARCH("#",B822))),CONCATENATE(TRIM(F822)," #",G822),B822)</f>
        <v>Overalls #2</v>
      </c>
    </row>
    <row r="823" spans="1:8" ht="15.75" thickBot="1" x14ac:dyDescent="0.3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>IF(ISNUMBER(SEARCH("#",B823)), LEFT(B823,FIND("#",B823)-1), B823)</f>
        <v xml:space="preserve">Panties </v>
      </c>
      <c r="G823" s="26">
        <f>IF(ISNUMBER(SEARCH("#",B823)),VALUE(MID(B823,FIND("#",B823)+1,1000)),1)</f>
        <v>1</v>
      </c>
      <c r="H823" t="str">
        <f>IF(AND(regexMatch(B823,".*#[0-9]*$"),ISNUMBER(SEARCH("#",B823))),CONCATENATE(TRIM(F823)," #",G823),B823)</f>
        <v>Panties #1</v>
      </c>
    </row>
    <row r="824" spans="1:8" ht="15.75" thickBot="1" x14ac:dyDescent="0.3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>IF(ISNUMBER(SEARCH("#",B824)), LEFT(B824,FIND("#",B824)-1), B824)</f>
        <v xml:space="preserve">Panties </v>
      </c>
      <c r="G824" s="26">
        <f>IF(ISNUMBER(SEARCH("#",B824)),VALUE(MID(B824,FIND("#",B824)+1,1000)),1)</f>
        <v>2</v>
      </c>
      <c r="H824" t="str">
        <f>IF(AND(regexMatch(B824,".*#[0-9]*$"),ISNUMBER(SEARCH("#",B824))),CONCATENATE(TRIM(F824)," #",G824),B824)</f>
        <v>Panties #2</v>
      </c>
    </row>
    <row r="825" spans="1:8" ht="15.75" thickBot="1" x14ac:dyDescent="0.3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>IF(ISNUMBER(SEARCH("#",B825)), LEFT(B825,FIND("#",B825)-1), B825)</f>
        <v xml:space="preserve">Panties </v>
      </c>
      <c r="G825" s="26">
        <f>IF(ISNUMBER(SEARCH("#",B825)),VALUE(MID(B825,FIND("#",B825)+1,1000)),1)</f>
        <v>3</v>
      </c>
      <c r="H825" t="str">
        <f>IF(AND(regexMatch(B825,".*#[0-9]*$"),ISNUMBER(SEARCH("#",B825))),CONCATENATE(TRIM(F825)," #",G825),B825)</f>
        <v>Panties #3</v>
      </c>
    </row>
    <row r="826" spans="1:8" ht="15.75" thickBot="1" x14ac:dyDescent="0.3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>IF(ISNUMBER(SEARCH("#",B826)), LEFT(B826,FIND("#",B826)-1), B826)</f>
        <v xml:space="preserve">Rolled Sock </v>
      </c>
      <c r="G826" s="26">
        <f>IF(ISNUMBER(SEARCH("#",B826)),VALUE(MID(B826,FIND("#",B826)+1,1000)),1)</f>
        <v>1</v>
      </c>
      <c r="H826" t="str">
        <f>IF(AND(regexMatch(B826,".*#[0-9]*$"),ISNUMBER(SEARCH("#",B826))),CONCATENATE(TRIM(F826)," #",G826),B826)</f>
        <v>Rolled Sock #1</v>
      </c>
    </row>
    <row r="827" spans="1:8" ht="15.75" thickBot="1" x14ac:dyDescent="0.3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>IF(ISNUMBER(SEARCH("#",B827)), LEFT(B827,FIND("#",B827)-1), B827)</f>
        <v xml:space="preserve">Rolled Sock </v>
      </c>
      <c r="G827" s="26">
        <f>IF(ISNUMBER(SEARCH("#",B827)),VALUE(MID(B827,FIND("#",B827)+1,1000)),1)</f>
        <v>2</v>
      </c>
      <c r="H827" t="str">
        <f>IF(AND(regexMatch(B827,".*#[0-9]*$"),ISNUMBER(SEARCH("#",B827))),CONCATENATE(TRIM(F827)," #",G827),B827)</f>
        <v>Rolled Sock #2</v>
      </c>
    </row>
    <row r="828" spans="1:8" ht="15.75" thickBot="1" x14ac:dyDescent="0.3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>IF(ISNUMBER(SEARCH("#",B828)), LEFT(B828,FIND("#",B828)-1), B828)</f>
        <v xml:space="preserve">Shirt </v>
      </c>
      <c r="G828" s="26">
        <f>IF(ISNUMBER(SEARCH("#",B828)),VALUE(MID(B828,FIND("#",B828)+1,1000)),1)</f>
        <v>1</v>
      </c>
      <c r="H828" t="str">
        <f>IF(AND(regexMatch(B828,".*#[0-9]*$"),ISNUMBER(SEARCH("#",B828))),CONCATENATE(TRIM(F828)," #",G828),B828)</f>
        <v>Shirt #1</v>
      </c>
    </row>
    <row r="829" spans="1:8" ht="15.75" thickBot="1" x14ac:dyDescent="0.3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>IF(ISNUMBER(SEARCH("#",B829)), LEFT(B829,FIND("#",B829)-1), B829)</f>
        <v xml:space="preserve">Shirt </v>
      </c>
      <c r="G829" s="26">
        <f>IF(ISNUMBER(SEARCH("#",B829)),VALUE(MID(B829,FIND("#",B829)+1,1000)),1)</f>
        <v>2</v>
      </c>
      <c r="H829" t="str">
        <f>IF(AND(regexMatch(B829,".*#[0-9]*$"),ISNUMBER(SEARCH("#",B829))),CONCATENATE(TRIM(F829)," #",G829),B829)</f>
        <v>Shirt #2</v>
      </c>
    </row>
    <row r="830" spans="1:8" ht="15.75" thickBot="1" x14ac:dyDescent="0.3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>IF(ISNUMBER(SEARCH("#",B830)), LEFT(B830,FIND("#",B830)-1), B830)</f>
        <v xml:space="preserve">Shoe </v>
      </c>
      <c r="G830" s="26">
        <f>IF(ISNUMBER(SEARCH("#",B830)),VALUE(MID(B830,FIND("#",B830)+1,1000)),1)</f>
        <v>1</v>
      </c>
      <c r="H830" t="str">
        <f>IF(AND(regexMatch(B830,".*#[0-9]*$"),ISNUMBER(SEARCH("#",B830))),CONCATENATE(TRIM(F830)," #",G830),B830)</f>
        <v>Shoe #1</v>
      </c>
    </row>
    <row r="831" spans="1:8" ht="15.75" thickBot="1" x14ac:dyDescent="0.3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>IF(ISNUMBER(SEARCH("#",B831)), LEFT(B831,FIND("#",B831)-1), B831)</f>
        <v xml:space="preserve">Shoe </v>
      </c>
      <c r="G831" s="26">
        <f>IF(ISNUMBER(SEARCH("#",B831)),VALUE(MID(B831,FIND("#",B831)+1,1000)),1)</f>
        <v>2</v>
      </c>
      <c r="H831" t="str">
        <f>IF(AND(regexMatch(B831,".*#[0-9]*$"),ISNUMBER(SEARCH("#",B831))),CONCATENATE(TRIM(F831)," #",G831),B831)</f>
        <v>Shoe #2</v>
      </c>
    </row>
    <row r="832" spans="1:8" ht="15.75" thickBot="1" x14ac:dyDescent="0.3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>IF(ISNUMBER(SEARCH("#",B832)), LEFT(B832,FIND("#",B832)-1), B832)</f>
        <v>Ski Mask</v>
      </c>
      <c r="G832" s="26">
        <f>IF(ISNUMBER(SEARCH("#",B832)),VALUE(MID(B832,FIND("#",B832)+1,1000)),1)</f>
        <v>1</v>
      </c>
      <c r="H832" t="str">
        <f>IF(AND(regexMatch(B832,".*#[0-9]*$"),ISNUMBER(SEARCH("#",B832))),CONCATENATE(TRIM(F832)," #",G832),B832)</f>
        <v>Ski Mask</v>
      </c>
    </row>
    <row r="833" spans="1:8" ht="15.75" thickBot="1" x14ac:dyDescent="0.3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>IF(ISNUMBER(SEARCH("#",B833)), LEFT(B833,FIND("#",B833)-1), B833)</f>
        <v>Sunglasses</v>
      </c>
      <c r="G833" s="26">
        <f>IF(ISNUMBER(SEARCH("#",B833)),VALUE(MID(B833,FIND("#",B833)+1,1000)),1)</f>
        <v>1</v>
      </c>
      <c r="H833" t="str">
        <f>IF(AND(regexMatch(B833,".*#[0-9]*$"),ISNUMBER(SEARCH("#",B833))),CONCATENATE(TRIM(F833)," #",G833),B833)</f>
        <v>Sunglasses</v>
      </c>
    </row>
    <row r="834" spans="1:8" ht="15.75" thickBot="1" x14ac:dyDescent="0.3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>IF(ISNUMBER(SEARCH("#",B834)), LEFT(B834,FIND("#",B834)-1), B834)</f>
        <v xml:space="preserve">T-Shirt </v>
      </c>
      <c r="G834" s="26">
        <f>IF(ISNUMBER(SEARCH("#",B834)),VALUE(MID(B834,FIND("#",B834)+1,1000)),1)</f>
        <v>1</v>
      </c>
      <c r="H834" t="str">
        <f>IF(AND(regexMatch(B834,".*#[0-9]*$"),ISNUMBER(SEARCH("#",B834))),CONCATENATE(TRIM(F834)," #",G834),B834)</f>
        <v>T-Shirt #1</v>
      </c>
    </row>
    <row r="835" spans="1:8" ht="15.75" thickBot="1" x14ac:dyDescent="0.3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>IF(ISNUMBER(SEARCH("#",B835)), LEFT(B835,FIND("#",B835)-1), B835)</f>
        <v xml:space="preserve">T-Shirt </v>
      </c>
      <c r="G835" s="26">
        <f>IF(ISNUMBER(SEARCH("#",B835)),VALUE(MID(B835,FIND("#",B835)+1,1000)),1)</f>
        <v>2</v>
      </c>
      <c r="H835" t="str">
        <f>IF(AND(regexMatch(B835,".*#[0-9]*$"),ISNUMBER(SEARCH("#",B835))),CONCATENATE(TRIM(F835)," #",G835),B835)</f>
        <v>T-Shirt #2</v>
      </c>
    </row>
    <row r="836" spans="1:8" ht="15.75" thickBot="1" x14ac:dyDescent="0.3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>IF(ISNUMBER(SEARCH("#",B836)), LEFT(B836,FIND("#",B836)-1), B836)</f>
        <v xml:space="preserve">T-Shirt Ball </v>
      </c>
      <c r="G836" s="26">
        <f>IF(ISNUMBER(SEARCH("#",B836)),VALUE(MID(B836,FIND("#",B836)+1,1000)),1)</f>
        <v>1</v>
      </c>
      <c r="H836" t="str">
        <f>IF(AND(regexMatch(B836,".*#[0-9]*$"),ISNUMBER(SEARCH("#",B836))),CONCATENATE(TRIM(F836)," #",G836),B836)</f>
        <v>T-Shirt Ball #1</v>
      </c>
    </row>
    <row r="837" spans="1:8" ht="15.75" thickBot="1" x14ac:dyDescent="0.3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>IF(ISNUMBER(SEARCH("#",B837)), LEFT(B837,FIND("#",B837)-1), B837)</f>
        <v xml:space="preserve">T-Shirt Box </v>
      </c>
      <c r="G837" s="26">
        <f>IF(ISNUMBER(SEARCH("#",B837)),VALUE(MID(B837,FIND("#",B837)+1,1000)),1)</f>
        <v>2</v>
      </c>
      <c r="H837" t="str">
        <f>IF(AND(regexMatch(B837,".*#[0-9]*$"),ISNUMBER(SEARCH("#",B837))),CONCATENATE(TRIM(F837)," #",G837),B837)</f>
        <v>T-Shirt Box #2</v>
      </c>
    </row>
    <row r="838" spans="1:8" ht="15.75" thickBot="1" x14ac:dyDescent="0.3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>IF(ISNUMBER(SEARCH("#",B838)), LEFT(B838,FIND("#",B838)-1), B838)</f>
        <v>T-Shirt Ironing</v>
      </c>
      <c r="G838" s="26">
        <f>IF(ISNUMBER(SEARCH("#",B838)),VALUE(MID(B838,FIND("#",B838)+1,1000)),1)</f>
        <v>1</v>
      </c>
      <c r="H838" t="str">
        <f>IF(AND(regexMatch(B838,".*#[0-9]*$"),ISNUMBER(SEARCH("#",B838))),CONCATENATE(TRIM(F838)," #",G838),B838)</f>
        <v>T-Shirt Ironing</v>
      </c>
    </row>
    <row r="839" spans="1:8" ht="15.75" thickBot="1" x14ac:dyDescent="0.3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>IF(ISNUMBER(SEARCH("#",B839)), LEFT(B839,FIND("#",B839)-1), B839)</f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.75" thickBot="1" x14ac:dyDescent="0.3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>IF(ISNUMBER(SEARCH("#",B840)), LEFT(B840,FIND("#",B840)-1), B840)</f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.75" thickBot="1" x14ac:dyDescent="0.3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>IF(ISNUMBER(SEARCH("#",B841)), LEFT(B841,FIND("#",B841)-1), B841)</f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.75" thickBot="1" x14ac:dyDescent="0.3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>IF(ISNUMBER(SEARCH("#",B842)), LEFT(B842,FIND("#",B842)-1), B842)</f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.75" thickBot="1" x14ac:dyDescent="0.3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>IF(ISNUMBER(SEARCH("#",B843)), LEFT(B843,FIND("#",B843)-1), B843)</f>
        <v xml:space="preserve">Watch </v>
      </c>
      <c r="G843" s="26">
        <f>G842+1</f>
        <v>2</v>
      </c>
      <c r="H843" t="str">
        <f>IF(AND(regexMatch(B843,".*#[0-9]*$"),ISNUMBER(SEARCH("#",B843))),CONCATENATE(TRIM(F843)," #",G843),B843)</f>
        <v>Watch #2</v>
      </c>
    </row>
    <row r="844" spans="1:8" ht="15.75" thickBot="1" x14ac:dyDescent="0.3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>IF(ISNUMBER(SEARCH("#",B844)), LEFT(B844,FIND("#",B844)-1), B844)</f>
        <v xml:space="preserve">Watch </v>
      </c>
      <c r="G844" s="26">
        <f>G843+1</f>
        <v>3</v>
      </c>
      <c r="H844" t="str">
        <f>IF(AND(regexMatch(B844,".*#[0-9]*$"),ISNUMBER(SEARCH("#",B844))),CONCATENATE(TRIM(F844)," #",G844),B844)</f>
        <v>Watch #3</v>
      </c>
    </row>
    <row r="845" spans="1:8" ht="15.75" thickBot="1" x14ac:dyDescent="0.3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>IF(ISNUMBER(SEARCH("#",B845)), LEFT(B845,FIND("#",B845)-1), B845)</f>
        <v xml:space="preserve">Watch </v>
      </c>
      <c r="G845" s="26">
        <f>G844+1</f>
        <v>4</v>
      </c>
      <c r="H845" t="str">
        <f>IF(AND(regexMatch(B845,".*#[0-9]*$"),ISNUMBER(SEARCH("#",B845))),CONCATENATE(TRIM(F845)," #",G845),B845)</f>
        <v>Watch #4</v>
      </c>
    </row>
    <row r="846" spans="1:8" ht="15.75" thickBot="1" x14ac:dyDescent="0.3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>IF(ISNUMBER(SEARCH("#",B846)), LEFT(B846,FIND("#",B846)-1), B846)</f>
        <v xml:space="preserve">Watch </v>
      </c>
      <c r="G846" s="26">
        <f>G845+1</f>
        <v>5</v>
      </c>
      <c r="H846" t="str">
        <f>IF(AND(regexMatch(B846,".*#[0-9]*$"),ISNUMBER(SEARCH("#",B846))),CONCATENATE(TRIM(F846)," #",G846),B846)</f>
        <v>Watch #5</v>
      </c>
    </row>
    <row r="847" spans="1:8" ht="15.75" thickBot="1" x14ac:dyDescent="0.3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>IF(ISNUMBER(SEARCH("#",B847)), LEFT(B847,FIND("#",B847)-1), B847)</f>
        <v xml:space="preserve">Watch </v>
      </c>
      <c r="G847" s="26">
        <f>G846+1</f>
        <v>6</v>
      </c>
      <c r="H847" t="str">
        <f>IF(AND(regexMatch(B847,".*#[0-9]*$"),ISNUMBER(SEARCH("#",B847))),CONCATENATE(TRIM(F847)," #",G847),B847)</f>
        <v>Watch #6</v>
      </c>
    </row>
    <row r="848" spans="1:8" ht="15.75" thickBot="1" x14ac:dyDescent="0.3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>IF(ISNUMBER(SEARCH("#",B848)), LEFT(B848,FIND("#",B848)-1), B848)</f>
        <v xml:space="preserve">Watch </v>
      </c>
      <c r="G848" s="26">
        <f>G847+1</f>
        <v>7</v>
      </c>
      <c r="H848" t="str">
        <f>IF(AND(regexMatch(B848,".*#[0-9]*$"),ISNUMBER(SEARCH("#",B848))),CONCATENATE(TRIM(F848)," #",G848),B848)</f>
        <v>Watch #7</v>
      </c>
    </row>
    <row r="849" spans="1:8" ht="15.75" thickBot="1" x14ac:dyDescent="0.3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>IF(ISNUMBER(SEARCH("#",B849)), LEFT(B849,FIND("#",B849)-1), B849)</f>
        <v xml:space="preserve">Watch </v>
      </c>
      <c r="G849" s="26">
        <f>G848+1</f>
        <v>8</v>
      </c>
      <c r="H849" t="str">
        <f>IF(AND(regexMatch(B849,".*#[0-9]*$"),ISNUMBER(SEARCH("#",B849))),CONCATENATE(TRIM(F849)," #",G849),B849)</f>
        <v>Watch #8</v>
      </c>
    </row>
    <row r="850" spans="1:8" ht="15.75" thickBot="1" x14ac:dyDescent="0.3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>IF(ISNUMBER(SEARCH("#",B850)), LEFT(B850,FIND("#",B850)-1), B850)</f>
        <v xml:space="preserve">Watch </v>
      </c>
      <c r="G850" s="26">
        <f>G849+1</f>
        <v>9</v>
      </c>
      <c r="H850" t="str">
        <f>IF(AND(regexMatch(B850,".*#[0-9]*$"),ISNUMBER(SEARCH("#",B850))),CONCATENATE(TRIM(F850)," #",G850),B850)</f>
        <v>Watch #9</v>
      </c>
    </row>
    <row r="851" spans="1:8" ht="15.75" thickBot="1" x14ac:dyDescent="0.3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>IF(ISNUMBER(SEARCH("#",B851)), LEFT(B851,FIND("#",B851)-1), B851)</f>
        <v xml:space="preserve">CRT Monitor </v>
      </c>
      <c r="G851" s="26">
        <f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.75" thickBot="1" x14ac:dyDescent="0.3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>IF(ISNUMBER(SEARCH("#",B852)), LEFT(B852,FIND("#",B852)-1), B852)</f>
        <v xml:space="preserve">CRT Monitor </v>
      </c>
      <c r="G852" s="26">
        <f>IF(ISNUMBER(SEARCH("#",B852)),VALUE(MID(B852,FIND("#",B852)+1,1000)),1)</f>
        <v>2</v>
      </c>
      <c r="H852" t="str">
        <f>IF(AND(regexMatch(B852,".*#[0-9]*$"),ISNUMBER(SEARCH("#",B852))),CONCATENATE(TRIM(F852)," #",G852),B852)</f>
        <v>CRT Monitor #2</v>
      </c>
    </row>
    <row r="853" spans="1:8" ht="15.75" thickBot="1" x14ac:dyDescent="0.3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>IF(ISNUMBER(SEARCH("#",B853)), LEFT(B853,FIND("#",B853)-1), B853)</f>
        <v>Fax Machine</v>
      </c>
      <c r="G853" s="26">
        <f>IF(ISNUMBER(SEARCH("#",B853)),VALUE(MID(B853,FIND("#",B853)+1,1000)),1)</f>
        <v>1</v>
      </c>
      <c r="H853" t="str">
        <f>IF(AND(regexMatch(B853,".*#[0-9]*$"),ISNUMBER(SEARCH("#",B853))),CONCATENATE(TRIM(F853)," #",G853),B853)</f>
        <v>Fax Machine</v>
      </c>
    </row>
    <row r="854" spans="1:8" ht="15.75" thickBot="1" x14ac:dyDescent="0.3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>IF(ISNUMBER(SEARCH("#",B854)), LEFT(B854,FIND("#",B854)-1), B854)</f>
        <v>Hard Disk Drive</v>
      </c>
      <c r="G854" s="26">
        <f>IF(ISNUMBER(SEARCH("#",B854)),VALUE(MID(B854,FIND("#",B854)+1,1000)),1)</f>
        <v>1</v>
      </c>
      <c r="H854" t="str">
        <f>IF(AND(regexMatch(B854,".*#[0-9]*$"),ISNUMBER(SEARCH("#",B854))),CONCATENATE(TRIM(F854)," #",G854),B854)</f>
        <v>Hard Disk Drive</v>
      </c>
    </row>
    <row r="855" spans="1:8" ht="15.75" thickBot="1" x14ac:dyDescent="0.3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>IF(ISNUMBER(SEARCH("#",B855)), LEFT(B855,FIND("#",B855)-1), B855)</f>
        <v xml:space="preserve">Keyboard </v>
      </c>
      <c r="G855" s="26">
        <f>IF(ISNUMBER(SEARCH("#",B855)),VALUE(MID(B855,FIND("#",B855)+1,1000)),1)</f>
        <v>1</v>
      </c>
      <c r="H855" t="str">
        <f>IF(AND(regexMatch(B855,".*#[0-9]*$"),ISNUMBER(SEARCH("#",B855))),CONCATENATE(TRIM(F855)," #",G855),B855)</f>
        <v>Keyboard #1</v>
      </c>
    </row>
    <row r="856" spans="1:8" ht="15.75" thickBot="1" x14ac:dyDescent="0.3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>IF(ISNUMBER(SEARCH("#",B856)), LEFT(B856,FIND("#",B856)-1), B856)</f>
        <v xml:space="preserve">Keyboard </v>
      </c>
      <c r="G856" s="26">
        <f>IF(ISNUMBER(SEARCH("#",B856)),VALUE(MID(B856,FIND("#",B856)+1,1000)),1)</f>
        <v>2</v>
      </c>
      <c r="H856" t="str">
        <f>IF(AND(regexMatch(B856,".*#[0-9]*$"),ISNUMBER(SEARCH("#",B856))),CONCATENATE(TRIM(F856)," #",G856),B856)</f>
        <v>Keyboard #2</v>
      </c>
    </row>
    <row r="857" spans="1:8" ht="15.75" thickBot="1" x14ac:dyDescent="0.3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>IF(ISNUMBER(SEARCH("#",B857)), LEFT(B857,FIND("#",B857)-1), B857)</f>
        <v xml:space="preserve">Keyboard </v>
      </c>
      <c r="G857" s="26">
        <f>IF(ISNUMBER(SEARCH("#",B857)),VALUE(MID(B857,FIND("#",B857)+1,1000)),1)</f>
        <v>3</v>
      </c>
      <c r="H857" t="str">
        <f>IF(AND(regexMatch(B857,".*#[0-9]*$"),ISNUMBER(SEARCH("#",B857))),CONCATENATE(TRIM(F857)," #",G857),B857)</f>
        <v>Keyboard #3</v>
      </c>
    </row>
    <row r="858" spans="1:8" ht="15.75" thickBot="1" x14ac:dyDescent="0.3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>IF(ISNUMBER(SEARCH("#",B858)), LEFT(B858,FIND("#",B858)-1), B858)</f>
        <v xml:space="preserve">Laptop </v>
      </c>
      <c r="G858" s="26">
        <f>IF(ISNUMBER(SEARCH("#",B858)),VALUE(MID(B858,FIND("#",B858)+1,1000)),1)</f>
        <v>1</v>
      </c>
      <c r="H858" t="str">
        <f>IF(AND(regexMatch(B858,".*#[0-9]*$"),ISNUMBER(SEARCH("#",B858))),CONCATENATE(TRIM(F858)," #",G858),B858)</f>
        <v>Laptop #1</v>
      </c>
    </row>
    <row r="859" spans="1:8" ht="15.75" thickBot="1" x14ac:dyDescent="0.3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>IF(ISNUMBER(SEARCH("#",B859)), LEFT(B859,FIND("#",B859)-1), B859)</f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.75" thickBot="1" x14ac:dyDescent="0.3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>IF(ISNUMBER(SEARCH("#",B860)), LEFT(B860,FIND("#",B860)-1), B860)</f>
        <v xml:space="preserve">Laptop </v>
      </c>
      <c r="G860" s="26">
        <f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.75" thickBot="1" x14ac:dyDescent="0.3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>IF(ISNUMBER(SEARCH("#",B861)), LEFT(B861,FIND("#",B861)-1), B861)</f>
        <v>Laptop Jimmy</v>
      </c>
      <c r="G861" s="26">
        <f>IF(ISNUMBER(SEARCH("#",B861)),VALUE(MID(B861,FIND("#",B861)+1,1000)),1)</f>
        <v>1</v>
      </c>
      <c r="H861" t="str">
        <f>IF(AND(regexMatch(B861,".*#[0-9]*$"),ISNUMBER(SEARCH("#",B861))),CONCATENATE(TRIM(F861)," #",G861),B861)</f>
        <v>Laptop Jimmy</v>
      </c>
    </row>
    <row r="862" spans="1:8" ht="15.75" thickBot="1" x14ac:dyDescent="0.3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>IF(ISNUMBER(SEARCH("#",B862)), LEFT(B862,FIND("#",B862)-1), B862)</f>
        <v xml:space="preserve">Laptop Lester </v>
      </c>
      <c r="G862" s="26">
        <f>IF(ISNUMBER(SEARCH("#",B862)),VALUE(MID(B862,FIND("#",B862)+1,1000)),1)</f>
        <v>1</v>
      </c>
      <c r="H862" t="str">
        <f>IF(AND(regexMatch(B862,".*#[0-9]*$"),ISNUMBER(SEARCH("#",B862))),CONCATENATE(TRIM(F862)," #",G862),B862)</f>
        <v>Laptop Lester #1</v>
      </c>
    </row>
    <row r="863" spans="1:8" ht="15.75" thickBot="1" x14ac:dyDescent="0.3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>IF(ISNUMBER(SEARCH("#",B863)), LEFT(B863,FIND("#",B863)-1), B863)</f>
        <v xml:space="preserve">Laptop Lester </v>
      </c>
      <c r="G863" s="26">
        <f>IF(ISNUMBER(SEARCH("#",B863)),VALUE(MID(B863,FIND("#",B863)+1,1000)),1)</f>
        <v>2</v>
      </c>
      <c r="H863" t="str">
        <f>IF(AND(regexMatch(B863,".*#[0-9]*$"),ISNUMBER(SEARCH("#",B863))),CONCATENATE(TRIM(F863)," #",G863),B863)</f>
        <v>Laptop Lester #2</v>
      </c>
    </row>
    <row r="864" spans="1:8" ht="15.75" thickBot="1" x14ac:dyDescent="0.3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>IF(ISNUMBER(SEARCH("#",B864)), LEFT(B864,FIND("#",B864)-1), B864)</f>
        <v xml:space="preserve">Mouse </v>
      </c>
      <c r="G864" s="26">
        <f>IF(ISNUMBER(SEARCH("#",B864)),VALUE(MID(B864,FIND("#",B864)+1,1000)),1)</f>
        <v>1</v>
      </c>
      <c r="H864" t="str">
        <f>IF(AND(regexMatch(B864,".*#[0-9]*$"),ISNUMBER(SEARCH("#",B864))),CONCATENATE(TRIM(F864)," #",G864),B864)</f>
        <v>Mouse #1</v>
      </c>
    </row>
    <row r="865" spans="1:8" ht="15.75" thickBot="1" x14ac:dyDescent="0.3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>IF(ISNUMBER(SEARCH("#",B865)), LEFT(B865,FIND("#",B865)-1), B865)</f>
        <v xml:space="preserve">Mouse </v>
      </c>
      <c r="G865" s="26">
        <f>IF(ISNUMBER(SEARCH("#",B865)),VALUE(MID(B865,FIND("#",B865)+1,1000)),1)</f>
        <v>2</v>
      </c>
      <c r="H865" t="str">
        <f>IF(AND(regexMatch(B865,".*#[0-9]*$"),ISNUMBER(SEARCH("#",B865))),CONCATENATE(TRIM(F865)," #",G865),B865)</f>
        <v>Mouse #2</v>
      </c>
    </row>
    <row r="866" spans="1:8" ht="15.75" thickBot="1" x14ac:dyDescent="0.3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>IF(ISNUMBER(SEARCH("#",B866)), LEFT(B866,FIND("#",B866)-1), B866)</f>
        <v xml:space="preserve">Mouse </v>
      </c>
      <c r="G866" s="26">
        <f>IF(ISNUMBER(SEARCH("#",B866)),VALUE(MID(B866,FIND("#",B866)+1,1000)),1)</f>
        <v>3</v>
      </c>
      <c r="H866" t="str">
        <f>IF(AND(regexMatch(B866,".*#[0-9]*$"),ISNUMBER(SEARCH("#",B866))),CONCATENATE(TRIM(F866)," #",G866),B866)</f>
        <v>Mouse #3</v>
      </c>
    </row>
    <row r="867" spans="1:8" ht="15.75" thickBot="1" x14ac:dyDescent="0.3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>IF(ISNUMBER(SEARCH("#",B867)), LEFT(B867,FIND("#",B867)-1), B867)</f>
        <v>Mouse Mat</v>
      </c>
      <c r="G867" s="26">
        <f>IF(ISNUMBER(SEARCH("#",B867)),VALUE(MID(B867,FIND("#",B867)+1,1000)),1)</f>
        <v>1</v>
      </c>
      <c r="H867" t="str">
        <f>IF(AND(regexMatch(B867,".*#[0-9]*$"),ISNUMBER(SEARCH("#",B867))),CONCATENATE(TRIM(F867)," #",G867),B867)</f>
        <v>Mouse Mat</v>
      </c>
    </row>
    <row r="868" spans="1:8" ht="15.75" thickBot="1" x14ac:dyDescent="0.3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>IF(ISNUMBER(SEARCH("#",B868)), LEFT(B868,FIND("#",B868)-1), B868)</f>
        <v xml:space="preserve">PC </v>
      </c>
      <c r="G868" s="26">
        <f>IF(ISNUMBER(SEARCH("#",B868)),VALUE(MID(B868,FIND("#",B868)+1,1000)),1)</f>
        <v>1</v>
      </c>
      <c r="H868" t="str">
        <f>IF(AND(regexMatch(B868,".*#[0-9]*$"),ISNUMBER(SEARCH("#",B868))),CONCATENATE(TRIM(F868)," #",G868),B868)</f>
        <v>PC #1</v>
      </c>
    </row>
    <row r="869" spans="1:8" ht="15.75" thickBot="1" x14ac:dyDescent="0.3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>IF(ISNUMBER(SEARCH("#",B869)), LEFT(B869,FIND("#",B869)-1), B869)</f>
        <v xml:space="preserve">PC </v>
      </c>
      <c r="G869" s="26">
        <f>IF(ISNUMBER(SEARCH("#",B869)),VALUE(MID(B869,FIND("#",B869)+1,1000)),1)</f>
        <v>2</v>
      </c>
      <c r="H869" t="str">
        <f>IF(AND(regexMatch(B869,".*#[0-9]*$"),ISNUMBER(SEARCH("#",B869))),CONCATENATE(TRIM(F869)," #",G869),B869)</f>
        <v>PC #2</v>
      </c>
    </row>
    <row r="870" spans="1:8" ht="15.75" thickBot="1" x14ac:dyDescent="0.3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>IF(ISNUMBER(SEARCH("#",B870)), LEFT(B870,FIND("#",B870)-1), B870)</f>
        <v xml:space="preserve">PC </v>
      </c>
      <c r="G870" s="26">
        <f>IF(ISNUMBER(SEARCH("#",B870)),VALUE(MID(B870,FIND("#",B870)+1,1000)),1)</f>
        <v>3</v>
      </c>
      <c r="H870" t="str">
        <f>IF(AND(regexMatch(B870,".*#[0-9]*$"),ISNUMBER(SEARCH("#",B870))),CONCATENATE(TRIM(F870)," #",G870),B870)</f>
        <v>PC #3</v>
      </c>
    </row>
    <row r="871" spans="1:8" ht="15.75" thickBot="1" x14ac:dyDescent="0.3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>IF(ISNUMBER(SEARCH("#",B871)), LEFT(B871,FIND("#",B871)-1), B871)</f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.75" thickBot="1" x14ac:dyDescent="0.3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>IF(ISNUMBER(SEARCH("#",B872)), LEFT(B872,FIND("#",B872)-1), B872)</f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.75" thickBot="1" x14ac:dyDescent="0.3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>IF(ISNUMBER(SEARCH("#",B873)), LEFT(B873,FIND("#",B873)-1), B873)</f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.75" thickBot="1" x14ac:dyDescent="0.3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>IF(ISNUMBER(SEARCH("#",B874)), LEFT(B874,FIND("#",B874)-1), B874)</f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.75" thickBot="1" x14ac:dyDescent="0.3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>IF(ISNUMBER(SEARCH("#",B875)), LEFT(B875,FIND("#",B875)-1), B875)</f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.75" thickBot="1" x14ac:dyDescent="0.3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>IF(ISNUMBER(SEARCH("#",B876)), LEFT(B876,FIND("#",B876)-1), B876)</f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.75" thickBot="1" x14ac:dyDescent="0.3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>IF(ISNUMBER(SEARCH("#",B877)), LEFT(B877,FIND("#",B877)-1), B877)</f>
        <v xml:space="preserve">PC Monitor </v>
      </c>
      <c r="G877" s="26">
        <f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.75" thickBot="1" x14ac:dyDescent="0.3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>IF(ISNUMBER(SEARCH("#",B878)), LEFT(B878,FIND("#",B878)-1), B878)</f>
        <v xml:space="preserve">PC Monitor </v>
      </c>
      <c r="G878" s="26">
        <f>IF(ISNUMBER(SEARCH("#",B878)),VALUE(MID(B878,FIND("#",B878)+1,1000)),1)</f>
        <v>6</v>
      </c>
      <c r="H878" t="str">
        <f>IF(AND(regexMatch(B878,".*#[0-9]*$"),ISNUMBER(SEARCH("#",B878))),CONCATENATE(TRIM(F878)," #",G878),B878)</f>
        <v>PC Monitor #6</v>
      </c>
    </row>
    <row r="879" spans="1:8" ht="15.75" thickBot="1" x14ac:dyDescent="0.3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>IF(ISNUMBER(SEARCH("#",B879)), LEFT(B879,FIND("#",B879)-1), B879)</f>
        <v xml:space="preserve">PC Monitor </v>
      </c>
      <c r="G879" s="26">
        <f>IF(ISNUMBER(SEARCH("#",B879)),VALUE(MID(B879,FIND("#",B879)+1,1000)),1)</f>
        <v>7</v>
      </c>
      <c r="H879" t="str">
        <f>IF(AND(regexMatch(B879,".*#[0-9]*$"),ISNUMBER(SEARCH("#",B879))),CONCATENATE(TRIM(F879)," #",G879),B879)</f>
        <v>PC Monitor #7</v>
      </c>
    </row>
    <row r="880" spans="1:8" ht="15.75" thickBot="1" x14ac:dyDescent="0.3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>IF(ISNUMBER(SEARCH("#",B880)), LEFT(B880,FIND("#",B880)-1), B880)</f>
        <v>PC Monitor (CRT)</v>
      </c>
      <c r="G880" s="26">
        <f>IF(ISNUMBER(SEARCH("#",B880)),VALUE(MID(B880,FIND("#",B880)+1,1000)),1)</f>
        <v>1</v>
      </c>
      <c r="H880" t="str">
        <f>IF(AND(regexMatch(B880,".*#[0-9]*$"),ISNUMBER(SEARCH("#",B880))),CONCATENATE(TRIM(F880)," #",G880),B880)</f>
        <v>PC Monitor (CRT)</v>
      </c>
    </row>
    <row r="881" spans="1:8" ht="15.75" thickBot="1" x14ac:dyDescent="0.3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>IF(ISNUMBER(SEARCH("#",B881)), LEFT(B881,FIND("#",B881)-1), B881)</f>
        <v>PC Monitor (Life Invader)</v>
      </c>
      <c r="G881" s="26">
        <f>IF(ISNUMBER(SEARCH("#",B881)),VALUE(MID(B881,FIND("#",B881)+1,1000)),1)</f>
        <v>1</v>
      </c>
      <c r="H881" t="str">
        <f>IF(AND(regexMatch(B881,".*#[0-9]*$"),ISNUMBER(SEARCH("#",B881))),CONCATENATE(TRIM(F881)," #",G881),B881)</f>
        <v>PC Monitor (Life Invader)</v>
      </c>
    </row>
    <row r="882" spans="1:8" ht="15.75" thickBot="1" x14ac:dyDescent="0.3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>IF(ISNUMBER(SEARCH("#",B882)), LEFT(B882,FIND("#",B882)-1), B882)</f>
        <v xml:space="preserve">Printer </v>
      </c>
      <c r="G882" s="26">
        <f>IF(ISNUMBER(SEARCH("#",B882)),VALUE(MID(B882,FIND("#",B882)+1,1000)),1)</f>
        <v>1</v>
      </c>
      <c r="H882" t="str">
        <f>IF(AND(regexMatch(B882,".*#[0-9]*$"),ISNUMBER(SEARCH("#",B882))),CONCATENATE(TRIM(F882)," #",G882),B882)</f>
        <v>Printer #1</v>
      </c>
    </row>
    <row r="883" spans="1:8" ht="15.75" thickBot="1" x14ac:dyDescent="0.3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>IF(ISNUMBER(SEARCH("#",B883)), LEFT(B883,FIND("#",B883)-1), B883)</f>
        <v xml:space="preserve">Printer </v>
      </c>
      <c r="G883" s="26">
        <f>IF(ISNUMBER(SEARCH("#",B883)),VALUE(MID(B883,FIND("#",B883)+1,1000)),1)</f>
        <v>2</v>
      </c>
      <c r="H883" t="str">
        <f>IF(AND(regexMatch(B883,".*#[0-9]*$"),ISNUMBER(SEARCH("#",B883))),CONCATENATE(TRIM(F883)," #",G883),B883)</f>
        <v>Printer #2</v>
      </c>
    </row>
    <row r="884" spans="1:8" ht="15.75" thickBot="1" x14ac:dyDescent="0.3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>IF(ISNUMBER(SEARCH("#",B884)), LEFT(B884,FIND("#",B884)-1), B884)</f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.75" thickBot="1" x14ac:dyDescent="0.3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>IF(ISNUMBER(SEARCH("#",B885)), LEFT(B885,FIND("#",B885)-1), B885)</f>
        <v>Projector (Mounted)</v>
      </c>
      <c r="G885" s="26">
        <f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.75" thickBot="1" x14ac:dyDescent="0.3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>IF(ISNUMBER(SEARCH("#",B886)), LEFT(B886,FIND("#",B886)-1), B886)</f>
        <v>Server Disk Drive</v>
      </c>
      <c r="G886" s="26">
        <f>IF(ISNUMBER(SEARCH("#",B886)),VALUE(MID(B886,FIND("#",B886)+1,1000)),1)</f>
        <v>1</v>
      </c>
      <c r="H886" t="str">
        <f>IF(AND(regexMatch(B886,".*#[0-9]*$"),ISNUMBER(SEARCH("#",B886))),CONCATENATE(TRIM(F886)," #",G886),B886)</f>
        <v>Server Disk Drive</v>
      </c>
    </row>
    <row r="887" spans="1:8" ht="15.75" thickBot="1" x14ac:dyDescent="0.3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>IF(ISNUMBER(SEARCH("#",B887)), LEFT(B887,FIND("#",B887)-1), B887)</f>
        <v xml:space="preserve">Tablet </v>
      </c>
      <c r="G887" s="26">
        <f>IF(ISNUMBER(SEARCH("#",B887)),VALUE(MID(B887,FIND("#",B887)+1,1000)),1)</f>
        <v>1</v>
      </c>
      <c r="H887" t="str">
        <f>IF(AND(regexMatch(B887,".*#[0-9]*$"),ISNUMBER(SEARCH("#",B887))),CONCATENATE(TRIM(F887)," #",G887),B887)</f>
        <v>Tablet #1</v>
      </c>
    </row>
    <row r="888" spans="1:8" ht="15.75" thickBot="1" x14ac:dyDescent="0.3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>IF(ISNUMBER(SEARCH("#",B888)), LEFT(B888,FIND("#",B888)-1), B888)</f>
        <v xml:space="preserve">Tablet </v>
      </c>
      <c r="G888" s="26">
        <f>IF(ISNUMBER(SEARCH("#",B888)),VALUE(MID(B888,FIND("#",B888)+1,1000)),1)</f>
        <v>2</v>
      </c>
      <c r="H888" t="str">
        <f>IF(AND(regexMatch(B888,".*#[0-9]*$"),ISNUMBER(SEARCH("#",B888))),CONCATENATE(TRIM(F888)," #",G888),B888)</f>
        <v>Tablet #2</v>
      </c>
    </row>
    <row r="889" spans="1:8" ht="15.75" thickBot="1" x14ac:dyDescent="0.3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>IF(ISNUMBER(SEARCH("#",B889)), LEFT(B889,FIND("#",B889)-1), B889)</f>
        <v xml:space="preserve">Barrier Sign </v>
      </c>
      <c r="G889" s="26">
        <f>IF(ISNUMBER(SEARCH("#",B889)),VALUE(MID(B889,FIND("#",B889)+1,1000)),1)</f>
        <v>1</v>
      </c>
      <c r="H889" t="str">
        <f>IF(AND(regexMatch(B889,".*#[0-9]*$"),ISNUMBER(SEARCH("#",B889))),CONCATENATE(TRIM(F889)," #",G889),B889)</f>
        <v>Barrier Sign #1</v>
      </c>
    </row>
    <row r="890" spans="1:8" ht="15.75" thickBot="1" x14ac:dyDescent="0.3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>IF(ISNUMBER(SEARCH("#",B890)), LEFT(B890,FIND("#",B890)-1), B890)</f>
        <v xml:space="preserve">Barrier Sign </v>
      </c>
      <c r="G890" s="26">
        <f>IF(ISNUMBER(SEARCH("#",B890)),VALUE(MID(B890,FIND("#",B890)+1,1000)),1)</f>
        <v>2</v>
      </c>
      <c r="H890" t="str">
        <f>IF(AND(regexMatch(B890,".*#[0-9]*$"),ISNUMBER(SEARCH("#",B890))),CONCATENATE(TRIM(F890)," #",G890),B890)</f>
        <v>Barrier Sign #2</v>
      </c>
    </row>
    <row r="891" spans="1:8" ht="15.75" thickBot="1" x14ac:dyDescent="0.3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>IF(ISNUMBER(SEARCH("#",B891)), LEFT(B891,FIND("#",B891)-1), B891)</f>
        <v xml:space="preserve">Barrier Sign </v>
      </c>
      <c r="G891" s="26">
        <f>IF(ISNUMBER(SEARCH("#",B891)),VALUE(MID(B891,FIND("#",B891)+1,1000)),1)</f>
        <v>3</v>
      </c>
      <c r="H891" t="str">
        <f>IF(AND(regexMatch(B891,".*#[0-9]*$"),ISNUMBER(SEARCH("#",B891))),CONCATENATE(TRIM(F891)," #",G891),B891)</f>
        <v>Barrier Sign #3</v>
      </c>
    </row>
    <row r="892" spans="1:8" ht="15.75" thickBot="1" x14ac:dyDescent="0.3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>IF(ISNUMBER(SEARCH("#",B892)), LEFT(B892,FIND("#",B892)-1), B892)</f>
        <v xml:space="preserve">Barrier Sign </v>
      </c>
      <c r="G892" s="26">
        <f>IF(ISNUMBER(SEARCH("#",B892)),VALUE(MID(B892,FIND("#",B892)+1,1000)),1)</f>
        <v>4</v>
      </c>
      <c r="H892" t="str">
        <f>IF(AND(regexMatch(B892,".*#[0-9]*$"),ISNUMBER(SEARCH("#",B892))),CONCATENATE(TRIM(F892)," #",G892),B892)</f>
        <v>Barrier Sign #4</v>
      </c>
    </row>
    <row r="893" spans="1:8" ht="15.75" thickBot="1" x14ac:dyDescent="0.3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>IF(ISNUMBER(SEARCH("#",B893)), LEFT(B893,FIND("#",B893)-1), B893)</f>
        <v xml:space="preserve">Barrier Sign </v>
      </c>
      <c r="G893" s="26">
        <f>IF(ISNUMBER(SEARCH("#",B893)),VALUE(MID(B893,FIND("#",B893)+1,1000)),1)</f>
        <v>5</v>
      </c>
      <c r="H893" t="str">
        <f>IF(AND(regexMatch(B893,".*#[0-9]*$"),ISNUMBER(SEARCH("#",B893))),CONCATENATE(TRIM(F893)," #",G893),B893)</f>
        <v>Barrier Sign #5</v>
      </c>
    </row>
    <row r="894" spans="1:8" ht="15.75" thickBot="1" x14ac:dyDescent="0.3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>IF(ISNUMBER(SEARCH("#",B894)), LEFT(B894,FIND("#",B894)-1), B894)</f>
        <v xml:space="preserve">Barrier Sign </v>
      </c>
      <c r="G894" s="26">
        <f>IF(ISNUMBER(SEARCH("#",B894)),VALUE(MID(B894,FIND("#",B894)+1,1000)),1)</f>
        <v>6</v>
      </c>
      <c r="H894" t="str">
        <f>IF(AND(regexMatch(B894,".*#[0-9]*$"),ISNUMBER(SEARCH("#",B894))),CONCATENATE(TRIM(F894)," #",G894),B894)</f>
        <v>Barrier Sign #6</v>
      </c>
    </row>
    <row r="895" spans="1:8" ht="15.75" thickBot="1" x14ac:dyDescent="0.3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>IF(ISNUMBER(SEARCH("#",B895)), LEFT(B895,FIND("#",B895)-1), B895)</f>
        <v xml:space="preserve">Cable Spool </v>
      </c>
      <c r="G895" s="26">
        <f>IF(ISNUMBER(SEARCH("#",B895)),VALUE(MID(B895,FIND("#",B895)+1,1000)),1)</f>
        <v>1</v>
      </c>
      <c r="H895" t="str">
        <f>IF(AND(regexMatch(B895,".*#[0-9]*$"),ISNUMBER(SEARCH("#",B895))),CONCATENATE(TRIM(F895)," #",G895),B895)</f>
        <v>Cable Spool #1</v>
      </c>
    </row>
    <row r="896" spans="1:8" ht="15.75" thickBot="1" x14ac:dyDescent="0.3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>IF(ISNUMBER(SEARCH("#",B896)), LEFT(B896,FIND("#",B896)-1), B896)</f>
        <v xml:space="preserve">Cable Spool </v>
      </c>
      <c r="G896" s="26">
        <f>IF(ISNUMBER(SEARCH("#",B896)),VALUE(MID(B896,FIND("#",B896)+1,1000)),1)</f>
        <v>2</v>
      </c>
      <c r="H896" t="str">
        <f>IF(AND(regexMatch(B896,".*#[0-9]*$"),ISNUMBER(SEARCH("#",B896))),CONCATENATE(TRIM(F896)," #",G896),B896)</f>
        <v>Cable Spool #2</v>
      </c>
    </row>
    <row r="897" spans="1:8" ht="15.75" thickBot="1" x14ac:dyDescent="0.3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>IF(ISNUMBER(SEARCH("#",B897)), LEFT(B897,FIND("#",B897)-1), B897)</f>
        <v xml:space="preserve">Cable Spool </v>
      </c>
      <c r="G897" s="26">
        <f>IF(ISNUMBER(SEARCH("#",B897)),VALUE(MID(B897,FIND("#",B897)+1,1000)),1)</f>
        <v>3</v>
      </c>
      <c r="H897" t="str">
        <f>IF(AND(regexMatch(B897,".*#[0-9]*$"),ISNUMBER(SEARCH("#",B897))),CONCATENATE(TRIM(F897)," #",G897),B897)</f>
        <v>Cable Spool #3</v>
      </c>
    </row>
    <row r="898" spans="1:8" ht="15.75" thickBot="1" x14ac:dyDescent="0.3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>IF(ISNUMBER(SEARCH("#",B898)), LEFT(B898,FIND("#",B898)-1), B898)</f>
        <v xml:space="preserve">Cable Spool </v>
      </c>
      <c r="G898" s="26">
        <f>IF(ISNUMBER(SEARCH("#",B898)),VALUE(MID(B898,FIND("#",B898)+1,1000)),1)</f>
        <v>4</v>
      </c>
      <c r="H898" t="str">
        <f>IF(AND(regexMatch(B898,".*#[0-9]*$"),ISNUMBER(SEARCH("#",B898))),CONCATENATE(TRIM(F898)," #",G898),B898)</f>
        <v>Cable Spool #4</v>
      </c>
    </row>
    <row r="899" spans="1:8" ht="15.75" thickBot="1" x14ac:dyDescent="0.3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>IF(ISNUMBER(SEARCH("#",B899)), LEFT(B899,FIND("#",B899)-1), B899)</f>
        <v xml:space="preserve">Cable Spool </v>
      </c>
      <c r="G899" s="26">
        <f>IF(ISNUMBER(SEARCH("#",B899)),VALUE(MID(B899,FIND("#",B899)+1,1000)),1)</f>
        <v>5</v>
      </c>
      <c r="H899" t="str">
        <f>IF(AND(regexMatch(B899,".*#[0-9]*$"),ISNUMBER(SEARCH("#",B899))),CONCATENATE(TRIM(F899)," #",G899),B899)</f>
        <v>Cable Spool #5</v>
      </c>
    </row>
    <row r="900" spans="1:8" ht="15.75" thickBot="1" x14ac:dyDescent="0.3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>IF(ISNUMBER(SEARCH("#",B900)), LEFT(B900,FIND("#",B900)-1), B900)</f>
        <v xml:space="preserve">Cable Spool </v>
      </c>
      <c r="G900" s="26">
        <f>IF(ISNUMBER(SEARCH("#",B900)),VALUE(MID(B900,FIND("#",B900)+1,1000)),1)</f>
        <v>6</v>
      </c>
      <c r="H900" t="str">
        <f>IF(AND(regexMatch(B900,".*#[0-9]*$"),ISNUMBER(SEARCH("#",B900))),CONCATENATE(TRIM(F900)," #",G900),B900)</f>
        <v>Cable Spool #6</v>
      </c>
    </row>
    <row r="901" spans="1:8" ht="15.75" thickBot="1" x14ac:dyDescent="0.3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>IF(ISNUMBER(SEARCH("#",B901)), LEFT(B901,FIND("#",B901)-1), B901)</f>
        <v xml:space="preserve">Cable Spool </v>
      </c>
      <c r="G901" s="26">
        <f>IF(ISNUMBER(SEARCH("#",B901)),VALUE(MID(B901,FIND("#",B901)+1,1000)),1)</f>
        <v>7</v>
      </c>
      <c r="H901" t="str">
        <f>IF(AND(regexMatch(B901,".*#[0-9]*$"),ISNUMBER(SEARCH("#",B901))),CONCATENATE(TRIM(F901)," #",G901),B901)</f>
        <v>Cable Spool #7</v>
      </c>
    </row>
    <row r="902" spans="1:8" ht="15.75" thickBot="1" x14ac:dyDescent="0.3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>IF(ISNUMBER(SEARCH("#",B902)), LEFT(B902,FIND("#",B902)-1), B902)</f>
        <v xml:space="preserve">Cement Bags Pallet </v>
      </c>
      <c r="G902" s="26">
        <f>IF(ISNUMBER(SEARCH("#",B902)),VALUE(MID(B902,FIND("#",B902)+1,1000)),1)</f>
        <v>1</v>
      </c>
      <c r="H902" t="str">
        <f>IF(AND(regexMatch(B902,".*#[0-9]*$"),ISNUMBER(SEARCH("#",B902))),CONCATENATE(TRIM(F902)," #",G902),B902)</f>
        <v>Cement Bags Pallet #1</v>
      </c>
    </row>
    <row r="903" spans="1:8" ht="15.75" thickBot="1" x14ac:dyDescent="0.3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>IF(ISNUMBER(SEARCH("#",B903)), LEFT(B903,FIND("#",B903)-1), B903)</f>
        <v xml:space="preserve">Cement Bags Pallet </v>
      </c>
      <c r="G903" s="26">
        <f>IF(ISNUMBER(SEARCH("#",B903)),VALUE(MID(B903,FIND("#",B903)+1,1000)),1)</f>
        <v>2</v>
      </c>
      <c r="H903" t="str">
        <f>IF(AND(regexMatch(B903,".*#[0-9]*$"),ISNUMBER(SEARCH("#",B903))),CONCATENATE(TRIM(F903)," #",G903),B903)</f>
        <v>Cement Bags Pallet #2</v>
      </c>
    </row>
    <row r="904" spans="1:8" ht="15.75" thickBot="1" x14ac:dyDescent="0.3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>IF(ISNUMBER(SEARCH("#",B904)), LEFT(B904,FIND("#",B904)-1), B904)</f>
        <v xml:space="preserve">Cement Mixer </v>
      </c>
      <c r="G904" s="26">
        <f>IF(ISNUMBER(SEARCH("#",B904)),VALUE(MID(B904,FIND("#",B904)+1,1000)),1)</f>
        <v>1</v>
      </c>
      <c r="H904" t="str">
        <f>IF(AND(regexMatch(B904,".*#[0-9]*$"),ISNUMBER(SEARCH("#",B904))),CONCATENATE(TRIM(F904)," #",G904),B904)</f>
        <v>Cement Mixer #1</v>
      </c>
    </row>
    <row r="905" spans="1:8" ht="15.75" thickBot="1" x14ac:dyDescent="0.3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>IF(ISNUMBER(SEARCH("#",B905)), LEFT(B905,FIND("#",B905)-1), B905)</f>
        <v xml:space="preserve">Cement Mixer </v>
      </c>
      <c r="G905" s="26">
        <f>IF(ISNUMBER(SEARCH("#",B905)),VALUE(MID(B905,FIND("#",B905)+1,1000)),1)</f>
        <v>2</v>
      </c>
      <c r="H905" t="str">
        <f>IF(AND(regexMatch(B905,".*#[0-9]*$"),ISNUMBER(SEARCH("#",B905))),CONCATENATE(TRIM(F905)," #",G905),B905)</f>
        <v>Cement Mixer #2</v>
      </c>
    </row>
    <row r="906" spans="1:8" ht="15.75" thickBot="1" x14ac:dyDescent="0.3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>IF(ISNUMBER(SEARCH("#",B906)), LEFT(B906,FIND("#",B906)-1), B906)</f>
        <v xml:space="preserve">Compressor </v>
      </c>
      <c r="G906" s="26">
        <f>IF(ISNUMBER(SEARCH("#",B906)),VALUE(MID(B906,FIND("#",B906)+1,1000)),1)</f>
        <v>1</v>
      </c>
      <c r="H906" t="str">
        <f>IF(AND(regexMatch(B906,".*#[0-9]*$"),ISNUMBER(SEARCH("#",B906))),CONCATENATE(TRIM(F906)," #",G906),B906)</f>
        <v>Compressor #1</v>
      </c>
    </row>
    <row r="907" spans="1:8" ht="15.75" thickBot="1" x14ac:dyDescent="0.3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>IF(ISNUMBER(SEARCH("#",B907)), LEFT(B907,FIND("#",B907)-1), B907)</f>
        <v xml:space="preserve">Compressor </v>
      </c>
      <c r="G907" s="26">
        <f>IF(ISNUMBER(SEARCH("#",B907)),VALUE(MID(B907,FIND("#",B907)+1,1000)),1)</f>
        <v>2</v>
      </c>
      <c r="H907" t="str">
        <f>IF(AND(regexMatch(B907,".*#[0-9]*$"),ISNUMBER(SEARCH("#",B907))),CONCATENATE(TRIM(F907)," #",G907),B907)</f>
        <v>Compressor #2</v>
      </c>
    </row>
    <row r="908" spans="1:8" ht="15.75" thickBot="1" x14ac:dyDescent="0.3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>IF(ISNUMBER(SEARCH("#",B908)), LEFT(B908,FIND("#",B908)-1), B908)</f>
        <v xml:space="preserve">Compressor </v>
      </c>
      <c r="G908" s="26">
        <f>IF(ISNUMBER(SEARCH("#",B908)),VALUE(MID(B908,FIND("#",B908)+1,1000)),1)</f>
        <v>3</v>
      </c>
      <c r="H908" t="str">
        <f>IF(AND(regexMatch(B908,".*#[0-9]*$"),ISNUMBER(SEARCH("#",B908))),CONCATENATE(TRIM(F908)," #",G908),B908)</f>
        <v>Compressor #3</v>
      </c>
    </row>
    <row r="909" spans="1:8" ht="15.75" thickBot="1" x14ac:dyDescent="0.3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>IF(ISNUMBER(SEARCH("#",B909)), LEFT(B909,FIND("#",B909)-1), B909)</f>
        <v xml:space="preserve">Concrete Barrier </v>
      </c>
      <c r="G909" s="26">
        <f>IF(ISNUMBER(SEARCH("#",B909)),VALUE(MID(B909,FIND("#",B909)+1,1000)),1)</f>
        <v>1</v>
      </c>
      <c r="H909" t="str">
        <f>IF(AND(regexMatch(B909,".*#[0-9]*$"),ISNUMBER(SEARCH("#",B909))),CONCATENATE(TRIM(F909)," #",G909),B909)</f>
        <v>Concrete Barrier #1</v>
      </c>
    </row>
    <row r="910" spans="1:8" ht="15.75" thickBot="1" x14ac:dyDescent="0.3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>IF(ISNUMBER(SEARCH("#",B910)), LEFT(B910,FIND("#",B910)-1), B910)</f>
        <v xml:space="preserve">Concrete Barrier </v>
      </c>
      <c r="G910" s="26">
        <f>IF(ISNUMBER(SEARCH("#",B910)),VALUE(MID(B910,FIND("#",B910)+1,1000)),1)</f>
        <v>2</v>
      </c>
      <c r="H910" t="str">
        <f>IF(AND(regexMatch(B910,".*#[0-9]*$"),ISNUMBER(SEARCH("#",B910))),CONCATENATE(TRIM(F910)," #",G910),B910)</f>
        <v>Concrete Barrier #2</v>
      </c>
    </row>
    <row r="911" spans="1:8" ht="15.75" thickBot="1" x14ac:dyDescent="0.3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>IF(ISNUMBER(SEARCH("#",B911)), LEFT(B911,FIND("#",B911)-1), B911)</f>
        <v xml:space="preserve">Concrete Barrier </v>
      </c>
      <c r="G911" s="26">
        <f>IF(ISNUMBER(SEARCH("#",B911)),VALUE(MID(B911,FIND("#",B911)+1,1000)),1)</f>
        <v>3</v>
      </c>
      <c r="H911" t="str">
        <f>IF(AND(regexMatch(B911,".*#[0-9]*$"),ISNUMBER(SEARCH("#",B911))),CONCATENATE(TRIM(F911)," #",G911),B911)</f>
        <v>Concrete Barrier #3</v>
      </c>
    </row>
    <row r="912" spans="1:8" ht="15.75" thickBot="1" x14ac:dyDescent="0.3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>IF(ISNUMBER(SEARCH("#",B912)), LEFT(B912,FIND("#",B912)-1), B912)</f>
        <v xml:space="preserve">Concrete Barrier </v>
      </c>
      <c r="G912" s="26">
        <f>IF(ISNUMBER(SEARCH("#",B912)),VALUE(MID(B912,FIND("#",B912)+1,1000)),1)</f>
        <v>4</v>
      </c>
      <c r="H912" t="str">
        <f>IF(AND(regexMatch(B912,".*#[0-9]*$"),ISNUMBER(SEARCH("#",B912))),CONCATENATE(TRIM(F912)," #",G912),B912)</f>
        <v>Concrete Barrier #4</v>
      </c>
    </row>
    <row r="913" spans="1:8" ht="15.75" thickBot="1" x14ac:dyDescent="0.3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>IF(ISNUMBER(SEARCH("#",B913)), LEFT(B913,FIND("#",B913)-1), B913)</f>
        <v xml:space="preserve">Concrete Barrier </v>
      </c>
      <c r="G913" s="26">
        <f>IF(ISNUMBER(SEARCH("#",B913)),VALUE(MID(B913,FIND("#",B913)+1,1000)),1)</f>
        <v>5</v>
      </c>
      <c r="H913" t="str">
        <f>IF(AND(regexMatch(B913,".*#[0-9]*$"),ISNUMBER(SEARCH("#",B913))),CONCATENATE(TRIM(F913)," #",G913),B913)</f>
        <v>Concrete Barrier #5</v>
      </c>
    </row>
    <row r="914" spans="1:8" ht="15.75" thickBot="1" x14ac:dyDescent="0.3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>IF(ISNUMBER(SEARCH("#",B914)), LEFT(B914,FIND("#",B914)-1), B914)</f>
        <v xml:space="preserve">Concrete Barrier </v>
      </c>
      <c r="G914" s="26">
        <f>IF(ISNUMBER(SEARCH("#",B914)),VALUE(MID(B914,FIND("#",B914)+1,1000)),1)</f>
        <v>6</v>
      </c>
      <c r="H914" t="str">
        <f>IF(AND(regexMatch(B914,".*#[0-9]*$"),ISNUMBER(SEARCH("#",B914))),CONCATENATE(TRIM(F914)," #",G914),B914)</f>
        <v>Concrete Barrier #6</v>
      </c>
    </row>
    <row r="915" spans="1:8" ht="15.75" thickBot="1" x14ac:dyDescent="0.3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>IF(ISNUMBER(SEARCH("#",B915)), LEFT(B915,FIND("#",B915)-1), B915)</f>
        <v xml:space="preserve">Concrete Barrier </v>
      </c>
      <c r="G915" s="26">
        <f>IF(ISNUMBER(SEARCH("#",B915)),VALUE(MID(B915,FIND("#",B915)+1,1000)),1)</f>
        <v>7</v>
      </c>
      <c r="H915" t="str">
        <f>IF(AND(regexMatch(B915,".*#[0-9]*$"),ISNUMBER(SEARCH("#",B915))),CONCATENATE(TRIM(F915)," #",G915),B915)</f>
        <v>Concrete Barrier #7</v>
      </c>
    </row>
    <row r="916" spans="1:8" ht="15.75" thickBot="1" x14ac:dyDescent="0.3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>IF(ISNUMBER(SEARCH("#",B916)), LEFT(B916,FIND("#",B916)-1), B916)</f>
        <v xml:space="preserve">Concrete Blocks  Pallet </v>
      </c>
      <c r="G916" s="26">
        <f>IF(ISNUMBER(SEARCH("#",B916)),VALUE(MID(B916,FIND("#",B916)+1,1000)),1)</f>
        <v>1</v>
      </c>
      <c r="H916" t="str">
        <f>IF(AND(regexMatch(B916,".*#[0-9]*$"),ISNUMBER(SEARCH("#",B916))),CONCATENATE(TRIM(F916)," #",G916),B916)</f>
        <v>Concrete Blocks Pallet #1</v>
      </c>
    </row>
    <row r="917" spans="1:8" ht="15.75" thickBot="1" x14ac:dyDescent="0.3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>IF(ISNUMBER(SEARCH("#",B917)), LEFT(B917,FIND("#",B917)-1), B917)</f>
        <v xml:space="preserve">Concrete Blocks  Pallet </v>
      </c>
      <c r="G917" s="26">
        <f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.75" thickBot="1" x14ac:dyDescent="0.3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>IF(ISNUMBER(SEARCH("#",B918)), LEFT(B918,FIND("#",B918)-1), B918)</f>
        <v xml:space="preserve">Concrete Blocks  Pallet </v>
      </c>
      <c r="G918" s="26">
        <f>IF(ISNUMBER(SEARCH("#",B918)),VALUE(MID(B918,FIND("#",B918)+1,1000)),1)</f>
        <v>3</v>
      </c>
      <c r="H918" t="str">
        <f>IF(AND(regexMatch(B918,".*#[0-9]*$"),ISNUMBER(SEARCH("#",B918))),CONCATENATE(TRIM(F918)," #",G918),B918)</f>
        <v>Concrete Blocks Pallet #3</v>
      </c>
    </row>
    <row r="919" spans="1:8" ht="15.75" thickBot="1" x14ac:dyDescent="0.3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>IF(ISNUMBER(SEARCH("#",B919)), LEFT(B919,FIND("#",B919)-1), B919)</f>
        <v>Concrete Cylinder</v>
      </c>
      <c r="G919" s="26">
        <f>IF(ISNUMBER(SEARCH("#",B919)),VALUE(MID(B919,FIND("#",B919)+1,1000)),1)</f>
        <v>1</v>
      </c>
      <c r="H919" t="str">
        <f>IF(AND(regexMatch(B919,".*#[0-9]*$"),ISNUMBER(SEARCH("#",B919))),CONCATENATE(TRIM(F919)," #",G919),B919)</f>
        <v>Concrete Cylinder</v>
      </c>
    </row>
    <row r="920" spans="1:8" ht="15.75" thickBot="1" x14ac:dyDescent="0.3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>IF(ISNUMBER(SEARCH("#",B920)), LEFT(B920,FIND("#",B920)-1), B920)</f>
        <v>Concrete Pillar</v>
      </c>
      <c r="G920" s="26">
        <f>IF(ISNUMBER(SEARCH("#",B920)),VALUE(MID(B920,FIND("#",B920)+1,1000)),1)</f>
        <v>1</v>
      </c>
      <c r="H920" t="str">
        <f>IF(AND(regexMatch(B920,".*#[0-9]*$"),ISNUMBER(SEARCH("#",B920))),CONCATENATE(TRIM(F920)," #",G920),B920)</f>
        <v>Concrete Pillar</v>
      </c>
    </row>
    <row r="921" spans="1:8" ht="15.75" thickBot="1" x14ac:dyDescent="0.3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>IF(ISNUMBER(SEARCH("#",B921)), LEFT(B921,FIND("#",B921)-1), B921)</f>
        <v xml:space="preserve">Concrete Pipe </v>
      </c>
      <c r="G921" s="26">
        <f>IF(ISNUMBER(SEARCH("#",B921)),VALUE(MID(B921,FIND("#",B921)+1,1000)),1)</f>
        <v>1</v>
      </c>
      <c r="H921" t="str">
        <f>IF(AND(regexMatch(B921,".*#[0-9]*$"),ISNUMBER(SEARCH("#",B921))),CONCATENATE(TRIM(F921)," #",G921),B921)</f>
        <v>Concrete Pipe #1</v>
      </c>
    </row>
    <row r="922" spans="1:8" ht="15.75" thickBot="1" x14ac:dyDescent="0.3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>IF(ISNUMBER(SEARCH("#",B922)), LEFT(B922,FIND("#",B922)-1), B922)</f>
        <v xml:space="preserve">Concrete Pipe </v>
      </c>
      <c r="G922" s="26">
        <f>IF(ISNUMBER(SEARCH("#",B922)),VALUE(MID(B922,FIND("#",B922)+1,1000)),1)</f>
        <v>2</v>
      </c>
      <c r="H922" t="str">
        <f>IF(AND(regexMatch(B922,".*#[0-9]*$"),ISNUMBER(SEARCH("#",B922))),CONCATENATE(TRIM(F922)," #",G922),B922)</f>
        <v>Concrete Pipe #2</v>
      </c>
    </row>
    <row r="923" spans="1:8" ht="15.75" thickBot="1" x14ac:dyDescent="0.3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>IF(ISNUMBER(SEARCH("#",B923)), LEFT(B923,FIND("#",B923)-1), B923)</f>
        <v>Concrete Sacks</v>
      </c>
      <c r="G923" s="26">
        <f>IF(ISNUMBER(SEARCH("#",B923)),VALUE(MID(B923,FIND("#",B923)+1,1000)),1)</f>
        <v>1</v>
      </c>
      <c r="H923" t="str">
        <f>IF(AND(regexMatch(B923,".*#[0-9]*$"),ISNUMBER(SEARCH("#",B923))),CONCATENATE(TRIM(F923)," #",G923),B923)</f>
        <v>Concrete Sacks</v>
      </c>
    </row>
    <row r="924" spans="1:8" ht="15.75" thickBot="1" x14ac:dyDescent="0.3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>IF(ISNUMBER(SEARCH("#",B924)), LEFT(B924,FIND("#",B924)-1), B924)</f>
        <v>Construction Crate</v>
      </c>
      <c r="G924" s="26">
        <f>IF(ISNUMBER(SEARCH("#",B924)),VALUE(MID(B924,FIND("#",B924)+1,1000)),1)</f>
        <v>1</v>
      </c>
      <c r="H924" t="str">
        <f>IF(AND(regexMatch(B924,".*#[0-9]*$"),ISNUMBER(SEARCH("#",B924))),CONCATENATE(TRIM(F924)," #",G924),B924)</f>
        <v>Construction Crate</v>
      </c>
    </row>
    <row r="925" spans="1:8" ht="15.75" thickBot="1" x14ac:dyDescent="0.3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>IF(ISNUMBER(SEARCH("#",B925)), LEFT(B925,FIND("#",B925)-1), B925)</f>
        <v xml:space="preserve">Construction Fence </v>
      </c>
      <c r="G925" s="26">
        <f>IF(ISNUMBER(SEARCH("#",B925)),VALUE(MID(B925,FIND("#",B925)+1,1000)),1)</f>
        <v>1</v>
      </c>
      <c r="H925" t="str">
        <f>IF(AND(regexMatch(B925,".*#[0-9]*$"),ISNUMBER(SEARCH("#",B925))),CONCATENATE(TRIM(F925)," #",G925),B925)</f>
        <v>Construction Fence #1</v>
      </c>
    </row>
    <row r="926" spans="1:8" ht="15.75" thickBot="1" x14ac:dyDescent="0.3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>IF(ISNUMBER(SEARCH("#",B926)), LEFT(B926,FIND("#",B926)-1), B926)</f>
        <v xml:space="preserve">Construction Fence </v>
      </c>
      <c r="G926" s="26">
        <f>IF(ISNUMBER(SEARCH("#",B926)),VALUE(MID(B926,FIND("#",B926)+1,1000)),1)</f>
        <v>2</v>
      </c>
      <c r="H926" t="str">
        <f>IF(AND(regexMatch(B926,".*#[0-9]*$"),ISNUMBER(SEARCH("#",B926))),CONCATENATE(TRIM(F926)," #",G926),B926)</f>
        <v>Construction Fence #2</v>
      </c>
    </row>
    <row r="927" spans="1:8" ht="15.75" thickBot="1" x14ac:dyDescent="0.3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>IF(ISNUMBER(SEARCH("#",B927)), LEFT(B927,FIND("#",B927)-1), B927)</f>
        <v xml:space="preserve">Construction Fence </v>
      </c>
      <c r="G927" s="26">
        <f>IF(ISNUMBER(SEARCH("#",B927)),VALUE(MID(B927,FIND("#",B927)+1,1000)),1)</f>
        <v>3</v>
      </c>
      <c r="H927" t="str">
        <f>IF(AND(regexMatch(B927,".*#[0-9]*$"),ISNUMBER(SEARCH("#",B927))),CONCATENATE(TRIM(F927)," #",G927),B927)</f>
        <v>Construction Fence #3</v>
      </c>
    </row>
    <row r="928" spans="1:8" ht="15.75" thickBot="1" x14ac:dyDescent="0.3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>IF(ISNUMBER(SEARCH("#",B928)), LEFT(B928,FIND("#",B928)-1), B928)</f>
        <v xml:space="preserve">Construction Fence </v>
      </c>
      <c r="G928" s="26">
        <f>IF(ISNUMBER(SEARCH("#",B928)),VALUE(MID(B928,FIND("#",B928)+1,1000)),1)</f>
        <v>4</v>
      </c>
      <c r="H928" t="str">
        <f>IF(AND(regexMatch(B928,".*#[0-9]*$"),ISNUMBER(SEARCH("#",B928))),CONCATENATE(TRIM(F928)," #",G928),B928)</f>
        <v>Construction Fence #4</v>
      </c>
    </row>
    <row r="929" spans="1:8" ht="15.75" thickBot="1" x14ac:dyDescent="0.3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>IF(ISNUMBER(SEARCH("#",B929)), LEFT(B929,FIND("#",B929)-1), B929)</f>
        <v xml:space="preserve">Construction Fence </v>
      </c>
      <c r="G929" s="26">
        <f>IF(ISNUMBER(SEARCH("#",B929)),VALUE(MID(B929,FIND("#",B929)+1,1000)),1)</f>
        <v>5</v>
      </c>
      <c r="H929" t="str">
        <f>IF(AND(regexMatch(B929,".*#[0-9]*$"),ISNUMBER(SEARCH("#",B929))),CONCATENATE(TRIM(F929)," #",G929),B929)</f>
        <v>Construction Fence #5</v>
      </c>
    </row>
    <row r="930" spans="1:8" ht="15.75" thickBot="1" x14ac:dyDescent="0.3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>IF(ISNUMBER(SEARCH("#",B930)), LEFT(B930,FIND("#",B930)-1), B930)</f>
        <v>Construction Foundation</v>
      </c>
      <c r="G930" s="26">
        <f>IF(ISNUMBER(SEARCH("#",B930)),VALUE(MID(B930,FIND("#",B930)+1,1000)),1)</f>
        <v>1</v>
      </c>
      <c r="H930" t="str">
        <f>IF(AND(regexMatch(B930,".*#[0-9]*$"),ISNUMBER(SEARCH("#",B930))),CONCATENATE(TRIM(F930)," #",G930),B930)</f>
        <v>Construction Foundation</v>
      </c>
    </row>
    <row r="931" spans="1:8" ht="15.75" thickBot="1" x14ac:dyDescent="0.3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>IF(ISNUMBER(SEARCH("#",B931)), LEFT(B931,FIND("#",B931)-1), B931)</f>
        <v xml:space="preserve">Construction Lamp </v>
      </c>
      <c r="G931" s="26">
        <f>IF(ISNUMBER(SEARCH("#",B931)),VALUE(MID(B931,FIND("#",B931)+1,1000)),1)</f>
        <v>1</v>
      </c>
      <c r="H931" t="str">
        <f>IF(AND(regexMatch(B931,".*#[0-9]*$"),ISNUMBER(SEARCH("#",B931))),CONCATENATE(TRIM(F931)," #",G931),B931)</f>
        <v>Construction Lamp #1</v>
      </c>
    </row>
    <row r="932" spans="1:8" ht="15.75" thickBot="1" x14ac:dyDescent="0.3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>IF(ISNUMBER(SEARCH("#",B932)), LEFT(B932,FIND("#",B932)-1), B932)</f>
        <v>Construction Lift</v>
      </c>
      <c r="G932" s="26">
        <f>IF(ISNUMBER(SEARCH("#",B932)),VALUE(MID(B932,FIND("#",B932)+1,1000)),1)</f>
        <v>1</v>
      </c>
      <c r="H932" t="str">
        <f>IF(AND(regexMatch(B932,".*#[0-9]*$"),ISNUMBER(SEARCH("#",B932))),CONCATENATE(TRIM(F932)," #",G932),B932)</f>
        <v>Construction Lift</v>
      </c>
    </row>
    <row r="933" spans="1:8" ht="15.75" thickBot="1" x14ac:dyDescent="0.3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>IF(ISNUMBER(SEARCH("#",B933)), LEFT(B933,FIND("#",B933)-1), B933)</f>
        <v>Construction Lift Door</v>
      </c>
      <c r="G933" s="26">
        <f>IF(ISNUMBER(SEARCH("#",B933)),VALUE(MID(B933,FIND("#",B933)+1,1000)),1)</f>
        <v>1</v>
      </c>
      <c r="H933" t="str">
        <f>IF(AND(regexMatch(B933,".*#[0-9]*$"),ISNUMBER(SEARCH("#",B933))),CONCATENATE(TRIM(F933)," #",G933),B933)</f>
        <v>Construction Lift Door</v>
      </c>
    </row>
    <row r="934" spans="1:8" ht="15.75" thickBot="1" x14ac:dyDescent="0.3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>IF(ISNUMBER(SEARCH("#",B934)), LEFT(B934,FIND("#",B934)-1), B934)</f>
        <v>Construction Plank</v>
      </c>
      <c r="G934" s="26">
        <f>IF(ISNUMBER(SEARCH("#",B934)),VALUE(MID(B934,FIND("#",B934)+1,1000)),1)</f>
        <v>1</v>
      </c>
      <c r="H934" t="str">
        <f>IF(AND(regexMatch(B934,".*#[0-9]*$"),ISNUMBER(SEARCH("#",B934))),CONCATENATE(TRIM(F934)," #",G934),B934)</f>
        <v>Construction Plank</v>
      </c>
    </row>
    <row r="935" spans="1:8" ht="15.75" thickBot="1" x14ac:dyDescent="0.3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>IF(ISNUMBER(SEARCH("#",B935)), LEFT(B935,FIND("#",B935)-1), B935)</f>
        <v xml:space="preserve">Construction Shuttering </v>
      </c>
      <c r="G935" s="26">
        <f>IF(ISNUMBER(SEARCH("#",B935)),VALUE(MID(B935,FIND("#",B935)+1,1000)),1)</f>
        <v>1</v>
      </c>
      <c r="H935" t="str">
        <f>IF(AND(regexMatch(B935,".*#[0-9]*$"),ISNUMBER(SEARCH("#",B935))),CONCATENATE(TRIM(F935)," #",G935),B935)</f>
        <v>Construction Shuttering #1</v>
      </c>
    </row>
    <row r="936" spans="1:8" ht="15.75" thickBot="1" x14ac:dyDescent="0.3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>IF(ISNUMBER(SEARCH("#",B936)), LEFT(B936,FIND("#",B936)-1), B936)</f>
        <v xml:space="preserve">Construction Shuttering </v>
      </c>
      <c r="G936" s="26">
        <f>IF(ISNUMBER(SEARCH("#",B936)),VALUE(MID(B936,FIND("#",B936)+1,1000)),1)</f>
        <v>2</v>
      </c>
      <c r="H936" t="str">
        <f>IF(AND(regexMatch(B936,".*#[0-9]*$"),ISNUMBER(SEARCH("#",B936))),CONCATENATE(TRIM(F936)," #",G936),B936)</f>
        <v>Construction Shuttering #2</v>
      </c>
    </row>
    <row r="937" spans="1:8" ht="15.75" thickBot="1" x14ac:dyDescent="0.3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>IF(ISNUMBER(SEARCH("#",B937)), LEFT(B937,FIND("#",B937)-1), B937)</f>
        <v xml:space="preserve">Construction Shuttering </v>
      </c>
      <c r="G937" s="26">
        <f>IF(ISNUMBER(SEARCH("#",B937)),VALUE(MID(B937,FIND("#",B937)+1,1000)),1)</f>
        <v>3</v>
      </c>
      <c r="H937" t="str">
        <f>IF(AND(regexMatch(B937,".*#[0-9]*$"),ISNUMBER(SEARCH("#",B937))),CONCATENATE(TRIM(F937)," #",G937),B937)</f>
        <v>Construction Shuttering #3</v>
      </c>
    </row>
    <row r="938" spans="1:8" ht="15.75" thickBot="1" x14ac:dyDescent="0.3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>IF(ISNUMBER(SEARCH("#",B938)), LEFT(B938,FIND("#",B938)-1), B938)</f>
        <v xml:space="preserve">Construction Shuttering </v>
      </c>
      <c r="G938" s="26">
        <f>IF(ISNUMBER(SEARCH("#",B938)),VALUE(MID(B938,FIND("#",B938)+1,1000)),1)</f>
        <v>4</v>
      </c>
      <c r="H938" t="str">
        <f>IF(AND(regexMatch(B938,".*#[0-9]*$"),ISNUMBER(SEARCH("#",B938))),CONCATENATE(TRIM(F938)," #",G938),B938)</f>
        <v>Construction Shuttering #4</v>
      </c>
    </row>
    <row r="939" spans="1:8" ht="15.75" thickBot="1" x14ac:dyDescent="0.3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>IF(ISNUMBER(SEARCH("#",B939)), LEFT(B939,FIND("#",B939)-1), B939)</f>
        <v xml:space="preserve">Construction Sign </v>
      </c>
      <c r="G939" s="26">
        <f>IF(ISNUMBER(SEARCH("#",B939)),VALUE(MID(B939,FIND("#",B939)+1,1000)),1)</f>
        <v>1</v>
      </c>
      <c r="H939" t="str">
        <f>IF(AND(regexMatch(B939,".*#[0-9]*$"),ISNUMBER(SEARCH("#",B939))),CONCATENATE(TRIM(F939)," #",G939),B939)</f>
        <v>Construction Sign #1</v>
      </c>
    </row>
    <row r="940" spans="1:8" ht="15.75" thickBot="1" x14ac:dyDescent="0.3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>IF(ISNUMBER(SEARCH("#",B940)), LEFT(B940,FIND("#",B940)-1), B940)</f>
        <v xml:space="preserve">Construction Sign </v>
      </c>
      <c r="G940" s="26">
        <f>IF(ISNUMBER(SEARCH("#",B940)),VALUE(MID(B940,FIND("#",B940)+1,1000)),1)</f>
        <v>2</v>
      </c>
      <c r="H940" t="str">
        <f>IF(AND(regexMatch(B940,".*#[0-9]*$"),ISNUMBER(SEARCH("#",B940))),CONCATENATE(TRIM(F940)," #",G940),B940)</f>
        <v>Construction Sign #2</v>
      </c>
    </row>
    <row r="941" spans="1:8" ht="15.75" thickBot="1" x14ac:dyDescent="0.3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>IF(ISNUMBER(SEARCH("#",B941)), LEFT(B941,FIND("#",B941)-1), B941)</f>
        <v xml:space="preserve">Construction Sign </v>
      </c>
      <c r="G941" s="26">
        <f>IF(ISNUMBER(SEARCH("#",B941)),VALUE(MID(B941,FIND("#",B941)+1,1000)),1)</f>
        <v>3</v>
      </c>
      <c r="H941" t="str">
        <f>IF(AND(regexMatch(B941,".*#[0-9]*$"),ISNUMBER(SEARCH("#",B941))),CONCATENATE(TRIM(F941)," #",G941),B941)</f>
        <v>Construction Sign #3</v>
      </c>
    </row>
    <row r="942" spans="1:8" ht="15.75" thickBot="1" x14ac:dyDescent="0.3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>IF(ISNUMBER(SEARCH("#",B942)), LEFT(B942,FIND("#",B942)-1), B942)</f>
        <v xml:space="preserve">Generator </v>
      </c>
      <c r="G942" s="26">
        <f>IF(ISNUMBER(SEARCH("#",B942)),VALUE(MID(B942,FIND("#",B942)+1,1000)),1)</f>
        <v>1</v>
      </c>
      <c r="H942" t="str">
        <f>IF(AND(regexMatch(B942,".*#[0-9]*$"),ISNUMBER(SEARCH("#",B942))),CONCATENATE(TRIM(F942)," #",G942),B942)</f>
        <v>Generator #1</v>
      </c>
    </row>
    <row r="943" spans="1:8" ht="15.75" thickBot="1" x14ac:dyDescent="0.3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>IF(ISNUMBER(SEARCH("#",B943)), LEFT(B943,FIND("#",B943)-1), B943)</f>
        <v xml:space="preserve">Generator </v>
      </c>
      <c r="G943" s="26">
        <f>IF(ISNUMBER(SEARCH("#",B943)),VALUE(MID(B943,FIND("#",B943)+1,1000)),1)</f>
        <v>2</v>
      </c>
      <c r="H943" t="str">
        <f>IF(AND(regexMatch(B943,".*#[0-9]*$"),ISNUMBER(SEARCH("#",B943))),CONCATENATE(TRIM(F943)," #",G943),B943)</f>
        <v>Generator #2</v>
      </c>
    </row>
    <row r="944" spans="1:8" ht="15.75" thickBot="1" x14ac:dyDescent="0.3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>IF(ISNUMBER(SEARCH("#",B944)), LEFT(B944,FIND("#",B944)-1), B944)</f>
        <v xml:space="preserve">Generator </v>
      </c>
      <c r="G944" s="26">
        <f>IF(ISNUMBER(SEARCH("#",B944)),VALUE(MID(B944,FIND("#",B944)+1,1000)),1)</f>
        <v>3</v>
      </c>
      <c r="H944" t="str">
        <f>IF(AND(regexMatch(B944,".*#[0-9]*$"),ISNUMBER(SEARCH("#",B944))),CONCATENATE(TRIM(F944)," #",G944),B944)</f>
        <v>Generator #3</v>
      </c>
    </row>
    <row r="945" spans="1:8" ht="15.75" thickBot="1" x14ac:dyDescent="0.3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>IF(ISNUMBER(SEARCH("#",B945)), LEFT(B945,FIND("#",B945)-1), B945)</f>
        <v xml:space="preserve">Generator </v>
      </c>
      <c r="G945" s="26">
        <f>IF(ISNUMBER(SEARCH("#",B945)),VALUE(MID(B945,FIND("#",B945)+1,1000)),1)</f>
        <v>4</v>
      </c>
      <c r="H945" t="str">
        <f>IF(AND(regexMatch(B945,".*#[0-9]*$"),ISNUMBER(SEARCH("#",B945))),CONCATENATE(TRIM(F945)," #",G945),B945)</f>
        <v>Generator #4</v>
      </c>
    </row>
    <row r="946" spans="1:8" ht="15.75" thickBot="1" x14ac:dyDescent="0.3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>IF(ISNUMBER(SEARCH("#",B946)), LEFT(B946,FIND("#",B946)-1), B946)</f>
        <v>Giant Wooden Block</v>
      </c>
      <c r="G946" s="26">
        <f>IF(ISNUMBER(SEARCH("#",B946)),VALUE(MID(B946,FIND("#",B946)+1,1000)),1)</f>
        <v>1</v>
      </c>
      <c r="H946" t="str">
        <f>IF(AND(regexMatch(B946,".*#[0-9]*$"),ISNUMBER(SEARCH("#",B946))),CONCATENATE(TRIM(F946)," #",G946),B946)</f>
        <v>Giant Wooden Block</v>
      </c>
    </row>
    <row r="947" spans="1:8" ht="15.75" thickBot="1" x14ac:dyDescent="0.3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>IF(ISNUMBER(SEARCH("#",B947)), LEFT(B947,FIND("#",B947)-1), B947)</f>
        <v xml:space="preserve">Girder </v>
      </c>
      <c r="G947" s="26">
        <f>IF(ISNUMBER(SEARCH("#",B947)),VALUE(MID(B947,FIND("#",B947)+1,1000)),1)</f>
        <v>1</v>
      </c>
      <c r="H947" t="str">
        <f>IF(AND(regexMatch(B947,".*#[0-9]*$"),ISNUMBER(SEARCH("#",B947))),CONCATENATE(TRIM(F947)," #",G947),B947)</f>
        <v>Girder #1</v>
      </c>
    </row>
    <row r="948" spans="1:8" ht="15.75" thickBot="1" x14ac:dyDescent="0.3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>IF(ISNUMBER(SEARCH("#",B948)), LEFT(B948,FIND("#",B948)-1), B948)</f>
        <v xml:space="preserve">Girder </v>
      </c>
      <c r="G948" s="26">
        <f>IF(ISNUMBER(SEARCH("#",B948)),VALUE(MID(B948,FIND("#",B948)+1,1000)),1)</f>
        <v>2</v>
      </c>
      <c r="H948" t="str">
        <f>IF(AND(regexMatch(B948,".*#[0-9]*$"),ISNUMBER(SEARCH("#",B948))),CONCATENATE(TRIM(F948)," #",G948),B948)</f>
        <v>Girder #2</v>
      </c>
    </row>
    <row r="949" spans="1:8" ht="15.75" thickBot="1" x14ac:dyDescent="0.3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>IF(ISNUMBER(SEARCH("#",B949)), LEFT(B949,FIND("#",B949)-1), B949)</f>
        <v>Large Black Pipe</v>
      </c>
      <c r="G949" s="26">
        <f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.75" thickBot="1" x14ac:dyDescent="0.3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>IF(ISNUMBER(SEARCH("#",B950)), LEFT(B950,FIND("#",B950)-1), B950)</f>
        <v>Large Pipe (Metal)</v>
      </c>
      <c r="G950" s="26">
        <f>IF(ISNUMBER(SEARCH("#",B950)),VALUE(MID(B950,FIND("#",B950)+1,1000)),1)</f>
        <v>1</v>
      </c>
      <c r="H950" t="str">
        <f>IF(AND(regexMatch(B950,".*#[0-9]*$"),ISNUMBER(SEARCH("#",B950))),CONCATENATE(TRIM(F950)," #",G950),B950)</f>
        <v>Large Pipe (Metal)</v>
      </c>
    </row>
    <row r="951" spans="1:8" ht="15.75" thickBot="1" x14ac:dyDescent="0.3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>IF(ISNUMBER(SEARCH("#",B951)), LEFT(B951,FIND("#",B951)-1), B951)</f>
        <v>Light Rig (Snowy)</v>
      </c>
      <c r="G951" s="26">
        <f>IF(ISNUMBER(SEARCH("#",B951)),VALUE(MID(B951,FIND("#",B951)+1,1000)),1)</f>
        <v>1</v>
      </c>
      <c r="H951" t="str">
        <f>IF(AND(regexMatch(B951,".*#[0-9]*$"),ISNUMBER(SEARCH("#",B951))),CONCATENATE(TRIM(F951)," #",G951),B951)</f>
        <v>Light Rig (Snowy)</v>
      </c>
    </row>
    <row r="952" spans="1:8" ht="15.75" thickBot="1" x14ac:dyDescent="0.3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>IF(ISNUMBER(SEARCH("#",B952)), LEFT(B952,FIND("#",B952)-1), B952)</f>
        <v xml:space="preserve">Pipes </v>
      </c>
      <c r="G952" s="26">
        <f>IF(ISNUMBER(SEARCH("#",B952)),VALUE(MID(B952,FIND("#",B952)+1,1000)),1)</f>
        <v>1</v>
      </c>
      <c r="H952" t="str">
        <f>IF(AND(regexMatch(B952,".*#[0-9]*$"),ISNUMBER(SEARCH("#",B952))),CONCATENATE(TRIM(F952)," #",G952),B952)</f>
        <v>Pipes #1</v>
      </c>
    </row>
    <row r="953" spans="1:8" ht="15.75" thickBot="1" x14ac:dyDescent="0.3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>IF(ISNUMBER(SEARCH("#",B953)), LEFT(B953,FIND("#",B953)-1), B953)</f>
        <v xml:space="preserve">Pipes </v>
      </c>
      <c r="G953" s="26">
        <f>IF(ISNUMBER(SEARCH("#",B953)),VALUE(MID(B953,FIND("#",B953)+1,1000)),1)</f>
        <v>2</v>
      </c>
      <c r="H953" t="str">
        <f>IF(AND(regexMatch(B953,".*#[0-9]*$"),ISNUMBER(SEARCH("#",B953))),CONCATENATE(TRIM(F953)," #",G953),B953)</f>
        <v>Pipes #2</v>
      </c>
    </row>
    <row r="954" spans="1:8" ht="15.75" thickBot="1" x14ac:dyDescent="0.3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>IF(ISNUMBER(SEARCH("#",B954)), LEFT(B954,FIND("#",B954)-1), B954)</f>
        <v xml:space="preserve">Pipes </v>
      </c>
      <c r="G954" s="26">
        <f>IF(ISNUMBER(SEARCH("#",B954)),VALUE(MID(B954,FIND("#",B954)+1,1000)),1)</f>
        <v>3</v>
      </c>
      <c r="H954" t="str">
        <f>IF(AND(regexMatch(B954,".*#[0-9]*$"),ISNUMBER(SEARCH("#",B954))),CONCATENATE(TRIM(F954)," #",G954),B954)</f>
        <v>Pipes #3</v>
      </c>
    </row>
    <row r="955" spans="1:8" ht="15.75" thickBot="1" x14ac:dyDescent="0.3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>IF(ISNUMBER(SEARCH("#",B955)), LEFT(B955,FIND("#",B955)-1), B955)</f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.75" thickBot="1" x14ac:dyDescent="0.3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>IF(ISNUMBER(SEARCH("#",B956)), LEFT(B956,FIND("#",B956)-1), B956)</f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.75" thickBot="1" x14ac:dyDescent="0.3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>IF(ISNUMBER(SEARCH("#",B957)), LEFT(B957,FIND("#",B957)-1), B957)</f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.75" thickBot="1" x14ac:dyDescent="0.3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>IF(ISNUMBER(SEARCH("#",B958)), LEFT(B958,FIND("#",B958)-1), B958)</f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.75" thickBot="1" x14ac:dyDescent="0.3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>IF(ISNUMBER(SEARCH("#",B959)), LEFT(B959,FIND("#",B959)-1), B959)</f>
        <v xml:space="preserve">Plank Fragment </v>
      </c>
      <c r="G959" s="26">
        <f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.75" thickBot="1" x14ac:dyDescent="0.3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>IF(ISNUMBER(SEARCH("#",B960)), LEFT(B960,FIND("#",B960)-1), B960)</f>
        <v xml:space="preserve">Plank Fragment </v>
      </c>
      <c r="G960" s="26">
        <f>IF(ISNUMBER(SEARCH("#",B960)),VALUE(MID(B960,FIND("#",B960)+1,1000)),1)</f>
        <v>2</v>
      </c>
      <c r="H960" t="str">
        <f>IF(AND(regexMatch(B960,".*#[0-9]*$"),ISNUMBER(SEARCH("#",B960))),CONCATENATE(TRIM(F960)," #",G960),B960)</f>
        <v>Plank Fragment #2</v>
      </c>
    </row>
    <row r="961" spans="1:8" ht="15.75" thickBot="1" x14ac:dyDescent="0.3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>IF(ISNUMBER(SEARCH("#",B961)), LEFT(B961,FIND("#",B961)-1), B961)</f>
        <v xml:space="preserve">Plank Fragment </v>
      </c>
      <c r="G961" s="26">
        <f>IF(ISNUMBER(SEARCH("#",B961)),VALUE(MID(B961,FIND("#",B961)+1,1000)),1)</f>
        <v>3</v>
      </c>
      <c r="H961" t="str">
        <f>IF(AND(regexMatch(B961,".*#[0-9]*$"),ISNUMBER(SEARCH("#",B961))),CONCATENATE(TRIM(F961)," #",G961),B961)</f>
        <v>Plank Fragment #3</v>
      </c>
    </row>
    <row r="962" spans="1:8" ht="15.75" thickBot="1" x14ac:dyDescent="0.3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>IF(ISNUMBER(SEARCH("#",B962)), LEFT(B962,FIND("#",B962)-1), B962)</f>
        <v xml:space="preserve">Plank Fragment </v>
      </c>
      <c r="G962" s="26">
        <f>IF(ISNUMBER(SEARCH("#",B962)),VALUE(MID(B962,FIND("#",B962)+1,1000)),1)</f>
        <v>4</v>
      </c>
      <c r="H962" t="str">
        <f>IF(AND(regexMatch(B962,".*#[0-9]*$"),ISNUMBER(SEARCH("#",B962))),CONCATENATE(TRIM(F962)," #",G962),B962)</f>
        <v>Plank Fragment #4</v>
      </c>
    </row>
    <row r="963" spans="1:8" ht="15.75" thickBot="1" x14ac:dyDescent="0.3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>IF(ISNUMBER(SEARCH("#",B963)), LEFT(B963,FIND("#",B963)-1), B963)</f>
        <v xml:space="preserve">Plank Fragment </v>
      </c>
      <c r="G963" s="26">
        <f>IF(ISNUMBER(SEARCH("#",B963)),VALUE(MID(B963,FIND("#",B963)+1,1000)),1)</f>
        <v>5</v>
      </c>
      <c r="H963" t="str">
        <f>IF(AND(regexMatch(B963,".*#[0-9]*$"),ISNUMBER(SEARCH("#",B963))),CONCATENATE(TRIM(F963)," #",G963),B963)</f>
        <v>Plank Fragment #5</v>
      </c>
    </row>
    <row r="964" spans="1:8" ht="15.75" thickBot="1" x14ac:dyDescent="0.3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>IF(ISNUMBER(SEARCH("#",B964)), LEFT(B964,FIND("#",B964)-1), B964)</f>
        <v>Plyboard Sheet</v>
      </c>
      <c r="G964" s="26">
        <f>IF(ISNUMBER(SEARCH("#",B964)),VALUE(MID(B964,FIND("#",B964)+1,1000)),1)</f>
        <v>1</v>
      </c>
      <c r="H964" t="str">
        <f>IF(AND(regexMatch(B964,".*#[0-9]*$"),ISNUMBER(SEARCH("#",B964))),CONCATENATE(TRIM(F964)," #",G964),B964)</f>
        <v>Plyboard Sheet</v>
      </c>
    </row>
    <row r="965" spans="1:8" ht="15.75" thickBot="1" x14ac:dyDescent="0.3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>IF(ISNUMBER(SEARCH("#",B965)), LEFT(B965,FIND("#",B965)-1), B965)</f>
        <v>Portacabin</v>
      </c>
      <c r="G965" s="26">
        <f>IF(ISNUMBER(SEARCH("#",B965)),VALUE(MID(B965,FIND("#",B965)+1,1000)),1)</f>
        <v>1</v>
      </c>
      <c r="H965" t="str">
        <f>IF(AND(regexMatch(B965,".*#[0-9]*$"),ISNUMBER(SEARCH("#",B965))),CONCATENATE(TRIM(F965)," #",G965),B965)</f>
        <v>Portacabin</v>
      </c>
    </row>
    <row r="966" spans="1:8" ht="15.75" thickBot="1" x14ac:dyDescent="0.3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>IF(ISNUMBER(SEARCH("#",B966)), LEFT(B966,FIND("#",B966)-1), B966)</f>
        <v>Portaloo</v>
      </c>
      <c r="G966" s="26">
        <f>IF(ISNUMBER(SEARCH("#",B966)),VALUE(MID(B966,FIND("#",B966)+1,1000)),1)</f>
        <v>1</v>
      </c>
      <c r="H966" t="str">
        <f>IF(AND(regexMatch(B966,".*#[0-9]*$"),ISNUMBER(SEARCH("#",B966))),CONCATENATE(TRIM(F966)," #",G966),B966)</f>
        <v>Portaloo</v>
      </c>
    </row>
    <row r="967" spans="1:8" ht="15.75" thickBot="1" x14ac:dyDescent="0.3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>IF(ISNUMBER(SEARCH("#",B967)), LEFT(B967,FIND("#",B967)-1), B967)</f>
        <v>Reinforced Concrete Metal</v>
      </c>
      <c r="G967" s="26">
        <f>IF(ISNUMBER(SEARCH("#",B967)),VALUE(MID(B967,FIND("#",B967)+1,1000)),1)</f>
        <v>1</v>
      </c>
      <c r="H967" t="str">
        <f>IF(AND(regexMatch(B967,".*#[0-9]*$"),ISNUMBER(SEARCH("#",B967))),CONCATENATE(TRIM(F967)," #",G967),B967)</f>
        <v>Reinforced Concrete Metal</v>
      </c>
    </row>
    <row r="968" spans="1:8" ht="15.75" thickBot="1" x14ac:dyDescent="0.3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>IF(ISNUMBER(SEARCH("#",B968)), LEFT(B968,FIND("#",B968)-1), B968)</f>
        <v>Scaffold Pole</v>
      </c>
      <c r="G968" s="26">
        <f>IF(ISNUMBER(SEARCH("#",B968)),VALUE(MID(B968,FIND("#",B968)+1,1000)),1)</f>
        <v>1</v>
      </c>
      <c r="H968" t="str">
        <f>IF(AND(regexMatch(B968,".*#[0-9]*$"),ISNUMBER(SEARCH("#",B968))),CONCATENATE(TRIM(F968)," #",G968),B968)</f>
        <v>Scaffold Pole</v>
      </c>
    </row>
    <row r="969" spans="1:8" ht="15.75" thickBot="1" x14ac:dyDescent="0.3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>IF(ISNUMBER(SEARCH("#",B969)), LEFT(B969,FIND("#",B969)-1), B969)</f>
        <v>Scaffolding Frame</v>
      </c>
      <c r="G969" s="26">
        <f>IF(ISNUMBER(SEARCH("#",B969)),VALUE(MID(B969,FIND("#",B969)+1,1000)),1)</f>
        <v>1</v>
      </c>
      <c r="H969" t="str">
        <f>IF(AND(regexMatch(B969,".*#[0-9]*$"),ISNUMBER(SEARCH("#",B969))),CONCATENATE(TRIM(F969)," #",G969),B969)</f>
        <v>Scaffolding Frame</v>
      </c>
    </row>
    <row r="970" spans="1:8" ht="15.75" thickBot="1" x14ac:dyDescent="0.3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>IF(ISNUMBER(SEARCH("#",B970)), LEFT(B970,FIND("#",B970)-1), B970)</f>
        <v>Single Pipe</v>
      </c>
      <c r="G970" s="26">
        <f>IF(ISNUMBER(SEARCH("#",B970)),VALUE(MID(B970,FIND("#",B970)+1,1000)),1)</f>
        <v>1</v>
      </c>
      <c r="H970" t="str">
        <f>IF(AND(regexMatch(B970,".*#[0-9]*$"),ISNUMBER(SEARCH("#",B970))),CONCATENATE(TRIM(F970)," #",G970),B970)</f>
        <v>Single Pipe</v>
      </c>
    </row>
    <row r="971" spans="1:8" ht="15.75" thickBot="1" x14ac:dyDescent="0.3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>IF(ISNUMBER(SEARCH("#",B971)), LEFT(B971,FIND("#",B971)-1), B971)</f>
        <v>Skid Row Concrete Pillars</v>
      </c>
      <c r="G971" s="26">
        <f>IF(ISNUMBER(SEARCH("#",B971)),VALUE(MID(B971,FIND("#",B971)+1,1000)),1)</f>
        <v>1</v>
      </c>
      <c r="H971" t="str">
        <f>IF(AND(regexMatch(B971,".*#[0-9]*$"),ISNUMBER(SEARCH("#",B971))),CONCATENATE(TRIM(F971)," #",G971),B971)</f>
        <v>Skid Row Concrete Pillars</v>
      </c>
    </row>
    <row r="972" spans="1:8" ht="15.75" thickBot="1" x14ac:dyDescent="0.3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>IF(ISNUMBER(SEARCH("#",B972)), LEFT(B972,FIND("#",B972)-1), B972)</f>
        <v>Skid Row Round Pillar</v>
      </c>
      <c r="G972" s="26">
        <f>IF(ISNUMBER(SEARCH("#",B972)),VALUE(MID(B972,FIND("#",B972)+1,1000)),1)</f>
        <v>1</v>
      </c>
      <c r="H972" t="str">
        <f>IF(AND(regexMatch(B972,".*#[0-9]*$"),ISNUMBER(SEARCH("#",B972))),CONCATENATE(TRIM(F972)," #",G972),B972)</f>
        <v>Skid Row Round Pillar</v>
      </c>
    </row>
    <row r="973" spans="1:8" ht="15.75" thickBot="1" x14ac:dyDescent="0.3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>IF(ISNUMBER(SEARCH("#",B973)), LEFT(B973,FIND("#",B973)-1), B973)</f>
        <v>Striped Concrete Barrier</v>
      </c>
      <c r="G973" s="26">
        <f>IF(ISNUMBER(SEARCH("#",B973)),VALUE(MID(B973,FIND("#",B973)+1,1000)),1)</f>
        <v>1</v>
      </c>
      <c r="H973" t="str">
        <f>IF(AND(regexMatch(B973,".*#[0-9]*$"),ISNUMBER(SEARCH("#",B973))),CONCATENATE(TRIM(F973)," #",G973),B973)</f>
        <v>Striped Concrete Barrier</v>
      </c>
    </row>
    <row r="974" spans="1:8" ht="15.75" thickBot="1" x14ac:dyDescent="0.3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>IF(ISNUMBER(SEARCH("#",B974)), LEFT(B974,FIND("#",B974)-1), B974)</f>
        <v>Toolbench No Blueprints</v>
      </c>
      <c r="G974" s="26">
        <f>IF(ISNUMBER(SEARCH("#",B974)),VALUE(MID(B974,FIND("#",B974)+1,1000)),1)</f>
        <v>1</v>
      </c>
      <c r="H974" t="str">
        <f>IF(AND(regexMatch(B974,".*#[0-9]*$"),ISNUMBER(SEARCH("#",B974))),CONCATENATE(TRIM(F974)," #",G974),B974)</f>
        <v>Toolbench No Blueprints</v>
      </c>
    </row>
    <row r="975" spans="1:8" ht="15.75" thickBot="1" x14ac:dyDescent="0.3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>IF(ISNUMBER(SEARCH("#",B975)), LEFT(B975,FIND("#",B975)-1), B975)</f>
        <v>Toolbench With Blueprints</v>
      </c>
      <c r="G975" s="26">
        <f>IF(ISNUMBER(SEARCH("#",B975)),VALUE(MID(B975,FIND("#",B975)+1,1000)),1)</f>
        <v>1</v>
      </c>
      <c r="H975" t="str">
        <f>IF(AND(regexMatch(B975,".*#[0-9]*$"),ISNUMBER(SEARCH("#",B975))),CONCATENATE(TRIM(F975)," #",G975),B975)</f>
        <v>Toolbench With Blueprints</v>
      </c>
    </row>
    <row r="976" spans="1:8" ht="15.75" thickBot="1" x14ac:dyDescent="0.3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>IF(ISNUMBER(SEARCH("#",B976)), LEFT(B976,FIND("#",B976)-1), B976)</f>
        <v xml:space="preserve">Wall Brick </v>
      </c>
      <c r="G976" s="26">
        <f>IF(ISNUMBER(SEARCH("#",B976)),VALUE(MID(B976,FIND("#",B976)+1,1000)),1)</f>
        <v>1</v>
      </c>
      <c r="H976" t="str">
        <f>IF(AND(regexMatch(B976,".*#[0-9]*$"),ISNUMBER(SEARCH("#",B976))),CONCATENATE(TRIM(F976)," #",G976),B976)</f>
        <v>Wall Brick #1</v>
      </c>
    </row>
    <row r="977" spans="1:8" ht="15.75" thickBot="1" x14ac:dyDescent="0.3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>IF(ISNUMBER(SEARCH("#",B977)), LEFT(B977,FIND("#",B977)-1), B977)</f>
        <v xml:space="preserve">Wall Brick </v>
      </c>
      <c r="G977" s="26">
        <f>IF(ISNUMBER(SEARCH("#",B977)),VALUE(MID(B977,FIND("#",B977)+1,1000)),1)</f>
        <v>2</v>
      </c>
      <c r="H977" t="str">
        <f>IF(AND(regexMatch(B977,".*#[0-9]*$"),ISNUMBER(SEARCH("#",B977))),CONCATENATE(TRIM(F977)," #",G977),B977)</f>
        <v>Wall Brick #2</v>
      </c>
    </row>
    <row r="978" spans="1:8" ht="15.75" thickBot="1" x14ac:dyDescent="0.3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>IF(ISNUMBER(SEARCH("#",B978)), LEFT(B978,FIND("#",B978)-1), B978)</f>
        <v xml:space="preserve">Wall Brick </v>
      </c>
      <c r="G978" s="26">
        <f>IF(ISNUMBER(SEARCH("#",B978)),VALUE(MID(B978,FIND("#",B978)+1,1000)),1)</f>
        <v>3</v>
      </c>
      <c r="H978" t="str">
        <f>IF(AND(regexMatch(B978,".*#[0-9]*$"),ISNUMBER(SEARCH("#",B978))),CONCATENATE(TRIM(F978)," #",G978),B978)</f>
        <v>Wall Brick #3</v>
      </c>
    </row>
    <row r="979" spans="1:8" ht="15.75" thickBot="1" x14ac:dyDescent="0.3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>IF(ISNUMBER(SEARCH("#",B979)), LEFT(B979,FIND("#",B979)-1), B979)</f>
        <v>Wall Chunk</v>
      </c>
      <c r="G979" s="26">
        <f>IF(ISNUMBER(SEARCH("#",B979)),VALUE(MID(B979,FIND("#",B979)+1,1000)),1)</f>
        <v>1</v>
      </c>
      <c r="H979" t="str">
        <f>IF(AND(regexMatch(B979,".*#[0-9]*$"),ISNUMBER(SEARCH("#",B979))),CONCATENATE(TRIM(F979)," #",G979),B979)</f>
        <v>Wall Chunk</v>
      </c>
    </row>
    <row r="980" spans="1:8" ht="15.75" thickBot="1" x14ac:dyDescent="0.3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>IF(ISNUMBER(SEARCH("#",B980)), LEFT(B980,FIND("#",B980)-1), B980)</f>
        <v>Water Crate</v>
      </c>
      <c r="G980" s="26">
        <f>IF(ISNUMBER(SEARCH("#",B980)),VALUE(MID(B980,FIND("#",B980)+1,1000)),1)</f>
        <v>1</v>
      </c>
      <c r="H980" t="str">
        <f>IF(AND(regexMatch(B980,".*#[0-9]*$"),ISNUMBER(SEARCH("#",B980))),CONCATENATE(TRIM(F980)," #",G980),B980)</f>
        <v>Water Crate</v>
      </c>
    </row>
    <row r="981" spans="1:8" ht="15.75" thickBot="1" x14ac:dyDescent="0.3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>IF(ISNUMBER(SEARCH("#",B981)), LEFT(B981,FIND("#",B981)-1), B981)</f>
        <v>Water Crate On Platform</v>
      </c>
      <c r="G981" s="26">
        <f>IF(ISNUMBER(SEARCH("#",B981)),VALUE(MID(B981,FIND("#",B981)+1,1000)),1)</f>
        <v>1</v>
      </c>
      <c r="H981" t="str">
        <f>IF(AND(regexMatch(B981,".*#[0-9]*$"),ISNUMBER(SEARCH("#",B981))),CONCATENATE(TRIM(F981)," #",G981),B981)</f>
        <v>Water Crate On Platform</v>
      </c>
    </row>
    <row r="982" spans="1:8" ht="15.75" thickBot="1" x14ac:dyDescent="0.3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>IF(ISNUMBER(SEARCH("#",B982)), LEFT(B982,FIND("#",B982)-1), B982)</f>
        <v>Wood Panel</v>
      </c>
      <c r="G982" s="26">
        <f>IF(ISNUMBER(SEARCH("#",B982)),VALUE(MID(B982,FIND("#",B982)+1,1000)),1)</f>
        <v>1</v>
      </c>
      <c r="H982" t="str">
        <f>IF(AND(regexMatch(B982,".*#[0-9]*$"),ISNUMBER(SEARCH("#",B982))),CONCATENATE(TRIM(F982)," #",G982),B982)</f>
        <v>Wood Panel</v>
      </c>
    </row>
    <row r="983" spans="1:8" ht="15.75" thickBot="1" x14ac:dyDescent="0.3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>IF(ISNUMBER(SEARCH("#",B983)), LEFT(B983,FIND("#",B983)-1), B983)</f>
        <v xml:space="preserve">Wood Pile </v>
      </c>
      <c r="G983" s="26">
        <f>IF(ISNUMBER(SEARCH("#",B983)),VALUE(MID(B983,FIND("#",B983)+1,1000)),1)</f>
        <v>1</v>
      </c>
      <c r="H983" t="str">
        <f>IF(AND(regexMatch(B983,".*#[0-9]*$"),ISNUMBER(SEARCH("#",B983))),CONCATENATE(TRIM(F983)," #",G983),B983)</f>
        <v>Wood Pile #1</v>
      </c>
    </row>
    <row r="984" spans="1:8" ht="15.75" thickBot="1" x14ac:dyDescent="0.3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>IF(ISNUMBER(SEARCH("#",B984)), LEFT(B984,FIND("#",B984)-1), B984)</f>
        <v xml:space="preserve">Wood Pile </v>
      </c>
      <c r="G984" s="26">
        <f>IF(ISNUMBER(SEARCH("#",B984)),VALUE(MID(B984,FIND("#",B984)+1,1000)),1)</f>
        <v>2</v>
      </c>
      <c r="H984" t="str">
        <f>IF(AND(regexMatch(B984,".*#[0-9]*$"),ISNUMBER(SEARCH("#",B984))),CONCATENATE(TRIM(F984)," #",G984),B984)</f>
        <v>Wood Pile #2</v>
      </c>
    </row>
    <row r="985" spans="1:8" ht="15.75" thickBot="1" x14ac:dyDescent="0.3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>IF(ISNUMBER(SEARCH("#",B985)), LEFT(B985,FIND("#",B985)-1), B985)</f>
        <v xml:space="preserve">Wood Pile </v>
      </c>
      <c r="G985" s="26">
        <f>IF(ISNUMBER(SEARCH("#",B985)),VALUE(MID(B985,FIND("#",B985)+1,1000)),1)</f>
        <v>3</v>
      </c>
      <c r="H985" t="str">
        <f>IF(AND(regexMatch(B985,".*#[0-9]*$"),ISNUMBER(SEARCH("#",B985))),CONCATENATE(TRIM(F985)," #",G985),B985)</f>
        <v>Wood Pile #3</v>
      </c>
    </row>
    <row r="986" spans="1:8" ht="15.75" thickBot="1" x14ac:dyDescent="0.3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>IF(ISNUMBER(SEARCH("#",B986)), LEFT(B986,FIND("#",B986)-1), B986)</f>
        <v xml:space="preserve">Wood Pile </v>
      </c>
      <c r="G986" s="26">
        <f>IF(ISNUMBER(SEARCH("#",B986)),VALUE(MID(B986,FIND("#",B986)+1,1000)),1)</f>
        <v>4</v>
      </c>
      <c r="H986" t="str">
        <f>IF(AND(regexMatch(B986,".*#[0-9]*$"),ISNUMBER(SEARCH("#",B986))),CONCATENATE(TRIM(F986)," #",G986),B986)</f>
        <v>Wood Pile #4</v>
      </c>
    </row>
    <row r="987" spans="1:8" ht="15.75" thickBot="1" x14ac:dyDescent="0.3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>IF(ISNUMBER(SEARCH("#",B987)), LEFT(B987,FIND("#",B987)-1), B987)</f>
        <v xml:space="preserve">Wood Pile </v>
      </c>
      <c r="G987" s="26">
        <f>IF(ISNUMBER(SEARCH("#",B987)),VALUE(MID(B987,FIND("#",B987)+1,1000)),1)</f>
        <v>5</v>
      </c>
      <c r="H987" t="str">
        <f>IF(AND(regexMatch(B987,".*#[0-9]*$"),ISNUMBER(SEARCH("#",B987))),CONCATENATE(TRIM(F987)," #",G987),B987)</f>
        <v>Wood Pile #5</v>
      </c>
    </row>
    <row r="988" spans="1:8" ht="15.75" thickBot="1" x14ac:dyDescent="0.3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>IF(ISNUMBER(SEARCH("#",B988)), LEFT(B988,FIND("#",B988)-1), B988)</f>
        <v>Wooden Beams Pile</v>
      </c>
      <c r="G988" s="26">
        <f>IF(ISNUMBER(SEARCH("#",B988)),VALUE(MID(B988,FIND("#",B988)+1,1000)),1)</f>
        <v>1</v>
      </c>
      <c r="H988" t="str">
        <f>IF(AND(regexMatch(B988,".*#[0-9]*$"),ISNUMBER(SEARCH("#",B988))),CONCATENATE(TRIM(F988)," #",G988),B988)</f>
        <v>Wooden Beams Pile</v>
      </c>
    </row>
    <row r="989" spans="1:8" ht="15.75" thickBot="1" x14ac:dyDescent="0.3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>IF(ISNUMBER(SEARCH("#",B989)), LEFT(B989,FIND("#",B989)-1), B989)</f>
        <v xml:space="preserve">Work Light </v>
      </c>
      <c r="G989" s="26">
        <f>IF(ISNUMBER(SEARCH("#",B989)),VALUE(MID(B989,FIND("#",B989)+1,1000)),1)</f>
        <v>1</v>
      </c>
      <c r="H989" t="str">
        <f>IF(AND(regexMatch(B989,".*#[0-9]*$"),ISNUMBER(SEARCH("#",B989))),CONCATENATE(TRIM(F989)," #",G989),B989)</f>
        <v>Work Light #1</v>
      </c>
    </row>
    <row r="990" spans="1:8" ht="15.75" thickBot="1" x14ac:dyDescent="0.3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>IF(ISNUMBER(SEARCH("#",B990)), LEFT(B990,FIND("#",B990)-1), B990)</f>
        <v xml:space="preserve">Work Light </v>
      </c>
      <c r="G990" s="26">
        <f>IF(ISNUMBER(SEARCH("#",B990)),VALUE(MID(B990,FIND("#",B990)+1,1000)),1)</f>
        <v>2</v>
      </c>
      <c r="H990" t="str">
        <f>IF(AND(regexMatch(B990,".*#[0-9]*$"),ISNUMBER(SEARCH("#",B990))),CONCATENATE(TRIM(F990)," #",G990),B990)</f>
        <v>Work Light #2</v>
      </c>
    </row>
    <row r="991" spans="1:8" ht="15.75" thickBot="1" x14ac:dyDescent="0.3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>IF(ISNUMBER(SEARCH("#",B991)), LEFT(B991,FIND("#",B991)-1), B991)</f>
        <v xml:space="preserve">Work Light </v>
      </c>
      <c r="G991" s="26">
        <f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.75" thickBot="1" x14ac:dyDescent="0.3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>IF(ISNUMBER(SEARCH("#",B992)), LEFT(B992,FIND("#",B992)-1), B992)</f>
        <v xml:space="preserve">Work Light </v>
      </c>
      <c r="G992" s="26">
        <f>IF(ISNUMBER(SEARCH("#",B992)),VALUE(MID(B992,FIND("#",B992)+1,1000)),1)</f>
        <v>4</v>
      </c>
      <c r="H992" t="str">
        <f>IF(AND(regexMatch(B992,".*#[0-9]*$"),ISNUMBER(SEARCH("#",B992))),CONCATENATE(TRIM(F992)," #",G992),B992)</f>
        <v>Work Light #4</v>
      </c>
    </row>
    <row r="993" spans="1:8" ht="15.75" thickBot="1" x14ac:dyDescent="0.3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>IF(ISNUMBER(SEARCH("#",B993)), LEFT(B993,FIND("#",B993)-1), B993)</f>
        <v xml:space="preserve">Work Light </v>
      </c>
      <c r="G993" s="26">
        <f>IF(ISNUMBER(SEARCH("#",B993)),VALUE(MID(B993,FIND("#",B993)+1,1000)),1)</f>
        <v>5</v>
      </c>
      <c r="H993" t="str">
        <f>IF(AND(regexMatch(B993,".*#[0-9]*$"),ISNUMBER(SEARCH("#",B993))),CONCATENATE(TRIM(F993)," #",G993),B993)</f>
        <v>Work Light #5</v>
      </c>
    </row>
    <row r="994" spans="1:8" ht="15.75" thickBot="1" x14ac:dyDescent="0.3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>IF(ISNUMBER(SEARCH("#",B994)), LEFT(B994,FIND("#",B994)-1), B994)</f>
        <v xml:space="preserve">Work Light </v>
      </c>
      <c r="G994" s="26">
        <f>IF(ISNUMBER(SEARCH("#",B994)),VALUE(MID(B994,FIND("#",B994)+1,1000)),1)</f>
        <v>6</v>
      </c>
      <c r="H994" t="str">
        <f>IF(AND(regexMatch(B994,".*#[0-9]*$"),ISNUMBER(SEARCH("#",B994))),CONCATENATE(TRIM(F994)," #",G994),B994)</f>
        <v>Work Light #6</v>
      </c>
    </row>
    <row r="995" spans="1:8" ht="15.75" thickBot="1" x14ac:dyDescent="0.3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>IF(ISNUMBER(SEARCH("#",B995)), LEFT(B995,FIND("#",B995)-1), B995)</f>
        <v xml:space="preserve">Work Light </v>
      </c>
      <c r="G995" s="26">
        <f>IF(ISNUMBER(SEARCH("#",B995)),VALUE(MID(B995,FIND("#",B995)+1,1000)),1)</f>
        <v>7</v>
      </c>
      <c r="H995" t="str">
        <f>IF(AND(regexMatch(B995,".*#[0-9]*$"),ISNUMBER(SEARCH("#",B995))),CONCATENATE(TRIM(F995)," #",G995),B995)</f>
        <v>Work Light #7</v>
      </c>
    </row>
    <row r="996" spans="1:8" ht="15.75" thickBot="1" x14ac:dyDescent="0.3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>IF(ISNUMBER(SEARCH("#",B996)), LEFT(B996,FIND("#",B996)-1), B996)</f>
        <v xml:space="preserve">Work Light </v>
      </c>
      <c r="G996" s="26">
        <f>IF(ISNUMBER(SEARCH("#",B996)),VALUE(MID(B996,FIND("#",B996)+1,1000)),1)</f>
        <v>8</v>
      </c>
      <c r="H996" t="str">
        <f>IF(AND(regexMatch(B996,".*#[0-9]*$"),ISNUMBER(SEARCH("#",B996))),CONCATENATE(TRIM(F996)," #",G996),B996)</f>
        <v>Work Light #8</v>
      </c>
    </row>
    <row r="997" spans="1:8" ht="15.75" thickBot="1" x14ac:dyDescent="0.3">
      <c r="A997" s="30" t="s">
        <v>11299</v>
      </c>
      <c r="B997" s="30" t="s">
        <v>11607</v>
      </c>
      <c r="C997" s="30"/>
      <c r="D997" s="31" t="s">
        <v>11298</v>
      </c>
      <c r="E997" s="39"/>
      <c r="F997" s="30" t="s">
        <v>11607</v>
      </c>
      <c r="G997" s="26">
        <f>IF(ISNUMBER(SEARCH("#",B997)),VALUE(MID(B997,FIND("#",B997)+1,1000)),1)</f>
        <v>1</v>
      </c>
      <c r="H997" s="30" t="s">
        <v>11607</v>
      </c>
    </row>
    <row r="998" spans="1:8" ht="15.75" thickBot="1" x14ac:dyDescent="0.3">
      <c r="A998" s="30" t="s">
        <v>11285</v>
      </c>
      <c r="B998" s="10" t="s">
        <v>11594</v>
      </c>
      <c r="C998" s="30"/>
      <c r="D998" s="31" t="s">
        <v>11284</v>
      </c>
      <c r="E998" s="39"/>
      <c r="F998" s="10" t="s">
        <v>11820</v>
      </c>
      <c r="G998" s="26">
        <f>IF(ISNUMBER(SEARCH("#",B998)),VALUE(MID(B998,FIND("#",B998)+1,1000)),1)</f>
        <v>1</v>
      </c>
      <c r="H998" s="10" t="s">
        <v>11594</v>
      </c>
    </row>
    <row r="999" spans="1:8" ht="15.75" thickBot="1" x14ac:dyDescent="0.3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>IF(ISNUMBER(SEARCH("#",B999)),VALUE(MID(B999,FIND("#",B999)+1,1000)),1)</f>
        <v>2</v>
      </c>
      <c r="H999" s="10" t="s">
        <v>11595</v>
      </c>
    </row>
    <row r="1000" spans="1:8" ht="15.75" thickBot="1" x14ac:dyDescent="0.3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>IF(ISNUMBER(SEARCH("#",B1000)),VALUE(MID(B1000,FIND("#",B1000)+1,1000)),1)</f>
        <v>3</v>
      </c>
      <c r="H1000" s="10" t="s">
        <v>11596</v>
      </c>
    </row>
    <row r="1001" spans="1:8" ht="15.75" thickBot="1" x14ac:dyDescent="0.3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>IF(ISNUMBER(SEARCH("#",B1001)),VALUE(MID(B1001,FIND("#",B1001)+1,1000)),1)</f>
        <v>4</v>
      </c>
      <c r="H1001" s="10" t="s">
        <v>11597</v>
      </c>
    </row>
    <row r="1002" spans="1:8" ht="15.75" thickBot="1" x14ac:dyDescent="0.3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>IF(ISNUMBER(SEARCH("#",B1002)),VALUE(MID(B1002,FIND("#",B1002)+1,1000)),1)</f>
        <v>5</v>
      </c>
      <c r="H1002" s="10" t="s">
        <v>11598</v>
      </c>
    </row>
    <row r="1003" spans="1:8" ht="15.75" thickBot="1" x14ac:dyDescent="0.3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>IF(ISNUMBER(SEARCH("#",B1003)),VALUE(MID(B1003,FIND("#",B1003)+1,1000)),1)</f>
        <v>6</v>
      </c>
      <c r="H1003" s="10" t="s">
        <v>11599</v>
      </c>
    </row>
    <row r="1004" spans="1:8" ht="15.75" thickBot="1" x14ac:dyDescent="0.3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>IF(ISNUMBER(SEARCH("#",B1004)),VALUE(MID(B1004,FIND("#",B1004)+1,1000)),1)</f>
        <v>7</v>
      </c>
      <c r="H1004" s="10" t="s">
        <v>11600</v>
      </c>
    </row>
    <row r="1005" spans="1:8" ht="15.75" thickBot="1" x14ac:dyDescent="0.3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>IF(ISNUMBER(SEARCH("#",B1005)),VALUE(MID(B1005,FIND("#",B1005)+1,1000)),1)</f>
        <v>8</v>
      </c>
      <c r="H1005" s="10" t="s">
        <v>11601</v>
      </c>
    </row>
    <row r="1006" spans="1:8" ht="15.75" thickBot="1" x14ac:dyDescent="0.3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>IF(ISNUMBER(SEARCH("#",B1006)),VALUE(MID(B1006,FIND("#",B1006)+1,1000)),1)</f>
        <v>9</v>
      </c>
      <c r="H1006" s="10" t="s">
        <v>11602</v>
      </c>
    </row>
    <row r="1007" spans="1:8" ht="15.75" thickBot="1" x14ac:dyDescent="0.3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>IF(ISNUMBER(SEARCH("#",B1007)),VALUE(MID(B1007,FIND("#",B1007)+1,1000)),1)</f>
        <v>10</v>
      </c>
      <c r="H1007" s="10" t="s">
        <v>11603</v>
      </c>
    </row>
    <row r="1008" spans="1:8" ht="15.75" thickBot="1" x14ac:dyDescent="0.3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>IF(ISNUMBER(SEARCH("#",B1008)),VALUE(MID(B1008,FIND("#",B1008)+1,1000)),1)</f>
        <v>11</v>
      </c>
      <c r="H1008" s="10" t="s">
        <v>11604</v>
      </c>
    </row>
    <row r="1009" spans="1:8" ht="15.75" thickBot="1" x14ac:dyDescent="0.3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>IF(ISNUMBER(SEARCH("#",B1009)),VALUE(MID(B1009,FIND("#",B1009)+1,1000)),1)</f>
        <v>1</v>
      </c>
      <c r="H1009" s="10" t="s">
        <v>11605</v>
      </c>
    </row>
    <row r="1010" spans="1:8" ht="15.75" thickBot="1" x14ac:dyDescent="0.3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>IF(ISNUMBER(SEARCH("#",B1010)),VALUE(MID(B1010,FIND("#",B1010)+1,1000)),1)</f>
        <v>1</v>
      </c>
      <c r="H1010" s="10" t="s">
        <v>11606</v>
      </c>
    </row>
    <row r="1011" spans="1:8" ht="15.75" thickBot="1" x14ac:dyDescent="0.3">
      <c r="A1011" s="33" t="s">
        <v>11162</v>
      </c>
      <c r="B1011" s="33" t="s">
        <v>11163</v>
      </c>
      <c r="C1011" s="30"/>
      <c r="D1011" s="31" t="s">
        <v>11170</v>
      </c>
      <c r="E1011" s="39"/>
      <c r="F1011" s="33" t="s">
        <v>11163</v>
      </c>
      <c r="G1011" s="32">
        <f>IF(ISNUMBER(SEARCH("#",B1011)),VALUE(MID(B1011,FIND("#",B1011)+1,1000)),1)</f>
        <v>1</v>
      </c>
      <c r="H1011" s="33" t="s">
        <v>11163</v>
      </c>
    </row>
    <row r="1012" spans="1:8" ht="15.75" thickBot="1" x14ac:dyDescent="0.3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>IF(ISNUMBER(SEARCH("#",B1012)),VALUE(MID(B1012,FIND("#",B1012)+1,1000)),1)</f>
        <v>1</v>
      </c>
      <c r="H1012" s="10" t="s">
        <v>11205</v>
      </c>
    </row>
    <row r="1013" spans="1:8" ht="15.75" thickBot="1" x14ac:dyDescent="0.3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>IF(ISNUMBER(SEARCH("#",B1013)),VALUE(MID(B1013,FIND("#",B1013)+1,1000)),1)</f>
        <v>1</v>
      </c>
      <c r="H1013" s="10" t="s">
        <v>11206</v>
      </c>
    </row>
    <row r="1014" spans="1:8" ht="15.75" thickBot="1" x14ac:dyDescent="0.3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.75" thickBot="1" x14ac:dyDescent="0.3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>IF(ISNUMBER(SEARCH("#",B1015)),VALUE(MID(B1015,FIND("#",B1015)+1,1000)),1)</f>
        <v>1</v>
      </c>
      <c r="H1015" s="10" t="s">
        <v>11207</v>
      </c>
    </row>
    <row r="1016" spans="1:8" ht="15.75" thickBot="1" x14ac:dyDescent="0.3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>IF(ISNUMBER(SEARCH("#",B1016)),VALUE(MID(B1016,FIND("#",B1016)+1,1000)),1)</f>
        <v>1</v>
      </c>
      <c r="H1016" s="10" t="s">
        <v>11209</v>
      </c>
    </row>
    <row r="1017" spans="1:8" ht="15.75" thickBot="1" x14ac:dyDescent="0.3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>IF(ISNUMBER(SEARCH("#",B1017)),VALUE(MID(B1017,FIND("#",B1017)+1,1000)),1)</f>
        <v>1</v>
      </c>
      <c r="H1017" s="10" t="s">
        <v>11210</v>
      </c>
    </row>
    <row r="1018" spans="1:8" ht="15.75" thickBot="1" x14ac:dyDescent="0.3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>IF(ISNUMBER(SEARCH("#",B1018)),VALUE(MID(B1018,FIND("#",B1018)+1,1000)),1)</f>
        <v>1</v>
      </c>
      <c r="H1018" s="10" t="s">
        <v>11211</v>
      </c>
    </row>
    <row r="1019" spans="1:8" ht="15.75" thickBot="1" x14ac:dyDescent="0.3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>IF(ISNUMBER(SEARCH("#",B1019)),VALUE(MID(B1019,FIND("#",B1019)+1,1000)),1)</f>
        <v>1</v>
      </c>
      <c r="H1019" s="10" t="s">
        <v>11497</v>
      </c>
    </row>
    <row r="1020" spans="1:8" ht="15.75" thickBot="1" x14ac:dyDescent="0.3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>IF(ISNUMBER(SEARCH("#",B1020)),VALUE(MID(B1020,FIND("#",B1020)+1,1000)),1)</f>
        <v>2</v>
      </c>
      <c r="H1020" s="10" t="s">
        <v>11498</v>
      </c>
    </row>
    <row r="1021" spans="1:8" ht="15.75" thickBot="1" x14ac:dyDescent="0.3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>IF(ISNUMBER(SEARCH("#",B1021)),VALUE(MID(B1021,FIND("#",B1021)+1,1000)),1)</f>
        <v>1</v>
      </c>
      <c r="H1021" s="10" t="s">
        <v>11499</v>
      </c>
    </row>
    <row r="1022" spans="1:8" ht="15.75" thickBot="1" x14ac:dyDescent="0.3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>IF(ISNUMBER(SEARCH("#",B1022)),VALUE(MID(B1022,FIND("#",B1022)+1,1000)),1)</f>
        <v>1</v>
      </c>
      <c r="H1022" s="10" t="s">
        <v>11500</v>
      </c>
    </row>
    <row r="1023" spans="1:8" ht="15.75" thickBot="1" x14ac:dyDescent="0.3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>IF(ISNUMBER(SEARCH("#",B1023)),VALUE(MID(B1023,FIND("#",B1023)+1,1000)),1)</f>
        <v>1</v>
      </c>
      <c r="H1023" s="10" t="s">
        <v>11503</v>
      </c>
    </row>
    <row r="1024" spans="1:8" ht="15.75" thickBot="1" x14ac:dyDescent="0.3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>IF(ISNUMBER(SEARCH("#",B1024)),VALUE(MID(B1024,FIND("#",B1024)+1,1000)),1)</f>
        <v>1</v>
      </c>
      <c r="H1024" s="10" t="s">
        <v>11501</v>
      </c>
    </row>
    <row r="1025" spans="1:8" ht="15.75" thickBot="1" x14ac:dyDescent="0.3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>IF(ISNUMBER(SEARCH("#",B1025)),VALUE(MID(B1025,FIND("#",B1025)+1,1000)),1)</f>
        <v>1</v>
      </c>
      <c r="H1025" s="10" t="s">
        <v>11502</v>
      </c>
    </row>
    <row r="1026" spans="1:8" ht="15.75" thickBot="1" x14ac:dyDescent="0.3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>IF(ISNUMBER(SEARCH("#",B1026)),VALUE(MID(B1026,FIND("#",B1026)+1,1000)),1)</f>
        <v>1</v>
      </c>
      <c r="H1026" s="10" t="s">
        <v>11504</v>
      </c>
    </row>
    <row r="1027" spans="1:8" ht="15.75" thickBot="1" x14ac:dyDescent="0.3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>IF(ISNUMBER(SEARCH("#",B1027)),VALUE(MID(B1027,FIND("#",B1027)+1,1000)),1)</f>
        <v>2</v>
      </c>
      <c r="H1027" s="10" t="s">
        <v>11505</v>
      </c>
    </row>
    <row r="1028" spans="1:8" ht="15.75" thickBot="1" x14ac:dyDescent="0.3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>IF(ISNUMBER(SEARCH("#",B1028)),VALUE(MID(B1028,FIND("#",B1028)+1,1000)),1)</f>
        <v>1</v>
      </c>
      <c r="H1028" s="10" t="s">
        <v>11506</v>
      </c>
    </row>
    <row r="1029" spans="1:8" ht="15.75" thickBot="1" x14ac:dyDescent="0.3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>IF(ISNUMBER(SEARCH("#",B1029)),VALUE(MID(B1029,FIND("#",B1029)+1,1000)),1)</f>
        <v>3</v>
      </c>
      <c r="H1029" s="10" t="s">
        <v>11507</v>
      </c>
    </row>
    <row r="1030" spans="1:8" ht="15.75" thickBot="1" x14ac:dyDescent="0.3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>IF(ISNUMBER(SEARCH("#",B1030)),VALUE(MID(B1030,FIND("#",B1030)+1,1000)),1)</f>
        <v>1</v>
      </c>
      <c r="H1030" s="10" t="s">
        <v>11508</v>
      </c>
    </row>
    <row r="1031" spans="1:8" ht="15.75" thickBot="1" x14ac:dyDescent="0.3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>IF(ISNUMBER(SEARCH("#",B1031)),VALUE(MID(B1031,FIND("#",B1031)+1,1000)),1)</f>
        <v>3</v>
      </c>
      <c r="H1031" s="10" t="s">
        <v>11513</v>
      </c>
    </row>
    <row r="1032" spans="1:8" ht="15.75" thickBot="1" x14ac:dyDescent="0.3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>IF(ISNUMBER(SEARCH("#",B1032)),VALUE(MID(B1032,FIND("#",B1032)+1,1000)),1)</f>
        <v>2</v>
      </c>
      <c r="H1032" s="10" t="s">
        <v>11514</v>
      </c>
    </row>
    <row r="1033" spans="1:8" ht="15.75" thickBot="1" x14ac:dyDescent="0.3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>IF(ISNUMBER(SEARCH("#",B1033)),VALUE(MID(B1033,FIND("#",B1033)+1,1000)),1)</f>
        <v>1</v>
      </c>
      <c r="H1033" s="10" t="s">
        <v>11515</v>
      </c>
    </row>
    <row r="1034" spans="1:8" ht="15.75" thickBot="1" x14ac:dyDescent="0.3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>IF(ISNUMBER(SEARCH("#",B1034)),VALUE(MID(B1034,FIND("#",B1034)+1,1000)),1)</f>
        <v>2</v>
      </c>
      <c r="H1034" s="10" t="s">
        <v>11511</v>
      </c>
    </row>
    <row r="1035" spans="1:8" ht="15.75" thickBot="1" x14ac:dyDescent="0.3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>IF(ISNUMBER(SEARCH("#",B1035)),VALUE(MID(B1035,FIND("#",B1035)+1,1000)),1)</f>
        <v>1</v>
      </c>
      <c r="H1035" s="10" t="s">
        <v>11510</v>
      </c>
    </row>
    <row r="1036" spans="1:8" ht="15.75" thickBot="1" x14ac:dyDescent="0.3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>IF(ISNUMBER(SEARCH("#",B1036)),VALUE(MID(B1036,FIND("#",B1036)+1,1000)),1)</f>
        <v>2</v>
      </c>
      <c r="H1036" s="10" t="s">
        <v>11509</v>
      </c>
    </row>
    <row r="1037" spans="1:8" ht="15.75" thickBot="1" x14ac:dyDescent="0.3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>IF(ISNUMBER(SEARCH("#",B1037)),VALUE(MID(B1037,FIND("#",B1037)+1,1000)),1)</f>
        <v>1</v>
      </c>
      <c r="H1037" s="10" t="s">
        <v>11512</v>
      </c>
    </row>
    <row r="1038" spans="1:8" ht="15.75" thickBot="1" x14ac:dyDescent="0.3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>IF(ISNUMBER(SEARCH("#",B1038)),VALUE(MID(B1038,FIND("#",B1038)+1,1000)),1)</f>
        <v>1</v>
      </c>
      <c r="H1038" s="10" t="s">
        <v>11516</v>
      </c>
    </row>
    <row r="1039" spans="1:8" ht="15.75" thickBot="1" x14ac:dyDescent="0.3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>IF(ISNUMBER(SEARCH("#",B1039)),VALUE(MID(B1039,FIND("#",B1039)+1,1000)),1)</f>
        <v>2</v>
      </c>
      <c r="H1039" s="10" t="s">
        <v>11517</v>
      </c>
    </row>
    <row r="1040" spans="1:8" ht="15.75" thickBot="1" x14ac:dyDescent="0.3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>IF(ISNUMBER(SEARCH("#",B1040)),VALUE(MID(B1040,FIND("#",B1040)+1,1000)),1)</f>
        <v>1</v>
      </c>
      <c r="H1040" s="10" t="s">
        <v>11510</v>
      </c>
    </row>
    <row r="1041" spans="1:8" ht="15.75" thickBot="1" x14ac:dyDescent="0.3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>IF(ISNUMBER(SEARCH("#",B1041)),VALUE(MID(B1041,FIND("#",B1041)+1,1000)),1)</f>
        <v>1</v>
      </c>
      <c r="H1041" s="10" t="s">
        <v>11518</v>
      </c>
    </row>
    <row r="1042" spans="1:8" ht="15.75" thickBot="1" x14ac:dyDescent="0.3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>IF(ISNUMBER(SEARCH("#",B1042)),VALUE(MID(B1042,FIND("#",B1042)+1,1000)),1)</f>
        <v>2</v>
      </c>
      <c r="H1042" s="10" t="s">
        <v>11519</v>
      </c>
    </row>
    <row r="1043" spans="1:8" ht="15.75" thickBot="1" x14ac:dyDescent="0.3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>IF(ISNUMBER(SEARCH("#",B1043)),VALUE(MID(B1043,FIND("#",B1043)+1,1000)),1)</f>
        <v>1</v>
      </c>
      <c r="H1043" s="10" t="s">
        <v>11520</v>
      </c>
    </row>
    <row r="1044" spans="1:8" ht="15.75" thickBot="1" x14ac:dyDescent="0.3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>IF(ISNUMBER(SEARCH("#",B1044)),VALUE(MID(B1044,FIND("#",B1044)+1,1000)),1)</f>
        <v>1</v>
      </c>
      <c r="H1044" s="10" t="s">
        <v>11523</v>
      </c>
    </row>
    <row r="1045" spans="1:8" ht="15.75" thickBot="1" x14ac:dyDescent="0.3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>IF(ISNUMBER(SEARCH("#",B1045)),VALUE(MID(B1045,FIND("#",B1045)+1,1000)),1)</f>
        <v>1</v>
      </c>
      <c r="H1045" s="10" t="s">
        <v>11521</v>
      </c>
    </row>
    <row r="1046" spans="1:8" ht="15.75" thickBot="1" x14ac:dyDescent="0.3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>IF(ISNUMBER(SEARCH("#",B1046)),VALUE(MID(B1046,FIND("#",B1046)+1,1000)),1)</f>
        <v>1</v>
      </c>
      <c r="H1046" s="10" t="s">
        <v>11522</v>
      </c>
    </row>
    <row r="1047" spans="1:8" ht="15.75" thickBot="1" x14ac:dyDescent="0.3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>IF(ISNUMBER(SEARCH("#",B1047)),VALUE(MID(B1047,FIND("#",B1047)+1,1000)),1)</f>
        <v>1</v>
      </c>
      <c r="H1047" s="10" t="s">
        <v>11524</v>
      </c>
    </row>
    <row r="1048" spans="1:8" ht="15.75" thickBot="1" x14ac:dyDescent="0.3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>IF(ISNUMBER(SEARCH("#",B1048)),VALUE(MID(B1048,FIND("#",B1048)+1,1000)),1)</f>
        <v>1</v>
      </c>
      <c r="H1048" s="10" t="s">
        <v>11525</v>
      </c>
    </row>
    <row r="1049" spans="1:8" ht="15.75" thickBot="1" x14ac:dyDescent="0.3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>IF(ISNUMBER(SEARCH("#",B1049)),VALUE(MID(B1049,FIND("#",B1049)+1,1000)),1)</f>
        <v>1</v>
      </c>
      <c r="H1049" s="10" t="s">
        <v>11526</v>
      </c>
    </row>
    <row r="1050" spans="1:8" ht="15.75" thickBot="1" x14ac:dyDescent="0.3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>IF(ISNUMBER(SEARCH("#",B1050)),VALUE(MID(B1050,FIND("#",B1050)+1,1000)),1)</f>
        <v>1</v>
      </c>
      <c r="H1050" s="10" t="s">
        <v>11525</v>
      </c>
    </row>
    <row r="1051" spans="1:8" ht="15.75" thickBot="1" x14ac:dyDescent="0.3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>IF(ISNUMBER(SEARCH("#",B1051)),VALUE(MID(B1051,FIND("#",B1051)+1,1000)),1)</f>
        <v>1</v>
      </c>
      <c r="H1051" s="10" t="s">
        <v>11527</v>
      </c>
    </row>
    <row r="1052" spans="1:8" ht="15.75" thickBot="1" x14ac:dyDescent="0.3">
      <c r="A1052" s="30" t="s">
        <v>11301</v>
      </c>
      <c r="B1052" s="10" t="s">
        <v>11608</v>
      </c>
      <c r="C1052" s="30"/>
      <c r="D1052" s="31" t="s">
        <v>11300</v>
      </c>
      <c r="E1052" s="39"/>
      <c r="F1052" s="10" t="s">
        <v>11608</v>
      </c>
      <c r="G1052" s="26">
        <f>IF(ISNUMBER(SEARCH("#",B1052)),VALUE(MID(B1052,FIND("#",B1052)+1,1000)),1)</f>
        <v>1</v>
      </c>
      <c r="H1052" s="10" t="s">
        <v>11608</v>
      </c>
    </row>
    <row r="1053" spans="1:8" ht="15.75" thickBot="1" x14ac:dyDescent="0.3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>IF(ISNUMBER(SEARCH("#",B1053)),VALUE(MID(B1053,FIND("#",B1053)+1,1000)),1)</f>
        <v>1</v>
      </c>
      <c r="H1053" s="10" t="s">
        <v>11609</v>
      </c>
    </row>
    <row r="1054" spans="1:8" ht="15.75" thickBot="1" x14ac:dyDescent="0.3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>IF(ISNUMBER(SEARCH("#",B1054)),VALUE(MID(B1054,FIND("#",B1054)+1,1000)),1)</f>
        <v>1</v>
      </c>
      <c r="H1054" s="10" t="s">
        <v>11610</v>
      </c>
    </row>
    <row r="1055" spans="1:8" ht="15.75" thickBot="1" x14ac:dyDescent="0.3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>IF(ISNUMBER(SEARCH("#",B1055)),VALUE(MID(B1055,FIND("#",B1055)+1,1000)),1)</f>
        <v>1</v>
      </c>
      <c r="H1055" s="10" t="s">
        <v>11611</v>
      </c>
    </row>
    <row r="1056" spans="1:8" ht="15.75" thickBot="1" x14ac:dyDescent="0.3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>IF(ISNUMBER(SEARCH("#",B1056)),VALUE(MID(B1056,FIND("#",B1056)+1,1000)),1)</f>
        <v>1</v>
      </c>
      <c r="H1056" s="10" t="s">
        <v>11613</v>
      </c>
    </row>
    <row r="1057" spans="1:8" ht="15.75" thickBot="1" x14ac:dyDescent="0.3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>IF(ISNUMBER(SEARCH("#",B1057)),VALUE(MID(B1057,FIND("#",B1057)+1,1000)),1)</f>
        <v>1</v>
      </c>
      <c r="H1057" s="10" t="s">
        <v>11612</v>
      </c>
    </row>
    <row r="1058" spans="1:8" ht="15.75" thickBot="1" x14ac:dyDescent="0.3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>IF(ISNUMBER(SEARCH("#",B1058)),VALUE(MID(B1058,FIND("#",B1058)+1,1000)),1)</f>
        <v>1</v>
      </c>
      <c r="H1058" s="10" t="s">
        <v>11614</v>
      </c>
    </row>
    <row r="1059" spans="1:8" ht="15.75" thickBot="1" x14ac:dyDescent="0.3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>IF(ISNUMBER(SEARCH("#",B1059)),VALUE(MID(B1059,FIND("#",B1059)+1,1000)),1)</f>
        <v>1</v>
      </c>
      <c r="H1059" s="10" t="s">
        <v>11615</v>
      </c>
    </row>
    <row r="1060" spans="1:8" ht="15.75" thickBot="1" x14ac:dyDescent="0.3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>IF(ISNUMBER(SEARCH("#",B1060)),VALUE(MID(B1060,FIND("#",B1060)+1,1000)),1)</f>
        <v>1</v>
      </c>
      <c r="H1060" s="10" t="s">
        <v>11616</v>
      </c>
    </row>
    <row r="1061" spans="1:8" ht="15.75" thickBot="1" x14ac:dyDescent="0.3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>IF(ISNUMBER(SEARCH("#",B1061)),VALUE(MID(B1061,FIND("#",B1061)+1,1000)),1)</f>
        <v>1</v>
      </c>
      <c r="H1061" s="10" t="s">
        <v>11617</v>
      </c>
    </row>
    <row r="1062" spans="1:8" ht="15.75" thickBot="1" x14ac:dyDescent="0.3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>IF(ISNUMBER(SEARCH("#",B1062)),VALUE(MID(B1062,FIND("#",B1062)+1,1000)),1)</f>
        <v>1</v>
      </c>
      <c r="H1062" s="10" t="s">
        <v>11618</v>
      </c>
    </row>
    <row r="1063" spans="1:8" ht="15.75" thickBot="1" x14ac:dyDescent="0.3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>IF(ISNUMBER(SEARCH("#",B1063)),VALUE(MID(B1063,FIND("#",B1063)+1,1000)),1)</f>
        <v>1</v>
      </c>
      <c r="H1063" s="10" t="s">
        <v>11619</v>
      </c>
    </row>
    <row r="1064" spans="1:8" ht="15.75" thickBot="1" x14ac:dyDescent="0.3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>IF(ISNUMBER(SEARCH("#",B1064)),VALUE(MID(B1064,FIND("#",B1064)+1,1000)),1)</f>
        <v>1</v>
      </c>
      <c r="H1064" s="10" t="s">
        <v>11620</v>
      </c>
    </row>
    <row r="1065" spans="1:8" ht="15.75" thickBot="1" x14ac:dyDescent="0.3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>IF(ISNUMBER(SEARCH("#",B1065)),VALUE(MID(B1065,FIND("#",B1065)+1,1000)),1)</f>
        <v>1</v>
      </c>
      <c r="H1065" s="10" t="s">
        <v>11624</v>
      </c>
    </row>
    <row r="1066" spans="1:8" ht="15.75" thickBot="1" x14ac:dyDescent="0.3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>IF(ISNUMBER(SEARCH("#",B1066)),VALUE(MID(B1066,FIND("#",B1066)+1,1000)),1)</f>
        <v>2</v>
      </c>
      <c r="H1066" s="10" t="s">
        <v>11625</v>
      </c>
    </row>
    <row r="1067" spans="1:8" ht="15.75" thickBot="1" x14ac:dyDescent="0.3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>IF(ISNUMBER(SEARCH("#",B1067)),VALUE(MID(B1067,FIND("#",B1067)+1,1000)),1)</f>
        <v>1</v>
      </c>
      <c r="H1067" s="10" t="s">
        <v>11626</v>
      </c>
    </row>
    <row r="1068" spans="1:8" ht="15.75" thickBot="1" x14ac:dyDescent="0.3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>IF(ISNUMBER(SEARCH("#",B1068)),VALUE(MID(B1068,FIND("#",B1068)+1,1000)),1)</f>
        <v>1</v>
      </c>
      <c r="H1068" s="10" t="s">
        <v>11627</v>
      </c>
    </row>
    <row r="1069" spans="1:8" ht="15.75" thickBot="1" x14ac:dyDescent="0.3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>IF(ISNUMBER(SEARCH("#",B1069)),VALUE(MID(B1069,FIND("#",B1069)+1,1000)),1)</f>
        <v>1</v>
      </c>
      <c r="H1069" s="10" t="s">
        <v>11628</v>
      </c>
    </row>
    <row r="1070" spans="1:8" ht="15.75" thickBot="1" x14ac:dyDescent="0.3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>IF(ISNUMBER(SEARCH("#",B1070)),VALUE(MID(B1070,FIND("#",B1070)+1,1000)),1)</f>
        <v>1</v>
      </c>
      <c r="H1070" s="10" t="s">
        <v>11621</v>
      </c>
    </row>
    <row r="1071" spans="1:8" ht="15.75" thickBot="1" x14ac:dyDescent="0.3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>IF(ISNUMBER(SEARCH("#",B1071)),VALUE(MID(B1071,FIND("#",B1071)+1,1000)),1)</f>
        <v>1</v>
      </c>
      <c r="H1071" s="10" t="s">
        <v>11622</v>
      </c>
    </row>
    <row r="1072" spans="1:8" ht="15.75" thickBot="1" x14ac:dyDescent="0.3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>IF(ISNUMBER(SEARCH("#",B1072)),VALUE(MID(B1072,FIND("#",B1072)+1,1000)),1)</f>
        <v>1</v>
      </c>
      <c r="H1072" s="10" t="s">
        <v>11623</v>
      </c>
    </row>
    <row r="1073" spans="1:8" ht="15.75" thickBot="1" x14ac:dyDescent="0.3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>IF(ISNUMBER(SEARCH("#",B1073)),VALUE(MID(B1073,FIND("#",B1073)+1,1000)),1)</f>
        <v>1</v>
      </c>
      <c r="H1073" s="10" t="s">
        <v>11629</v>
      </c>
    </row>
    <row r="1074" spans="1:8" ht="15.75" thickBot="1" x14ac:dyDescent="0.3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>IF(ISNUMBER(SEARCH("#",B1074)),VALUE(MID(B1074,FIND("#",B1074)+1,1000)),1)</f>
        <v>2</v>
      </c>
      <c r="H1074" s="10" t="s">
        <v>11630</v>
      </c>
    </row>
    <row r="1075" spans="1:8" ht="15.75" thickBot="1" x14ac:dyDescent="0.3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>IF(ISNUMBER(SEARCH("#",B1075)),VALUE(MID(B1075,FIND("#",B1075)+1,1000)),1)</f>
        <v>3</v>
      </c>
      <c r="H1075" s="10" t="s">
        <v>11631</v>
      </c>
    </row>
    <row r="1076" spans="1:8" ht="15.75" thickBot="1" x14ac:dyDescent="0.3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>IF(ISNUMBER(SEARCH("#",B1076)),VALUE(MID(B1076,FIND("#",B1076)+1,1000)),1)</f>
        <v>4</v>
      </c>
      <c r="H1076" s="10" t="s">
        <v>11632</v>
      </c>
    </row>
    <row r="1077" spans="1:8" ht="15.75" thickBot="1" x14ac:dyDescent="0.3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>IF(ISNUMBER(SEARCH("#",B1077)),VALUE(MID(B1077,FIND("#",B1077)+1,1000)),1)</f>
        <v>5</v>
      </c>
      <c r="H1077" s="10" t="s">
        <v>11633</v>
      </c>
    </row>
    <row r="1078" spans="1:8" ht="15.75" thickBot="1" x14ac:dyDescent="0.3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>IF(ISNUMBER(SEARCH("#",B1078)),VALUE(MID(B1078,FIND("#",B1078)+1,1000)),1)</f>
        <v>1</v>
      </c>
      <c r="H1078" s="10" t="s">
        <v>11634</v>
      </c>
    </row>
    <row r="1079" spans="1:8" ht="15.75" thickBot="1" x14ac:dyDescent="0.3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>IF(ISNUMBER(SEARCH("#",B1079)),VALUE(MID(B1079,FIND("#",B1079)+1,1000)),1)</f>
        <v>2</v>
      </c>
      <c r="H1079" s="10" t="s">
        <v>11635</v>
      </c>
    </row>
    <row r="1080" spans="1:8" ht="15.75" thickBot="1" x14ac:dyDescent="0.3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>IF(ISNUMBER(SEARCH("#",B1080)),VALUE(MID(B1080,FIND("#",B1080)+1,1000)),1)</f>
        <v>1</v>
      </c>
      <c r="H1080" s="10" t="s">
        <v>11636</v>
      </c>
    </row>
    <row r="1081" spans="1:8" ht="15.75" thickBot="1" x14ac:dyDescent="0.3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>IF(ISNUMBER(SEARCH("#",B1081)),VALUE(MID(B1081,FIND("#",B1081)+1,1000)),1)</f>
        <v>2</v>
      </c>
      <c r="H1081" s="10" t="s">
        <v>11637</v>
      </c>
    </row>
    <row r="1082" spans="1:8" ht="15.75" thickBot="1" x14ac:dyDescent="0.3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>IF(ISNUMBER(SEARCH("#",B1082)),VALUE(MID(B1082,FIND("#",B1082)+1,1000)),1)</f>
        <v>3</v>
      </c>
      <c r="H1082" s="10" t="s">
        <v>11638</v>
      </c>
    </row>
    <row r="1083" spans="1:8" ht="15.75" thickBot="1" x14ac:dyDescent="0.3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>IF(ISNUMBER(SEARCH("#",B1083)),VALUE(MID(B1083,FIND("#",B1083)+1,1000)),1)</f>
        <v>1</v>
      </c>
      <c r="H1083" s="10" t="s">
        <v>11639</v>
      </c>
    </row>
    <row r="1084" spans="1:8" ht="15.75" thickBot="1" x14ac:dyDescent="0.3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>IF(ISNUMBER(SEARCH("#",B1084)),VALUE(MID(B1084,FIND("#",B1084)+1,1000)),1)</f>
        <v>2</v>
      </c>
      <c r="H1084" s="10" t="s">
        <v>11640</v>
      </c>
    </row>
    <row r="1085" spans="1:8" ht="15.75" thickBot="1" x14ac:dyDescent="0.3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>IF(ISNUMBER(SEARCH("#",B1085)),VALUE(MID(B1085,FIND("#",B1085)+1,1000)),1)</f>
        <v>3</v>
      </c>
      <c r="H1085" s="10" t="s">
        <v>11641</v>
      </c>
    </row>
    <row r="1086" spans="1:8" ht="15.75" thickBot="1" x14ac:dyDescent="0.3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>IF(ISNUMBER(SEARCH("#",B1086)),VALUE(MID(B1086,FIND("#",B1086)+1,1000)),1)</f>
        <v>1</v>
      </c>
      <c r="H1086" s="10" t="s">
        <v>11643</v>
      </c>
    </row>
    <row r="1087" spans="1:8" ht="15.75" thickBot="1" x14ac:dyDescent="0.3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>IF(ISNUMBER(SEARCH("#",B1087)),VALUE(MID(B1087,FIND("#",B1087)+1,1000)),1)</f>
        <v>2</v>
      </c>
      <c r="H1087" s="10" t="s">
        <v>11644</v>
      </c>
    </row>
    <row r="1088" spans="1:8" ht="15.75" thickBot="1" x14ac:dyDescent="0.3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>IF(ISNUMBER(SEARCH("#",B1088)),VALUE(MID(B1088,FIND("#",B1088)+1,1000)),1)</f>
        <v>3</v>
      </c>
      <c r="H1088" s="10" t="s">
        <v>11645</v>
      </c>
    </row>
    <row r="1089" spans="1:8" ht="15.75" thickBot="1" x14ac:dyDescent="0.3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>IF(ISNUMBER(SEARCH("#",B1089)),VALUE(MID(B1089,FIND("#",B1089)+1,1000)),1)</f>
        <v>1</v>
      </c>
      <c r="H1089" s="10" t="s">
        <v>11646</v>
      </c>
    </row>
    <row r="1090" spans="1:8" ht="15.75" thickBot="1" x14ac:dyDescent="0.3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>IF(ISNUMBER(SEARCH("#",B1090)),VALUE(MID(B1090,FIND("#",B1090)+1,1000)),1)</f>
        <v>2</v>
      </c>
      <c r="H1090" s="10" t="s">
        <v>11647</v>
      </c>
    </row>
    <row r="1091" spans="1:8" ht="15.75" thickBot="1" x14ac:dyDescent="0.3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>IF(ISNUMBER(SEARCH("#",B1091)),VALUE(MID(B1091,FIND("#",B1091)+1,1000)),1)</f>
        <v>3</v>
      </c>
      <c r="H1091" s="10" t="s">
        <v>11648</v>
      </c>
    </row>
    <row r="1092" spans="1:8" ht="15.75" thickBot="1" x14ac:dyDescent="0.3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>IF(ISNUMBER(SEARCH("#",B1092)),VALUE(MID(B1092,FIND("#",B1092)+1,1000)),1)</f>
        <v>1</v>
      </c>
      <c r="H1092" s="10" t="s">
        <v>11649</v>
      </c>
    </row>
    <row r="1093" spans="1:8" ht="15.75" thickBot="1" x14ac:dyDescent="0.3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>IF(ISNUMBER(SEARCH("#",B1093)),VALUE(MID(B1093,FIND("#",B1093)+1,1000)),1)</f>
        <v>2</v>
      </c>
      <c r="H1093" s="10" t="s">
        <v>11650</v>
      </c>
    </row>
    <row r="1094" spans="1:8" ht="15.75" thickBot="1" x14ac:dyDescent="0.3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>IF(ISNUMBER(SEARCH("#",B1094)),VALUE(MID(B1094,FIND("#",B1094)+1,1000)),1)</f>
        <v>3</v>
      </c>
      <c r="H1094" s="10" t="s">
        <v>11651</v>
      </c>
    </row>
    <row r="1095" spans="1:8" ht="15.75" thickBot="1" x14ac:dyDescent="0.3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>IF(ISNUMBER(SEARCH("#",B1095)),VALUE(MID(B1095,FIND("#",B1095)+1,1000)),1)</f>
        <v>1</v>
      </c>
      <c r="H1095" s="10" t="s">
        <v>11652</v>
      </c>
    </row>
    <row r="1096" spans="1:8" ht="15.75" thickBot="1" x14ac:dyDescent="0.3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>IF(ISNUMBER(SEARCH("#",B1096)),VALUE(MID(B1096,FIND("#",B1096)+1,1000)),1)</f>
        <v>1</v>
      </c>
      <c r="H1096" s="10" t="s">
        <v>11653</v>
      </c>
    </row>
    <row r="1097" spans="1:8" ht="15.75" thickBot="1" x14ac:dyDescent="0.3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>IF(ISNUMBER(SEARCH("#",B1097)),VALUE(MID(B1097,FIND("#",B1097)+1,1000)),1)</f>
        <v>1</v>
      </c>
      <c r="H1097" s="10" t="s">
        <v>11654</v>
      </c>
    </row>
    <row r="1098" spans="1:8" ht="15.75" thickBot="1" x14ac:dyDescent="0.3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>IF(ISNUMBER(SEARCH("#",B1098)),VALUE(MID(B1098,FIND("#",B1098)+1,1000)),1)</f>
        <v>1</v>
      </c>
      <c r="H1098" s="10" t="s">
        <v>11655</v>
      </c>
    </row>
    <row r="1099" spans="1:8" ht="15.75" thickBot="1" x14ac:dyDescent="0.3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>IF(ISNUMBER(SEARCH("#",B1099)),VALUE(MID(B1099,FIND("#",B1099)+1,1000)),1)</f>
        <v>1</v>
      </c>
      <c r="H1099" s="10" t="s">
        <v>11656</v>
      </c>
    </row>
    <row r="1100" spans="1:8" ht="15.75" thickBot="1" x14ac:dyDescent="0.3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>IF(ISNUMBER(SEARCH("#",B1100)),VALUE(MID(B1100,FIND("#",B1100)+1,1000)),1)</f>
        <v>2</v>
      </c>
      <c r="H1100" s="10" t="s">
        <v>11657</v>
      </c>
    </row>
    <row r="1101" spans="1:8" ht="15.75" thickBot="1" x14ac:dyDescent="0.3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>IF(ISNUMBER(SEARCH("#",B1101)),VALUE(MID(B1101,FIND("#",B1101)+1,1000)),1)</f>
        <v>1</v>
      </c>
      <c r="H1101" s="10" t="s">
        <v>11658</v>
      </c>
    </row>
    <row r="1102" spans="1:8" ht="15.75" thickBot="1" x14ac:dyDescent="0.3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>IF(ISNUMBER(SEARCH("#",B1102)),VALUE(MID(B1102,FIND("#",B1102)+1,1000)),1)</f>
        <v>1</v>
      </c>
      <c r="H1102" s="10" t="s">
        <v>11659</v>
      </c>
    </row>
    <row r="1103" spans="1:8" ht="15.75" thickBot="1" x14ac:dyDescent="0.3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>IF(ISNUMBER(SEARCH("#",B1103)),VALUE(MID(B1103,FIND("#",B1103)+1,1000)),1)</f>
        <v>2</v>
      </c>
      <c r="H1103" s="10" t="s">
        <v>11660</v>
      </c>
    </row>
    <row r="1104" spans="1:8" ht="15.75" thickBot="1" x14ac:dyDescent="0.3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>IF(ISNUMBER(SEARCH("#",B1104)),VALUE(MID(B1104,FIND("#",B1104)+1,1000)),1)</f>
        <v>1</v>
      </c>
      <c r="H1104" s="10" t="s">
        <v>11661</v>
      </c>
    </row>
    <row r="1105" spans="1:8" ht="15.75" thickBot="1" x14ac:dyDescent="0.3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>IF(ISNUMBER(SEARCH("#",B1105)),VALUE(MID(B1105,FIND("#",B1105)+1,1000)),1)</f>
        <v>2</v>
      </c>
      <c r="H1105" s="10" t="s">
        <v>11662</v>
      </c>
    </row>
    <row r="1106" spans="1:8" ht="15.75" thickBot="1" x14ac:dyDescent="0.3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>IF(ISNUMBER(SEARCH("#",B1106)),VALUE(MID(B1106,FIND("#",B1106)+1,1000)),1)</f>
        <v>1</v>
      </c>
      <c r="H1106" s="10" t="s">
        <v>11663</v>
      </c>
    </row>
    <row r="1107" spans="1:8" ht="15.75" thickBot="1" x14ac:dyDescent="0.3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>IF(ISNUMBER(SEARCH("#",B1107)),VALUE(MID(B1107,FIND("#",B1107)+1,1000)),1)</f>
        <v>1</v>
      </c>
      <c r="H1107" s="10" t="s">
        <v>11664</v>
      </c>
    </row>
    <row r="1108" spans="1:8" ht="15.75" thickBot="1" x14ac:dyDescent="0.3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>IF(ISNUMBER(SEARCH("#",B1108)),VALUE(MID(B1108,FIND("#",B1108)+1,1000)),1)</f>
        <v>1</v>
      </c>
      <c r="H1108" s="10" t="s">
        <v>11665</v>
      </c>
    </row>
    <row r="1109" spans="1:8" ht="15.75" thickBot="1" x14ac:dyDescent="0.3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>IF(ISNUMBER(SEARCH("#",B1109)),VALUE(MID(B1109,FIND("#",B1109)+1,1000)),1)</f>
        <v>1</v>
      </c>
      <c r="H1109" s="10" t="s">
        <v>11666</v>
      </c>
    </row>
    <row r="1110" spans="1:8" ht="15.75" thickBot="1" x14ac:dyDescent="0.3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>IF(ISNUMBER(SEARCH("#",B1110)),VALUE(MID(B1110,FIND("#",B1110)+1,1000)),1)</f>
        <v>1</v>
      </c>
      <c r="H1110" s="10" t="s">
        <v>11667</v>
      </c>
    </row>
    <row r="1111" spans="1:8" ht="15.75" thickBot="1" x14ac:dyDescent="0.3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>IF(ISNUMBER(SEARCH("#",B1111)),VALUE(MID(B1111,FIND("#",B1111)+1,1000)),1)</f>
        <v>1</v>
      </c>
      <c r="H1111" s="10" t="s">
        <v>11668</v>
      </c>
    </row>
    <row r="1112" spans="1:8" ht="15.75" thickBot="1" x14ac:dyDescent="0.3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>IF(ISNUMBER(SEARCH("#",B1112)),VALUE(MID(B1112,FIND("#",B1112)+1,1000)),1)</f>
        <v>1</v>
      </c>
      <c r="H1112" s="10" t="s">
        <v>11669</v>
      </c>
    </row>
    <row r="1113" spans="1:8" ht="15.75" thickBot="1" x14ac:dyDescent="0.3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>IF(ISNUMBER(SEARCH("#",B1113)),VALUE(MID(B1113,FIND("#",B1113)+1,1000)),1)</f>
        <v>1</v>
      </c>
      <c r="H1113" s="10" t="s">
        <v>11670</v>
      </c>
    </row>
    <row r="1114" spans="1:8" ht="15.75" thickBot="1" x14ac:dyDescent="0.3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>IF(ISNUMBER(SEARCH("#",B1114)),VALUE(MID(B1114,FIND("#",B1114)+1,1000)),1)</f>
        <v>1</v>
      </c>
      <c r="H1114" s="10" t="s">
        <v>11671</v>
      </c>
    </row>
    <row r="1115" spans="1:8" ht="15.75" thickBot="1" x14ac:dyDescent="0.3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>IF(ISNUMBER(SEARCH("#",B1115)),VALUE(MID(B1115,FIND("#",B1115)+1,1000)),1)</f>
        <v>1</v>
      </c>
      <c r="H1115" s="10" t="s">
        <v>11672</v>
      </c>
    </row>
    <row r="1116" spans="1:8" ht="15.75" thickBot="1" x14ac:dyDescent="0.3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>IF(ISNUMBER(SEARCH("#",B1116)),VALUE(MID(B1116,FIND("#",B1116)+1,1000)),1)</f>
        <v>2</v>
      </c>
      <c r="H1116" s="10" t="s">
        <v>11673</v>
      </c>
    </row>
    <row r="1117" spans="1:8" ht="15.75" thickBot="1" x14ac:dyDescent="0.3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>IF(ISNUMBER(SEARCH("#",B1117)),VALUE(MID(B1117,FIND("#",B1117)+1,1000)),1)</f>
        <v>3</v>
      </c>
      <c r="H1117" s="10" t="s">
        <v>11674</v>
      </c>
    </row>
    <row r="1118" spans="1:8" ht="15.75" thickBot="1" x14ac:dyDescent="0.3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>IF(ISNUMBER(SEARCH("#",B1118)),VALUE(MID(B1118,FIND("#",B1118)+1,1000)),1)</f>
        <v>4</v>
      </c>
      <c r="H1118" s="10" t="s">
        <v>11675</v>
      </c>
    </row>
    <row r="1119" spans="1:8" ht="15.75" thickBot="1" x14ac:dyDescent="0.3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>IF(ISNUMBER(SEARCH("#",B1119)),VALUE(MID(B1119,FIND("#",B1119)+1,1000)),1)</f>
        <v>5</v>
      </c>
      <c r="H1119" s="10" t="s">
        <v>11676</v>
      </c>
    </row>
    <row r="1120" spans="1:8" ht="15.75" thickBot="1" x14ac:dyDescent="0.3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>IF(ISNUMBER(SEARCH("#",B1120)),VALUE(MID(B1120,FIND("#",B1120)+1,1000)),1)</f>
        <v>6</v>
      </c>
      <c r="H1120" s="10" t="s">
        <v>11677</v>
      </c>
    </row>
    <row r="1121" spans="1:8" ht="15.75" thickBot="1" x14ac:dyDescent="0.3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>IF(ISNUMBER(SEARCH("#",B1121)),VALUE(MID(B1121,FIND("#",B1121)+1,1000)),1)</f>
        <v>1</v>
      </c>
      <c r="H1121" s="10" t="s">
        <v>11678</v>
      </c>
    </row>
    <row r="1122" spans="1:8" ht="15.75" thickBot="1" x14ac:dyDescent="0.3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>IF(ISNUMBER(SEARCH("#",B1122)),VALUE(MID(B1122,FIND("#",B1122)+1,1000)),1)</f>
        <v>2</v>
      </c>
      <c r="H1122" s="10" t="s">
        <v>11679</v>
      </c>
    </row>
    <row r="1123" spans="1:8" ht="15.75" thickBot="1" x14ac:dyDescent="0.3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>IF(ISNUMBER(SEARCH("#",B1123)),VALUE(MID(B1123,FIND("#",B1123)+1,1000)),1)</f>
        <v>3</v>
      </c>
      <c r="H1123" s="10" t="s">
        <v>11680</v>
      </c>
    </row>
    <row r="1124" spans="1:8" ht="15.75" thickBot="1" x14ac:dyDescent="0.3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>IF(ISNUMBER(SEARCH("#",B1124)),VALUE(MID(B1124,FIND("#",B1124)+1,1000)),1)</f>
        <v>1</v>
      </c>
      <c r="H1124" s="10" t="s">
        <v>11681</v>
      </c>
    </row>
    <row r="1125" spans="1:8" ht="15.75" thickBot="1" x14ac:dyDescent="0.3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>IF(ISNUMBER(SEARCH("#",B1125)),VALUE(MID(B1125,FIND("#",B1125)+1,1000)),1)</f>
        <v>2</v>
      </c>
      <c r="H1125" s="10" t="s">
        <v>11682</v>
      </c>
    </row>
    <row r="1126" spans="1:8" ht="15.75" thickBot="1" x14ac:dyDescent="0.3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>IF(ISNUMBER(SEARCH("#",B1126)),VALUE(MID(B1126,FIND("#",B1126)+1,1000)),1)</f>
        <v>3</v>
      </c>
      <c r="H1126" s="10" t="s">
        <v>11683</v>
      </c>
    </row>
    <row r="1127" spans="1:8" ht="15.75" thickBot="1" x14ac:dyDescent="0.3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>IF(ISNUMBER(SEARCH("#",B1127)),VALUE(MID(B1127,FIND("#",B1127)+1,1000)),1)</f>
        <v>1</v>
      </c>
      <c r="H1127" s="10" t="s">
        <v>11684</v>
      </c>
    </row>
    <row r="1128" spans="1:8" ht="15.75" thickBot="1" x14ac:dyDescent="0.3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>IF(ISNUMBER(SEARCH("#",B1128)),VALUE(MID(B1128,FIND("#",B1128)+1,1000)),1)</f>
        <v>1</v>
      </c>
      <c r="H1128" s="10" t="s">
        <v>11685</v>
      </c>
    </row>
    <row r="1129" spans="1:8" ht="15.75" thickBot="1" x14ac:dyDescent="0.3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>IF(ISNUMBER(SEARCH("#",B1129)),VALUE(MID(B1129,FIND("#",B1129)+1,1000)),1)</f>
        <v>2</v>
      </c>
      <c r="H1129" s="10" t="s">
        <v>11686</v>
      </c>
    </row>
    <row r="1130" spans="1:8" ht="15.75" thickBot="1" x14ac:dyDescent="0.3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>IF(ISNUMBER(SEARCH("#",B1130)),VALUE(MID(B1130,FIND("#",B1130)+1,1000)),1)</f>
        <v>3</v>
      </c>
      <c r="H1130" s="10" t="s">
        <v>11687</v>
      </c>
    </row>
    <row r="1131" spans="1:8" ht="15.75" thickBot="1" x14ac:dyDescent="0.3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>IF(ISNUMBER(SEARCH("#",B1131)),VALUE(MID(B1131,FIND("#",B1131)+1,1000)),1)</f>
        <v>4</v>
      </c>
      <c r="H1131" s="10" t="s">
        <v>11688</v>
      </c>
    </row>
    <row r="1132" spans="1:8" ht="15.75" thickBot="1" x14ac:dyDescent="0.3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>IF(ISNUMBER(SEARCH("#",B1132)),VALUE(MID(B1132,FIND("#",B1132)+1,1000)),1)</f>
        <v>5</v>
      </c>
      <c r="H1132" s="10" t="s">
        <v>11689</v>
      </c>
    </row>
    <row r="1133" spans="1:8" ht="15.75" thickBot="1" x14ac:dyDescent="0.3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>IF(ISNUMBER(SEARCH("#",B1133)),VALUE(MID(B1133,FIND("#",B1133)+1,1000)),1)</f>
        <v>6</v>
      </c>
      <c r="H1133" s="10" t="s">
        <v>11690</v>
      </c>
    </row>
    <row r="1134" spans="1:8" ht="15.75" thickBot="1" x14ac:dyDescent="0.3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>IF(ISNUMBER(SEARCH("#",B1134)),VALUE(MID(B1134,FIND("#",B1134)+1,1000)),1)</f>
        <v>7</v>
      </c>
      <c r="H1134" s="10" t="s">
        <v>11691</v>
      </c>
    </row>
    <row r="1135" spans="1:8" ht="15.75" thickBot="1" x14ac:dyDescent="0.3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>IF(ISNUMBER(SEARCH("#",B1135)),VALUE(MID(B1135,FIND("#",B1135)+1,1000)),1)</f>
        <v>8</v>
      </c>
      <c r="H1135" s="10" t="s">
        <v>11692</v>
      </c>
    </row>
    <row r="1136" spans="1:8" ht="15.75" thickBot="1" x14ac:dyDescent="0.3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>IF(ISNUMBER(SEARCH("#",B1136)),VALUE(MID(B1136,FIND("#",B1136)+1,1000)),1)</f>
        <v>9</v>
      </c>
      <c r="H1136" s="10" t="s">
        <v>11693</v>
      </c>
    </row>
    <row r="1137" spans="1:8" ht="15.75" thickBot="1" x14ac:dyDescent="0.3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>IF(ISNUMBER(SEARCH("#",B1137)),VALUE(MID(B1137,FIND("#",B1137)+1,1000)),1)</f>
        <v>10</v>
      </c>
      <c r="H1137" s="10" t="s">
        <v>11694</v>
      </c>
    </row>
    <row r="1138" spans="1:8" ht="15.75" thickBot="1" x14ac:dyDescent="0.3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>IF(ISNUMBER(SEARCH("#",B1138)),VALUE(MID(B1138,FIND("#",B1138)+1,1000)),1)</f>
        <v>11</v>
      </c>
      <c r="H1138" s="10" t="s">
        <v>11695</v>
      </c>
    </row>
    <row r="1139" spans="1:8" ht="15.75" thickBot="1" x14ac:dyDescent="0.3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>IF(ISNUMBER(SEARCH("#",B1139)),VALUE(MID(B1139,FIND("#",B1139)+1,1000)),1)</f>
        <v>12</v>
      </c>
      <c r="H1139" s="10" t="s">
        <v>11696</v>
      </c>
    </row>
    <row r="1140" spans="1:8" ht="15.75" thickBot="1" x14ac:dyDescent="0.3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>IF(ISNUMBER(SEARCH("#",B1140)),VALUE(MID(B1140,FIND("#",B1140)+1,1000)),1)</f>
        <v>13</v>
      </c>
      <c r="H1140" s="10" t="s">
        <v>11697</v>
      </c>
    </row>
    <row r="1141" spans="1:8" ht="15.75" thickBot="1" x14ac:dyDescent="0.3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>IF(ISNUMBER(SEARCH("#",B1141)),VALUE(MID(B1141,FIND("#",B1141)+1,1000)),1)</f>
        <v>14</v>
      </c>
      <c r="H1141" s="10" t="s">
        <v>11698</v>
      </c>
    </row>
    <row r="1142" spans="1:8" ht="15.75" thickBot="1" x14ac:dyDescent="0.3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>IF(ISNUMBER(SEARCH("#",B1142)),VALUE(MID(B1142,FIND("#",B1142)+1,1000)),1)</f>
        <v>15</v>
      </c>
      <c r="H1142" s="10" t="s">
        <v>11699</v>
      </c>
    </row>
    <row r="1143" spans="1:8" ht="15.75" thickBot="1" x14ac:dyDescent="0.3">
      <c r="A1143" s="30" t="s">
        <v>11392</v>
      </c>
      <c r="B1143" s="30" t="s">
        <v>11700</v>
      </c>
      <c r="C1143" s="30"/>
      <c r="D1143" s="31" t="s">
        <v>11544</v>
      </c>
      <c r="E1143" s="39"/>
      <c r="F1143" s="30" t="s">
        <v>11825</v>
      </c>
      <c r="G1143" s="26">
        <f>IF(ISNUMBER(SEARCH("#",B1143)),VALUE(MID(B1143,FIND("#",B1143)+1,1000)),1)</f>
        <v>1</v>
      </c>
      <c r="H1143" s="30" t="s">
        <v>11700</v>
      </c>
    </row>
    <row r="1144" spans="1:8" ht="15.75" thickBot="1" x14ac:dyDescent="0.3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>IF(ISNUMBER(SEARCH("#",B1144)),VALUE(MID(B1144,FIND("#",B1144)+1,1000)),1)</f>
        <v>2</v>
      </c>
      <c r="H1144" s="30" t="s">
        <v>11701</v>
      </c>
    </row>
    <row r="1145" spans="1:8" ht="15.75" thickBot="1" x14ac:dyDescent="0.3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>IF(ISNUMBER(SEARCH("#",B1145)),VALUE(MID(B1145,FIND("#",B1145)+1,1000)),1)</f>
        <v>3</v>
      </c>
      <c r="H1145" s="30" t="s">
        <v>11702</v>
      </c>
    </row>
    <row r="1146" spans="1:8" ht="15.75" thickBot="1" x14ac:dyDescent="0.3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>IF(ISNUMBER(SEARCH("#",B1146)),VALUE(MID(B1146,FIND("#",B1146)+1,1000)),1)</f>
        <v>4</v>
      </c>
      <c r="H1146" s="30" t="s">
        <v>11703</v>
      </c>
    </row>
    <row r="1147" spans="1:8" ht="15.75" thickBot="1" x14ac:dyDescent="0.3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>IF(ISNUMBER(SEARCH("#",B1147)),VALUE(MID(B1147,FIND("#",B1147)+1,1000)),1)</f>
        <v>5</v>
      </c>
      <c r="H1147" s="30" t="s">
        <v>11704</v>
      </c>
    </row>
    <row r="1148" spans="1:8" ht="15.75" thickBot="1" x14ac:dyDescent="0.3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>IF(ISNUMBER(SEARCH("#",B1148)),VALUE(MID(B1148,FIND("#",B1148)+1,1000)),1)</f>
        <v>6</v>
      </c>
      <c r="H1148" s="30" t="s">
        <v>11705</v>
      </c>
    </row>
    <row r="1149" spans="1:8" ht="15.75" thickBot="1" x14ac:dyDescent="0.3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>IF(ISNUMBER(SEARCH("#",B1149)),VALUE(MID(B1149,FIND("#",B1149)+1,1000)),1)</f>
        <v>7</v>
      </c>
      <c r="H1149" s="30" t="s">
        <v>11706</v>
      </c>
    </row>
    <row r="1150" spans="1:8" ht="15.75" thickBot="1" x14ac:dyDescent="0.3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>IF(ISNUMBER(SEARCH("#",B1150)),VALUE(MID(B1150,FIND("#",B1150)+1,1000)),1)</f>
        <v>8</v>
      </c>
      <c r="H1150" s="30" t="s">
        <v>11707</v>
      </c>
    </row>
    <row r="1151" spans="1:8" ht="15.75" thickBot="1" x14ac:dyDescent="0.3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>IF(ISNUMBER(SEARCH("#",B1151)),VALUE(MID(B1151,FIND("#",B1151)+1,1000)),1)</f>
        <v>9</v>
      </c>
      <c r="H1151" s="30" t="s">
        <v>11708</v>
      </c>
    </row>
    <row r="1152" spans="1:8" ht="15.75" thickBot="1" x14ac:dyDescent="0.3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>IF(ISNUMBER(SEARCH("#",B1152)),VALUE(MID(B1152,FIND("#",B1152)+1,1000)),1)</f>
        <v>10</v>
      </c>
      <c r="H1152" s="30" t="s">
        <v>11709</v>
      </c>
    </row>
    <row r="1153" spans="1:8" ht="15.75" thickBot="1" x14ac:dyDescent="0.3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>IF(ISNUMBER(SEARCH("#",B1153)),VALUE(MID(B1153,FIND("#",B1153)+1,1000)),1)</f>
        <v>11</v>
      </c>
      <c r="H1153" s="30" t="s">
        <v>11710</v>
      </c>
    </row>
    <row r="1154" spans="1:8" ht="15.75" thickBot="1" x14ac:dyDescent="0.3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>IF(ISNUMBER(SEARCH("#",B1154)),VALUE(MID(B1154,FIND("#",B1154)+1,1000)),1)</f>
        <v>12</v>
      </c>
      <c r="H1154" s="30" t="s">
        <v>11711</v>
      </c>
    </row>
    <row r="1155" spans="1:8" ht="15.75" thickBot="1" x14ac:dyDescent="0.3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>IF(ISNUMBER(SEARCH("#",B1155)),VALUE(MID(B1155,FIND("#",B1155)+1,1000)),1)</f>
        <v>13</v>
      </c>
      <c r="H1155" s="30" t="s">
        <v>11712</v>
      </c>
    </row>
    <row r="1156" spans="1:8" ht="15.75" thickBot="1" x14ac:dyDescent="0.3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>IF(ISNUMBER(SEARCH("#",B1156)),VALUE(MID(B1156,FIND("#",B1156)+1,1000)),1)</f>
        <v>14</v>
      </c>
      <c r="H1156" s="30" t="s">
        <v>11713</v>
      </c>
    </row>
    <row r="1157" spans="1:8" ht="15.75" thickBot="1" x14ac:dyDescent="0.3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>IF(ISNUMBER(SEARCH("#",B1157)),VALUE(MID(B1157,FIND("#",B1157)+1,1000)),1)</f>
        <v>1</v>
      </c>
      <c r="H1157" s="10" t="s">
        <v>11714</v>
      </c>
    </row>
    <row r="1158" spans="1:8" ht="15.75" thickBot="1" x14ac:dyDescent="0.3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>IF(ISNUMBER(SEARCH("#",B1158)),VALUE(MID(B1158,FIND("#",B1158)+1,1000)),1)</f>
        <v>1</v>
      </c>
      <c r="H1158" s="10" t="s">
        <v>11715</v>
      </c>
    </row>
    <row r="1159" spans="1:8" ht="15.75" thickBot="1" x14ac:dyDescent="0.3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>IF(ISNUMBER(SEARCH("#",B1159)),VALUE(MID(B1159,FIND("#",B1159)+1,1000)),1)</f>
        <v>1</v>
      </c>
      <c r="H1159" s="10" t="s">
        <v>11716</v>
      </c>
    </row>
    <row r="1160" spans="1:8" ht="15.75" thickBot="1" x14ac:dyDescent="0.3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>IF(ISNUMBER(SEARCH("#",B1160)),VALUE(MID(B1160,FIND("#",B1160)+1,1000)),1)</f>
        <v>1</v>
      </c>
      <c r="H1160" s="10" t="s">
        <v>11717</v>
      </c>
    </row>
    <row r="1161" spans="1:8" ht="15.75" thickBot="1" x14ac:dyDescent="0.3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>IF(ISNUMBER(SEARCH("#",B1161)),VALUE(MID(B1161,FIND("#",B1161)+1,1000)),1)</f>
        <v>1</v>
      </c>
      <c r="H1161" s="10" t="s">
        <v>11718</v>
      </c>
    </row>
    <row r="1162" spans="1:8" ht="15.75" thickBot="1" x14ac:dyDescent="0.3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>IF(ISNUMBER(SEARCH("#",B1162)),VALUE(MID(B1162,FIND("#",B1162)+1,1000)),1)</f>
        <v>2</v>
      </c>
      <c r="H1162" s="10" t="s">
        <v>11719</v>
      </c>
    </row>
    <row r="1163" spans="1:8" ht="15.75" thickBot="1" x14ac:dyDescent="0.3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>IF(ISNUMBER(SEARCH("#",B1163)),VALUE(MID(B1163,FIND("#",B1163)+1,1000)),1)</f>
        <v>3</v>
      </c>
      <c r="H1163" s="10" t="s">
        <v>11720</v>
      </c>
    </row>
    <row r="1164" spans="1:8" ht="15.75" thickBot="1" x14ac:dyDescent="0.3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>IF(ISNUMBER(SEARCH("#",B1164)),VALUE(MID(B1164,FIND("#",B1164)+1,1000)),1)</f>
        <v>4</v>
      </c>
      <c r="H1164" s="10" t="s">
        <v>11721</v>
      </c>
    </row>
    <row r="1165" spans="1:8" ht="15.75" thickBot="1" x14ac:dyDescent="0.3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>IF(ISNUMBER(SEARCH("#",B1165)),VALUE(MID(B1165,FIND("#",B1165)+1,1000)),1)</f>
        <v>5</v>
      </c>
      <c r="H1165" s="10" t="s">
        <v>11722</v>
      </c>
    </row>
    <row r="1166" spans="1:8" ht="15.75" thickBot="1" x14ac:dyDescent="0.3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>IF(ISNUMBER(SEARCH("#",B1166)),VALUE(MID(B1166,FIND("#",B1166)+1,1000)),1)</f>
        <v>6</v>
      </c>
      <c r="H1166" s="10" t="s">
        <v>11723</v>
      </c>
    </row>
    <row r="1167" spans="1:8" ht="15.75" thickBot="1" x14ac:dyDescent="0.3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>IF(ISNUMBER(SEARCH("#",B1167)),VALUE(MID(B1167,FIND("#",B1167)+1,1000)),1)</f>
        <v>1</v>
      </c>
      <c r="H1167" s="10" t="s">
        <v>11724</v>
      </c>
    </row>
    <row r="1168" spans="1:8" ht="15.75" thickBot="1" x14ac:dyDescent="0.3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>IF(ISNUMBER(SEARCH("#",B1168)),VALUE(MID(B1168,FIND("#",B1168)+1,1000)),1)</f>
        <v>2</v>
      </c>
      <c r="H1168" s="10" t="s">
        <v>11725</v>
      </c>
    </row>
    <row r="1169" spans="1:8" ht="15.75" thickBot="1" x14ac:dyDescent="0.3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>IF(ISNUMBER(SEARCH("#",B1169)),VALUE(MID(B1169,FIND("#",B1169)+1,1000)),1)</f>
        <v>3</v>
      </c>
      <c r="H1169" s="10" t="s">
        <v>11726</v>
      </c>
    </row>
    <row r="1170" spans="1:8" ht="15.75" thickBot="1" x14ac:dyDescent="0.3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>IF(ISNUMBER(SEARCH("#",B1170)),VALUE(MID(B1170,FIND("#",B1170)+1,1000)),1)</f>
        <v>4</v>
      </c>
      <c r="H1170" s="10" t="s">
        <v>11727</v>
      </c>
    </row>
    <row r="1171" spans="1:8" ht="15.75" thickBot="1" x14ac:dyDescent="0.3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>IF(ISNUMBER(SEARCH("#",B1171)),VALUE(MID(B1171,FIND("#",B1171)+1,1000)),1)</f>
        <v>5</v>
      </c>
      <c r="H1171" s="10" t="s">
        <v>11728</v>
      </c>
    </row>
    <row r="1172" spans="1:8" ht="15.75" thickBot="1" x14ac:dyDescent="0.3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>IF(ISNUMBER(SEARCH("#",B1172)),VALUE(MID(B1172,FIND("#",B1172)+1,1000)),1)</f>
        <v>6</v>
      </c>
      <c r="H1172" s="10" t="s">
        <v>11729</v>
      </c>
    </row>
    <row r="1173" spans="1:8" ht="15.75" thickBot="1" x14ac:dyDescent="0.3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>IF(ISNUMBER(SEARCH("#",B1173)),VALUE(MID(B1173,FIND("#",B1173)+1,1000)),1)</f>
        <v>7</v>
      </c>
      <c r="H1173" s="10" t="s">
        <v>11730</v>
      </c>
    </row>
    <row r="1174" spans="1:8" ht="15.75" thickBot="1" x14ac:dyDescent="0.3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>IF(ISNUMBER(SEARCH("#",B1174)),VALUE(MID(B1174,FIND("#",B1174)+1,1000)),1)</f>
        <v>8</v>
      </c>
      <c r="H1174" s="10" t="s">
        <v>11731</v>
      </c>
    </row>
    <row r="1175" spans="1:8" ht="15.75" thickBot="1" x14ac:dyDescent="0.3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>IF(ISNUMBER(SEARCH("#",B1175)),VALUE(MID(B1175,FIND("#",B1175)+1,1000)),1)</f>
        <v>9</v>
      </c>
      <c r="H1175" s="10" t="s">
        <v>11732</v>
      </c>
    </row>
    <row r="1176" spans="1:8" ht="15.75" thickBot="1" x14ac:dyDescent="0.3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>IF(ISNUMBER(SEARCH("#",B1176)),VALUE(MID(B1176,FIND("#",B1176)+1,1000)),1)</f>
        <v>10</v>
      </c>
      <c r="H1176" s="10" t="s">
        <v>11733</v>
      </c>
    </row>
    <row r="1177" spans="1:8" ht="15.75" thickBot="1" x14ac:dyDescent="0.3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>IF(ISNUMBER(SEARCH("#",B1177)),VALUE(MID(B1177,FIND("#",B1177)+1,1000)),1)</f>
        <v>11</v>
      </c>
      <c r="H1177" s="10" t="s">
        <v>11734</v>
      </c>
    </row>
    <row r="1178" spans="1:8" ht="15.75" thickBot="1" x14ac:dyDescent="0.3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>IF(ISNUMBER(SEARCH("#",B1178)),VALUE(MID(B1178,FIND("#",B1178)+1,1000)),1)</f>
        <v>12</v>
      </c>
      <c r="H1178" s="10" t="s">
        <v>11735</v>
      </c>
    </row>
    <row r="1179" spans="1:8" ht="15.75" thickBot="1" x14ac:dyDescent="0.3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>IF(ISNUMBER(SEARCH("#",B1179)),VALUE(MID(B1179,FIND("#",B1179)+1,1000)),1)</f>
        <v>13</v>
      </c>
      <c r="H1179" s="10" t="s">
        <v>11736</v>
      </c>
    </row>
    <row r="1180" spans="1:8" ht="15.75" thickBot="1" x14ac:dyDescent="0.3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>IF(ISNUMBER(SEARCH("#",B1180)),VALUE(MID(B1180,FIND("#",B1180)+1,1000)),1)</f>
        <v>14</v>
      </c>
      <c r="H1180" s="10" t="s">
        <v>11737</v>
      </c>
    </row>
    <row r="1181" spans="1:8" ht="15.75" thickBot="1" x14ac:dyDescent="0.3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>IF(ISNUMBER(SEARCH("#",B1181)),VALUE(MID(B1181,FIND("#",B1181)+1,1000)),1)</f>
        <v>15</v>
      </c>
      <c r="H1181" s="10" t="s">
        <v>11738</v>
      </c>
    </row>
    <row r="1182" spans="1:8" ht="15.75" thickBot="1" x14ac:dyDescent="0.3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>IF(ISNUMBER(SEARCH("#",B1182)),VALUE(MID(B1182,FIND("#",B1182)+1,1000)),1)</f>
        <v>16</v>
      </c>
      <c r="H1182" s="10" t="s">
        <v>11739</v>
      </c>
    </row>
    <row r="1183" spans="1:8" ht="15.75" thickBot="1" x14ac:dyDescent="0.3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>IF(ISNUMBER(SEARCH("#",B1183)),VALUE(MID(B1183,FIND("#",B1183)+1,1000)),1)</f>
        <v>17</v>
      </c>
      <c r="H1183" s="10" t="s">
        <v>11740</v>
      </c>
    </row>
    <row r="1184" spans="1:8" ht="15.75" thickBot="1" x14ac:dyDescent="0.3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>IF(ISNUMBER(SEARCH("#",B1184)),VALUE(MID(B1184,FIND("#",B1184)+1,1000)),1)</f>
        <v>18</v>
      </c>
      <c r="H1184" s="10" t="s">
        <v>11741</v>
      </c>
    </row>
    <row r="1185" spans="1:8" ht="15.75" thickBot="1" x14ac:dyDescent="0.3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>IF(ISNUMBER(SEARCH("#",B1185)),VALUE(MID(B1185,FIND("#",B1185)+1,1000)),1)</f>
        <v>19</v>
      </c>
      <c r="H1185" s="10" t="s">
        <v>11742</v>
      </c>
    </row>
    <row r="1186" spans="1:8" ht="15.75" thickBot="1" x14ac:dyDescent="0.3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>IF(ISNUMBER(SEARCH("#",B1186)),VALUE(MID(B1186,FIND("#",B1186)+1,1000)),1)</f>
        <v>1</v>
      </c>
      <c r="H1186" s="10" t="s">
        <v>11743</v>
      </c>
    </row>
    <row r="1187" spans="1:8" ht="15.75" thickBot="1" x14ac:dyDescent="0.3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>IF(ISNUMBER(SEARCH("#",B1187)),VALUE(MID(B1187,FIND("#",B1187)+1,1000)),1)</f>
        <v>1</v>
      </c>
      <c r="H1187" s="10" t="s">
        <v>11744</v>
      </c>
    </row>
    <row r="1188" spans="1:8" ht="15.75" thickBot="1" x14ac:dyDescent="0.3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>IF(ISNUMBER(SEARCH("#",B1188)),VALUE(MID(B1188,FIND("#",B1188)+1,1000)),1)</f>
        <v>1</v>
      </c>
      <c r="H1188" s="10" t="s">
        <v>11745</v>
      </c>
    </row>
    <row r="1189" spans="1:8" ht="15.75" thickBot="1" x14ac:dyDescent="0.3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>IF(ISNUMBER(SEARCH("#",B1189)),VALUE(MID(B1189,FIND("#",B1189)+1,1000)),1)</f>
        <v>1</v>
      </c>
      <c r="H1189" s="10" t="s">
        <v>11587</v>
      </c>
    </row>
    <row r="1190" spans="1:8" ht="15.75" thickBot="1" x14ac:dyDescent="0.3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>IF(ISNUMBER(SEARCH("#",B1190)),VALUE(MID(B1190,FIND("#",B1190)+1,1000)),1)</f>
        <v>2</v>
      </c>
      <c r="H1190" s="10" t="s">
        <v>11588</v>
      </c>
    </row>
    <row r="1191" spans="1:8" ht="15.75" thickBot="1" x14ac:dyDescent="0.3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>IF(ISNUMBER(SEARCH("#",B1191)),VALUE(MID(B1191,FIND("#",B1191)+1,1000)),1)</f>
        <v>3</v>
      </c>
      <c r="H1191" s="10" t="s">
        <v>11746</v>
      </c>
    </row>
    <row r="1192" spans="1:8" ht="15.75" thickBot="1" x14ac:dyDescent="0.3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>IF(ISNUMBER(SEARCH("#",B1192)),VALUE(MID(B1192,FIND("#",B1192)+1,1000)),1)</f>
        <v>1</v>
      </c>
      <c r="H1192" s="10" t="s">
        <v>11748</v>
      </c>
    </row>
    <row r="1193" spans="1:8" ht="15.75" thickBot="1" x14ac:dyDescent="0.3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>IF(ISNUMBER(SEARCH("#",B1193)),VALUE(MID(B1193,FIND("#",B1193)+1,1000)),1)</f>
        <v>2</v>
      </c>
      <c r="H1193" s="10" t="s">
        <v>11749</v>
      </c>
    </row>
    <row r="1194" spans="1:8" ht="15.75" thickBot="1" x14ac:dyDescent="0.3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>IF(ISNUMBER(SEARCH("#",B1194)),VALUE(MID(B1194,FIND("#",B1194)+1,1000)),1)</f>
        <v>3</v>
      </c>
      <c r="H1194" s="10" t="s">
        <v>11750</v>
      </c>
    </row>
    <row r="1195" spans="1:8" ht="15.75" thickBot="1" x14ac:dyDescent="0.3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>IF(ISNUMBER(SEARCH("#",B1195)),VALUE(MID(B1195,FIND("#",B1195)+1,1000)),1)</f>
        <v>4</v>
      </c>
      <c r="H1195" s="10" t="s">
        <v>11751</v>
      </c>
    </row>
    <row r="1196" spans="1:8" ht="15.75" thickBot="1" x14ac:dyDescent="0.3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>IF(ISNUMBER(SEARCH("#",B1196)),VALUE(MID(B1196,FIND("#",B1196)+1,1000)),1)</f>
        <v>1</v>
      </c>
      <c r="H1196" s="10" t="s">
        <v>11752</v>
      </c>
    </row>
    <row r="1197" spans="1:8" ht="15.75" thickBot="1" x14ac:dyDescent="0.3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>IF(ISNUMBER(SEARCH("#",B1197)),VALUE(MID(B1197,FIND("#",B1197)+1,1000)),1)</f>
        <v>2</v>
      </c>
      <c r="H1197" s="10" t="s">
        <v>11753</v>
      </c>
    </row>
    <row r="1198" spans="1:8" ht="15.75" thickBot="1" x14ac:dyDescent="0.3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>IF(ISNUMBER(SEARCH("#",B1198)),VALUE(MID(B1198,FIND("#",B1198)+1,1000)),1)</f>
        <v>3</v>
      </c>
      <c r="H1198" s="10" t="s">
        <v>11754</v>
      </c>
    </row>
    <row r="1199" spans="1:8" ht="15.75" thickBot="1" x14ac:dyDescent="0.3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>IF(ISNUMBER(SEARCH("#",B1199)),VALUE(MID(B1199,FIND("#",B1199)+1,1000)),1)</f>
        <v>4</v>
      </c>
      <c r="H1199" s="10" t="s">
        <v>11755</v>
      </c>
    </row>
    <row r="1200" spans="1:8" ht="15.75" thickBot="1" x14ac:dyDescent="0.3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>IF(ISNUMBER(SEARCH("#",B1200)),VALUE(MID(B1200,FIND("#",B1200)+1,1000)),1)</f>
        <v>5</v>
      </c>
      <c r="H1200" s="10" t="s">
        <v>11756</v>
      </c>
    </row>
    <row r="1201" spans="1:8" ht="15.75" thickBot="1" x14ac:dyDescent="0.3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>IF(ISNUMBER(SEARCH("#",B1201)),VALUE(MID(B1201,FIND("#",B1201)+1,1000)),1)</f>
        <v>6</v>
      </c>
      <c r="H1201" s="10" t="s">
        <v>11757</v>
      </c>
    </row>
    <row r="1202" spans="1:8" ht="15.75" thickBot="1" x14ac:dyDescent="0.3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>IF(ISNUMBER(SEARCH("#",B1202)),VALUE(MID(B1202,FIND("#",B1202)+1,1000)),1)</f>
        <v>7</v>
      </c>
      <c r="H1202" s="10" t="s">
        <v>11758</v>
      </c>
    </row>
    <row r="1203" spans="1:8" ht="15.75" thickBot="1" x14ac:dyDescent="0.3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>IF(ISNUMBER(SEARCH("#",B1203)),VALUE(MID(B1203,FIND("#",B1203)+1,1000)),1)</f>
        <v>8</v>
      </c>
      <c r="H1203" s="10" t="s">
        <v>11759</v>
      </c>
    </row>
    <row r="1204" spans="1:8" ht="15.75" thickBot="1" x14ac:dyDescent="0.3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>IF(ISNUMBER(SEARCH("#",B1204)),VALUE(MID(B1204,FIND("#",B1204)+1,1000)),1)</f>
        <v>9</v>
      </c>
      <c r="H1204" s="10" t="s">
        <v>11760</v>
      </c>
    </row>
    <row r="1205" spans="1:8" ht="15.75" thickBot="1" x14ac:dyDescent="0.3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>IF(ISNUMBER(SEARCH("#",B1205)),VALUE(MID(B1205,FIND("#",B1205)+1,1000)),1)</f>
        <v>10</v>
      </c>
      <c r="H1205" s="10" t="s">
        <v>11761</v>
      </c>
    </row>
    <row r="1206" spans="1:8" ht="15.75" thickBot="1" x14ac:dyDescent="0.3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>IF(ISNUMBER(SEARCH("#",B1206)),VALUE(MID(B1206,FIND("#",B1206)+1,1000)),1)</f>
        <v>11</v>
      </c>
      <c r="H1206" s="10" t="s">
        <v>11762</v>
      </c>
    </row>
    <row r="1207" spans="1:8" ht="15.75" thickBot="1" x14ac:dyDescent="0.3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>IF(ISNUMBER(SEARCH("#",B1207)),VALUE(MID(B1207,FIND("#",B1207)+1,1000)),1)</f>
        <v>12</v>
      </c>
      <c r="H1207" s="10" t="s">
        <v>11763</v>
      </c>
    </row>
    <row r="1208" spans="1:8" ht="15.75" thickBot="1" x14ac:dyDescent="0.3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>IF(ISNUMBER(SEARCH("#",B1208)),VALUE(MID(B1208,FIND("#",B1208)+1,1000)),1)</f>
        <v>13</v>
      </c>
      <c r="H1208" s="10" t="s">
        <v>11764</v>
      </c>
    </row>
    <row r="1209" spans="1:8" ht="15.75" thickBot="1" x14ac:dyDescent="0.3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>IF(ISNUMBER(SEARCH("#",B1209)),VALUE(MID(B1209,FIND("#",B1209)+1,1000)),1)</f>
        <v>14</v>
      </c>
      <c r="H1209" s="10" t="s">
        <v>11765</v>
      </c>
    </row>
    <row r="1210" spans="1:8" ht="15.75" thickBot="1" x14ac:dyDescent="0.3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>IF(ISNUMBER(SEARCH("#",B1210)),VALUE(MID(B1210,FIND("#",B1210)+1,1000)),1)</f>
        <v>15</v>
      </c>
      <c r="H1210" s="10" t="s">
        <v>11766</v>
      </c>
    </row>
    <row r="1211" spans="1:8" ht="15.75" thickBot="1" x14ac:dyDescent="0.3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>IF(ISNUMBER(SEARCH("#",B1211)),VALUE(MID(B1211,FIND("#",B1211)+1,1000)),1)</f>
        <v>16</v>
      </c>
      <c r="H1211" s="10" t="s">
        <v>11767</v>
      </c>
    </row>
    <row r="1212" spans="1:8" ht="15.75" thickBot="1" x14ac:dyDescent="0.3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>IF(ISNUMBER(SEARCH("#",B1212)),VALUE(MID(B1212,FIND("#",B1212)+1,1000)),1)</f>
        <v>17</v>
      </c>
      <c r="H1212" s="10" t="s">
        <v>11768</v>
      </c>
    </row>
    <row r="1213" spans="1:8" ht="15.75" thickBot="1" x14ac:dyDescent="0.3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>IF(ISNUMBER(SEARCH("#",B1213)),VALUE(MID(B1213,FIND("#",B1213)+1,1000)),1)</f>
        <v>18</v>
      </c>
      <c r="H1213" s="10" t="s">
        <v>11769</v>
      </c>
    </row>
    <row r="1214" spans="1:8" ht="15.75" thickBot="1" x14ac:dyDescent="0.3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>IF(ISNUMBER(SEARCH("#",B1214)),VALUE(MID(B1214,FIND("#",B1214)+1,1000)),1)</f>
        <v>19</v>
      </c>
      <c r="H1214" s="10" t="s">
        <v>11770</v>
      </c>
    </row>
    <row r="1215" spans="1:8" ht="15.75" thickBot="1" x14ac:dyDescent="0.3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>IF(ISNUMBER(SEARCH("#",B1215)),VALUE(MID(B1215,FIND("#",B1215)+1,1000)),1)</f>
        <v>20</v>
      </c>
      <c r="H1215" s="10" t="s">
        <v>11771</v>
      </c>
    </row>
    <row r="1216" spans="1:8" ht="15.75" thickBot="1" x14ac:dyDescent="0.3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>IF(ISNUMBER(SEARCH("#",B1216)),VALUE(MID(B1216,FIND("#",B1216)+1,1000)),1)</f>
        <v>21</v>
      </c>
      <c r="H1216" s="10" t="s">
        <v>11772</v>
      </c>
    </row>
    <row r="1217" spans="1:8" ht="15.75" thickBot="1" x14ac:dyDescent="0.3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>IF(ISNUMBER(SEARCH("#",B1217)),VALUE(MID(B1217,FIND("#",B1217)+1,1000)),1)</f>
        <v>22</v>
      </c>
      <c r="H1217" s="10" t="s">
        <v>11773</v>
      </c>
    </row>
    <row r="1218" spans="1:8" ht="15.75" thickBot="1" x14ac:dyDescent="0.3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>IF(ISNUMBER(SEARCH("#",B1218)),VALUE(MID(B1218,FIND("#",B1218)+1,1000)),1)</f>
        <v>23</v>
      </c>
      <c r="H1218" s="10" t="s">
        <v>11774</v>
      </c>
    </row>
    <row r="1219" spans="1:8" ht="15.75" thickBot="1" x14ac:dyDescent="0.3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>IF(ISNUMBER(SEARCH("#",B1219)),VALUE(MID(B1219,FIND("#",B1219)+1,1000)),1)</f>
        <v>24</v>
      </c>
      <c r="H1219" s="10" t="s">
        <v>11775</v>
      </c>
    </row>
    <row r="1220" spans="1:8" ht="15.75" thickBot="1" x14ac:dyDescent="0.3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>IF(ISNUMBER(SEARCH("#",B1220)),VALUE(MID(B1220,FIND("#",B1220)+1,1000)),1)</f>
        <v>25</v>
      </c>
      <c r="H1220" s="10" t="s">
        <v>11776</v>
      </c>
    </row>
    <row r="1221" spans="1:8" ht="15.75" thickBot="1" x14ac:dyDescent="0.3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>IF(ISNUMBER(SEARCH("#",B1221)),VALUE(MID(B1221,FIND("#",B1221)+1,1000)),1)</f>
        <v>26</v>
      </c>
      <c r="H1221" s="10" t="s">
        <v>11777</v>
      </c>
    </row>
    <row r="1222" spans="1:8" ht="15.75" thickBot="1" x14ac:dyDescent="0.3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>IF(ISNUMBER(SEARCH("#",B1222)),VALUE(MID(B1222,FIND("#",B1222)+1,1000)),1)</f>
        <v>27</v>
      </c>
      <c r="H1222" s="10" t="s">
        <v>11778</v>
      </c>
    </row>
    <row r="1223" spans="1:8" ht="15.75" thickBot="1" x14ac:dyDescent="0.3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>IF(ISNUMBER(SEARCH("#",B1223)),VALUE(MID(B1223,FIND("#",B1223)+1,1000)),1)</f>
        <v>28</v>
      </c>
      <c r="H1223" s="10" t="s">
        <v>11779</v>
      </c>
    </row>
    <row r="1224" spans="1:8" ht="15.75" thickBot="1" x14ac:dyDescent="0.3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>IF(ISNUMBER(SEARCH("#",B1224)),VALUE(MID(B1224,FIND("#",B1224)+1,1000)),1)</f>
        <v>29</v>
      </c>
      <c r="H1224" s="10" t="s">
        <v>11780</v>
      </c>
    </row>
    <row r="1225" spans="1:8" ht="15.75" thickBot="1" x14ac:dyDescent="0.3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>IF(ISNUMBER(SEARCH("#",B1225)),VALUE(MID(B1225,FIND("#",B1225)+1,1000)),1)</f>
        <v>30</v>
      </c>
      <c r="H1225" s="10" t="s">
        <v>11781</v>
      </c>
    </row>
    <row r="1226" spans="1:8" ht="15.75" thickBot="1" x14ac:dyDescent="0.3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>IF(ISNUMBER(SEARCH("#",B1226)),VALUE(MID(B1226,FIND("#",B1226)+1,1000)),1)</f>
        <v>31</v>
      </c>
      <c r="H1226" s="10" t="s">
        <v>11782</v>
      </c>
    </row>
    <row r="1227" spans="1:8" ht="15.75" thickBot="1" x14ac:dyDescent="0.3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>IF(ISNUMBER(SEARCH("#",B1227)),VALUE(MID(B1227,FIND("#",B1227)+1,1000)),1)</f>
        <v>32</v>
      </c>
      <c r="H1227" s="10" t="s">
        <v>11783</v>
      </c>
    </row>
    <row r="1228" spans="1:8" ht="15.75" thickBot="1" x14ac:dyDescent="0.3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>IF(ISNUMBER(SEARCH("#",B1228)),VALUE(MID(B1228,FIND("#",B1228)+1,1000)),1)</f>
        <v>33</v>
      </c>
      <c r="H1228" s="10" t="s">
        <v>11784</v>
      </c>
    </row>
    <row r="1229" spans="1:8" ht="15.75" thickBot="1" x14ac:dyDescent="0.3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>IF(ISNUMBER(SEARCH("#",B1229)),VALUE(MID(B1229,FIND("#",B1229)+1,1000)),1)</f>
        <v>34</v>
      </c>
      <c r="H1229" s="10" t="s">
        <v>11785</v>
      </c>
    </row>
    <row r="1230" spans="1:8" ht="15.75" thickBot="1" x14ac:dyDescent="0.3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>IF(ISNUMBER(SEARCH("#",B1230)),VALUE(MID(B1230,FIND("#",B1230)+1,1000)),1)</f>
        <v>35</v>
      </c>
      <c r="H1230" s="10" t="s">
        <v>11786</v>
      </c>
    </row>
    <row r="1231" spans="1:8" ht="15.75" thickBot="1" x14ac:dyDescent="0.3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>IF(ISNUMBER(SEARCH("#",B1231)),VALUE(MID(B1231,FIND("#",B1231)+1,1000)),1)</f>
        <v>36</v>
      </c>
      <c r="H1231" s="10" t="s">
        <v>11787</v>
      </c>
    </row>
    <row r="1232" spans="1:8" ht="15.75" thickBot="1" x14ac:dyDescent="0.3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>IF(ISNUMBER(SEARCH("#",B1232)),VALUE(MID(B1232,FIND("#",B1232)+1,1000)),1)</f>
        <v>37</v>
      </c>
      <c r="H1232" s="10" t="s">
        <v>11788</v>
      </c>
    </row>
    <row r="1233" spans="1:8" ht="15.75" thickBot="1" x14ac:dyDescent="0.3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>IF(ISNUMBER(SEARCH("#",B1233)),VALUE(MID(B1233,FIND("#",B1233)+1,1000)),1)</f>
        <v>38</v>
      </c>
      <c r="H1233" s="10" t="s">
        <v>11789</v>
      </c>
    </row>
    <row r="1234" spans="1:8" ht="15.75" thickBot="1" x14ac:dyDescent="0.3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>IF(ISNUMBER(SEARCH("#",B1234)),VALUE(MID(B1234,FIND("#",B1234)+1,1000)),1)</f>
        <v>39</v>
      </c>
      <c r="H1234" s="10" t="s">
        <v>11790</v>
      </c>
    </row>
    <row r="1235" spans="1:8" ht="15.75" thickBot="1" x14ac:dyDescent="0.3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>IF(ISNUMBER(SEARCH("#",B1235)),VALUE(MID(B1235,FIND("#",B1235)+1,1000)),1)</f>
        <v>40</v>
      </c>
      <c r="H1235" s="10" t="s">
        <v>11791</v>
      </c>
    </row>
    <row r="1236" spans="1:8" ht="15.75" thickBot="1" x14ac:dyDescent="0.3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>IF(ISNUMBER(SEARCH("#",B1236)),VALUE(MID(B1236,FIND("#",B1236)+1,1000)),1)</f>
        <v>41</v>
      </c>
      <c r="H1236" s="10" t="s">
        <v>11792</v>
      </c>
    </row>
    <row r="1237" spans="1:8" ht="15.75" thickBot="1" x14ac:dyDescent="0.3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>IF(ISNUMBER(SEARCH("#",B1237)),VALUE(MID(B1237,FIND("#",B1237)+1,1000)),1)</f>
        <v>42</v>
      </c>
      <c r="H1237" s="10" t="s">
        <v>11793</v>
      </c>
    </row>
    <row r="1238" spans="1:8" ht="15.75" thickBot="1" x14ac:dyDescent="0.3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>IF(ISNUMBER(SEARCH("#",B1238)),VALUE(MID(B1238,FIND("#",B1238)+1,1000)),1)</f>
        <v>43</v>
      </c>
      <c r="H1238" s="10" t="s">
        <v>11794</v>
      </c>
    </row>
    <row r="1239" spans="1:8" ht="15.75" thickBot="1" x14ac:dyDescent="0.3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>IF(ISNUMBER(SEARCH("#",B1239)),VALUE(MID(B1239,FIND("#",B1239)+1,1000)),1)</f>
        <v>44</v>
      </c>
      <c r="H1239" s="10" t="s">
        <v>11795</v>
      </c>
    </row>
    <row r="1240" spans="1:8" ht="15.75" thickBot="1" x14ac:dyDescent="0.3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>IF(ISNUMBER(SEARCH("#",B1240)),VALUE(MID(B1240,FIND("#",B1240)+1,1000)),1)</f>
        <v>45</v>
      </c>
      <c r="H1240" s="10" t="s">
        <v>11796</v>
      </c>
    </row>
    <row r="1241" spans="1:8" ht="15.75" thickBot="1" x14ac:dyDescent="0.3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>IF(ISNUMBER(SEARCH("#",B1241)),VALUE(MID(B1241,FIND("#",B1241)+1,1000)),1)</f>
        <v>46</v>
      </c>
      <c r="H1241" s="10" t="s">
        <v>11797</v>
      </c>
    </row>
    <row r="1242" spans="1:8" ht="15.75" thickBot="1" x14ac:dyDescent="0.3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>IF(ISNUMBER(SEARCH("#",B1242)),VALUE(MID(B1242,FIND("#",B1242)+1,1000)),1)</f>
        <v>47</v>
      </c>
      <c r="H1242" s="10" t="s">
        <v>11798</v>
      </c>
    </row>
    <row r="1243" spans="1:8" ht="15.75" thickBot="1" x14ac:dyDescent="0.3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>IF(ISNUMBER(SEARCH("#",B1243)),VALUE(MID(B1243,FIND("#",B1243)+1,1000)),1)</f>
        <v>48</v>
      </c>
      <c r="H1243" s="10" t="s">
        <v>11799</v>
      </c>
    </row>
    <row r="1244" spans="1:8" ht="15.75" thickBot="1" x14ac:dyDescent="0.3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>IF(ISNUMBER(SEARCH("#",B1244)),VALUE(MID(B1244,FIND("#",B1244)+1,1000)),1)</f>
        <v>49</v>
      </c>
      <c r="H1244" s="10" t="s">
        <v>11800</v>
      </c>
    </row>
    <row r="1245" spans="1:8" ht="15.75" thickBot="1" x14ac:dyDescent="0.3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>IF(ISNUMBER(SEARCH("#",B1245)),VALUE(MID(B1245,FIND("#",B1245)+1,1000)),1)</f>
        <v>50</v>
      </c>
      <c r="H1245" s="10" t="s">
        <v>11801</v>
      </c>
    </row>
    <row r="1246" spans="1:8" ht="15.75" thickBot="1" x14ac:dyDescent="0.3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>IF(ISNUMBER(SEARCH("#",B1246)),VALUE(MID(B1246,FIND("#",B1246)+1,1000)),1)</f>
        <v>51</v>
      </c>
      <c r="H1246" s="10" t="s">
        <v>11802</v>
      </c>
    </row>
    <row r="1247" spans="1:8" ht="15.75" thickBot="1" x14ac:dyDescent="0.3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>IF(ISNUMBER(SEARCH("#",B1247)),VALUE(MID(B1247,FIND("#",B1247)+1,1000)),1)</f>
        <v>52</v>
      </c>
      <c r="H1247" s="10" t="s">
        <v>11803</v>
      </c>
    </row>
    <row r="1248" spans="1:8" ht="15.75" thickBot="1" x14ac:dyDescent="0.3">
      <c r="A1248" s="30" t="s">
        <v>11245</v>
      </c>
      <c r="B1248" s="10" t="s">
        <v>11559</v>
      </c>
      <c r="C1248" s="30"/>
      <c r="D1248" s="31" t="s">
        <v>11244</v>
      </c>
      <c r="E1248" s="39"/>
      <c r="F1248" s="10" t="s">
        <v>11559</v>
      </c>
      <c r="G1248" s="26">
        <f>IF(ISNUMBER(SEARCH("#",B1248)),VALUE(MID(B1248,FIND("#",B1248)+1,1000)),1)</f>
        <v>1</v>
      </c>
      <c r="H1248" s="10" t="s">
        <v>11559</v>
      </c>
    </row>
    <row r="1249" spans="1:8" ht="15.75" thickBot="1" x14ac:dyDescent="0.3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>IF(ISNUMBER(SEARCH("#",B1249)),VALUE(MID(B1249,FIND("#",B1249)+1,1000)),1)</f>
        <v>1</v>
      </c>
      <c r="H1249" s="10" t="s">
        <v>11560</v>
      </c>
    </row>
    <row r="1250" spans="1:8" ht="15.75" thickBot="1" x14ac:dyDescent="0.3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>IF(ISNUMBER(SEARCH("#",B1250)),VALUE(MID(B1250,FIND("#",B1250)+1,1000)),1)</f>
        <v>1</v>
      </c>
      <c r="H1250" s="10" t="s">
        <v>11561</v>
      </c>
    </row>
    <row r="1251" spans="1:8" ht="15.75" thickBot="1" x14ac:dyDescent="0.3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>IF(ISNUMBER(SEARCH("#",B1251)),VALUE(MID(B1251,FIND("#",B1251)+1,1000)),1)</f>
        <v>1</v>
      </c>
      <c r="H1251" s="10" t="s">
        <v>11562</v>
      </c>
    </row>
    <row r="1252" spans="1:8" ht="15.75" thickBot="1" x14ac:dyDescent="0.3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>IF(ISNUMBER(SEARCH("#",B1252)),VALUE(MID(B1252,FIND("#",B1252)+1,1000)),1)</f>
        <v>1</v>
      </c>
      <c r="H1252" s="10" t="s">
        <v>11563</v>
      </c>
    </row>
    <row r="1253" spans="1:8" ht="15.75" thickBot="1" x14ac:dyDescent="0.3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>IF(ISNUMBER(SEARCH("#",B1253)),VALUE(MID(B1253,FIND("#",B1253)+1,1000)),1)</f>
        <v>1</v>
      </c>
      <c r="H1253" t="s">
        <v>11564</v>
      </c>
    </row>
    <row r="1254" spans="1:8" ht="15.75" thickBot="1" x14ac:dyDescent="0.3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>IF(ISNUMBER(SEARCH("#",B1254)),VALUE(MID(B1254,FIND("#",B1254)+1,1000)),1)</f>
        <v>1</v>
      </c>
      <c r="H1254" t="s">
        <v>11565</v>
      </c>
    </row>
    <row r="1255" spans="1:8" ht="15.75" thickBot="1" x14ac:dyDescent="0.3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>IF(ISNUMBER(SEARCH("#",B1255)),VALUE(MID(B1255,FIND("#",B1255)+1,1000)),1)</f>
        <v>1</v>
      </c>
      <c r="H1255" s="10" t="s">
        <v>11566</v>
      </c>
    </row>
    <row r="1256" spans="1:8" ht="15.75" thickBot="1" x14ac:dyDescent="0.3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>IF(ISNUMBER(SEARCH("#",B1256)),VALUE(MID(B1256,FIND("#",B1256)+1,1000)),1)</f>
        <v>1</v>
      </c>
      <c r="H1256" s="10" t="s">
        <v>11567</v>
      </c>
    </row>
    <row r="1257" spans="1:8" ht="15.75" thickBot="1" x14ac:dyDescent="0.3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>IF(ISNUMBER(SEARCH("#",B1257)),VALUE(MID(B1257,FIND("#",B1257)+1,1000)),1)</f>
        <v>1</v>
      </c>
      <c r="H1257" s="10" t="s">
        <v>11566</v>
      </c>
    </row>
    <row r="1258" spans="1:8" ht="15.75" thickBot="1" x14ac:dyDescent="0.3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>IF(ISNUMBER(SEARCH("#",B1258)),VALUE(MID(B1258,FIND("#",B1258)+1,1000)),1)</f>
        <v>1</v>
      </c>
      <c r="H1258" s="10" t="s">
        <v>11566</v>
      </c>
    </row>
    <row r="1259" spans="1:8" ht="15.75" thickBot="1" x14ac:dyDescent="0.3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>IF(ISNUMBER(SEARCH("#",B1259)),VALUE(MID(B1259,FIND("#",B1259)+1,1000)),1)</f>
        <v>1</v>
      </c>
      <c r="H1259" s="10" t="s">
        <v>11566</v>
      </c>
    </row>
    <row r="1260" spans="1:8" ht="15.75" thickBot="1" x14ac:dyDescent="0.3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>IF(ISNUMBER(SEARCH("#",B1260)),VALUE(MID(B1260,FIND("#",B1260)+1,1000)),1)</f>
        <v>1</v>
      </c>
      <c r="H1260" s="10" t="s">
        <v>11568</v>
      </c>
    </row>
    <row r="1261" spans="1:8" ht="15.75" thickBot="1" x14ac:dyDescent="0.3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>IF(ISNUMBER(SEARCH("#",B1261)),VALUE(MID(B1261,FIND("#",B1261)+1,1000)),1)</f>
        <v>2</v>
      </c>
      <c r="H1261" s="10" t="s">
        <v>11569</v>
      </c>
    </row>
    <row r="1262" spans="1:8" ht="15.75" thickBot="1" x14ac:dyDescent="0.3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>IF(ISNUMBER(SEARCH("#",B1262)),VALUE(MID(B1262,FIND("#",B1262)+1,1000)),1)</f>
        <v>1</v>
      </c>
      <c r="H1262" s="10" t="s">
        <v>11570</v>
      </c>
    </row>
    <row r="1263" spans="1:8" ht="15.75" thickBot="1" x14ac:dyDescent="0.3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>IF(ISNUMBER(SEARCH("#",B1263)),VALUE(MID(B1263,FIND("#",B1263)+1,1000)),1)</f>
        <v>1</v>
      </c>
      <c r="H1263" s="10" t="s">
        <v>11571</v>
      </c>
    </row>
    <row r="1264" spans="1:8" ht="15.75" thickBot="1" x14ac:dyDescent="0.3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>IF(ISNUMBER(SEARCH("#",B1264)),VALUE(MID(B1264,FIND("#",B1264)+1,1000)),1)</f>
        <v>1</v>
      </c>
      <c r="H1264" s="10" t="s">
        <v>11572</v>
      </c>
    </row>
    <row r="1265" spans="1:8" ht="15.75" thickBot="1" x14ac:dyDescent="0.3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>IF(ISNUMBER(SEARCH("#",B1265)),VALUE(MID(B1265,FIND("#",B1265)+1,1000)),1)</f>
        <v>1</v>
      </c>
      <c r="H1265" s="10" t="s">
        <v>11564</v>
      </c>
    </row>
    <row r="1266" spans="1:8" ht="15.75" thickBot="1" x14ac:dyDescent="0.3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>IF(ISNUMBER(SEARCH("#",B1266)),VALUE(MID(B1266,FIND("#",B1266)+1,1000)),1)</f>
        <v>1</v>
      </c>
      <c r="H1266" s="10" t="s">
        <v>11573</v>
      </c>
    </row>
    <row r="1267" spans="1:8" ht="15.75" thickBot="1" x14ac:dyDescent="0.3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>IF(ISNUMBER(SEARCH("#",B1267)),VALUE(MID(B1267,FIND("#",B1267)+1,1000)),1)</f>
        <v>2</v>
      </c>
      <c r="H1267" s="10" t="s">
        <v>11574</v>
      </c>
    </row>
    <row r="1268" spans="1:8" ht="15.75" thickBot="1" x14ac:dyDescent="0.3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>IF(ISNUMBER(SEARCH("#",B1268)),VALUE(MID(B1268,FIND("#",B1268)+1,1000)),1)</f>
        <v>1</v>
      </c>
      <c r="H1268" s="10" t="s">
        <v>11575</v>
      </c>
    </row>
    <row r="1269" spans="1:8" ht="15.75" thickBot="1" x14ac:dyDescent="0.3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>IF(ISNUMBER(SEARCH("#",B1269)),VALUE(MID(B1269,FIND("#",B1269)+1,1000)),1)</f>
        <v>1</v>
      </c>
      <c r="H1269" s="10" t="s">
        <v>11576</v>
      </c>
    </row>
    <row r="1270" spans="1:8" ht="15.75" thickBot="1" x14ac:dyDescent="0.3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>IF(ISNUMBER(SEARCH("#",B1270)),VALUE(MID(B1270,FIND("#",B1270)+1,1000)),1)</f>
        <v>1</v>
      </c>
      <c r="H1270" s="10" t="s">
        <v>11577</v>
      </c>
    </row>
    <row r="1271" spans="1:8" ht="15.75" thickBot="1" x14ac:dyDescent="0.3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>IF(ISNUMBER(SEARCH("#",B1271)),VALUE(MID(B1271,FIND("#",B1271)+1,1000)),1)</f>
        <v>1</v>
      </c>
      <c r="H1271" s="10" t="s">
        <v>11578</v>
      </c>
    </row>
    <row r="1272" spans="1:8" ht="15.75" thickBot="1" x14ac:dyDescent="0.3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>IF(ISNUMBER(SEARCH("#",B1272)),VALUE(MID(B1272,FIND("#",B1272)+1,1000)),1)</f>
        <v>2</v>
      </c>
      <c r="H1272" s="10" t="s">
        <v>11579</v>
      </c>
    </row>
    <row r="1273" spans="1:8" ht="15.75" thickBot="1" x14ac:dyDescent="0.3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>IF(ISNUMBER(SEARCH("#",B1273)),VALUE(MID(B1273,FIND("#",B1273)+1,1000)),1)</f>
        <v>3</v>
      </c>
      <c r="H1273" s="10" t="s">
        <v>11580</v>
      </c>
    </row>
    <row r="1274" spans="1:8" ht="15.75" thickBot="1" x14ac:dyDescent="0.3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>IF(ISNUMBER(SEARCH("#",B1274)),VALUE(MID(B1274,FIND("#",B1274)+1,1000)),1)</f>
        <v>4</v>
      </c>
      <c r="H1274" s="10" t="s">
        <v>11581</v>
      </c>
    </row>
    <row r="1275" spans="1:8" ht="15.75" thickBot="1" x14ac:dyDescent="0.3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>IF(ISNUMBER(SEARCH("#",B1275)),VALUE(MID(B1275,FIND("#",B1275)+1,1000)),1)</f>
        <v>1</v>
      </c>
      <c r="H1275" s="10" t="s">
        <v>11582</v>
      </c>
    </row>
    <row r="1276" spans="1:8" ht="15.75" thickBot="1" x14ac:dyDescent="0.3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>IF(ISNUMBER(SEARCH("#",B1276)),VALUE(MID(B1276,FIND("#",B1276)+1,1000)),1)</f>
        <v>1</v>
      </c>
      <c r="H1276" s="10" t="s">
        <v>11583</v>
      </c>
    </row>
    <row r="1277" spans="1:8" ht="15.75" thickBot="1" x14ac:dyDescent="0.3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>IF(ISNUMBER(SEARCH("#",B1277)),VALUE(MID(B1277,FIND("#",B1277)+1,1000)),1)</f>
        <v>1</v>
      </c>
      <c r="H1277" s="10" t="s">
        <v>11584</v>
      </c>
    </row>
    <row r="1278" spans="1:8" ht="15.75" thickBot="1" x14ac:dyDescent="0.3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>IF(ISNUMBER(SEARCH("#",B1278)),VALUE(MID(B1278,FIND("#",B1278)+1,1000)),1)</f>
        <v>1</v>
      </c>
      <c r="H1278" s="10" t="s">
        <v>11585</v>
      </c>
    </row>
    <row r="1279" spans="1:8" ht="15.75" thickBot="1" x14ac:dyDescent="0.3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>IF(ISNUMBER(SEARCH("#",B1279)),VALUE(MID(B1279,FIND("#",B1279)+1,1000)),1)</f>
        <v>1</v>
      </c>
      <c r="H1279" s="10" t="s">
        <v>11587</v>
      </c>
    </row>
    <row r="1280" spans="1:8" ht="15.75" thickBot="1" x14ac:dyDescent="0.3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>IF(ISNUMBER(SEARCH("#",B1280)),VALUE(MID(B1280,FIND("#",B1280)+1,1000)),1)</f>
        <v>2</v>
      </c>
      <c r="H1280" s="10" t="s">
        <v>11588</v>
      </c>
    </row>
    <row r="1281" spans="1:8" ht="15.75" thickBot="1" x14ac:dyDescent="0.3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>IF(ISNUMBER(SEARCH("#",B1281)),VALUE(MID(B1281,FIND("#",B1281)+1,1000)),1)</f>
        <v>1</v>
      </c>
      <c r="H1281" s="10" t="s">
        <v>11589</v>
      </c>
    </row>
    <row r="1282" spans="1:8" ht="15.75" thickBot="1" x14ac:dyDescent="0.3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>IF(ISNUMBER(SEARCH("#",B1282)),VALUE(MID(B1282,FIND("#",B1282)+1,1000)),1)</f>
        <v>1</v>
      </c>
      <c r="H1282" s="10" t="s">
        <v>11590</v>
      </c>
    </row>
    <row r="1283" spans="1:8" ht="15.75" thickBot="1" x14ac:dyDescent="0.3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>IF(ISNUMBER(SEARCH("#",B1283)),VALUE(MID(B1283,FIND("#",B1283)+1,1000)),1)</f>
        <v>1</v>
      </c>
      <c r="H1283" s="10" t="s">
        <v>11591</v>
      </c>
    </row>
    <row r="1284" spans="1:8" ht="15.75" thickBot="1" x14ac:dyDescent="0.3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>IF(ISNUMBER(SEARCH("#",B1284)),VALUE(MID(B1284,FIND("#",B1284)+1,1000)),1)</f>
        <v>1</v>
      </c>
      <c r="H1284" s="10" t="s">
        <v>11592</v>
      </c>
    </row>
    <row r="1285" spans="1:8" ht="15.75" thickBot="1" x14ac:dyDescent="0.3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>IF(ISNUMBER(SEARCH("#",B1285)),VALUE(MID(B1285,FIND("#",B1285)+1,1000)),1)</f>
        <v>1</v>
      </c>
      <c r="H1285" s="10" t="s">
        <v>11593</v>
      </c>
    </row>
    <row r="1286" spans="1:8" ht="15.75" thickBot="1" x14ac:dyDescent="0.3">
      <c r="A1286" s="30" t="s">
        <v>11213</v>
      </c>
      <c r="B1286" s="10" t="s">
        <v>11531</v>
      </c>
      <c r="C1286" s="30"/>
      <c r="D1286" s="31" t="s">
        <v>11212</v>
      </c>
      <c r="E1286" s="39"/>
      <c r="F1286" s="10" t="s">
        <v>11531</v>
      </c>
      <c r="G1286" s="26">
        <f>IF(ISNUMBER(SEARCH("#",B1286)),VALUE(MID(B1286,FIND("#",B1286)+1,1000)),1)</f>
        <v>1</v>
      </c>
      <c r="H1286" s="10" t="s">
        <v>11531</v>
      </c>
    </row>
    <row r="1287" spans="1:8" ht="15.75" thickBot="1" x14ac:dyDescent="0.3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>IF(ISNUMBER(SEARCH("#",B1287)),VALUE(MID(B1287,FIND("#",B1287)+1,1000)),1)</f>
        <v>1</v>
      </c>
      <c r="H1287" s="10" t="s">
        <v>11528</v>
      </c>
    </row>
    <row r="1288" spans="1:8" ht="15.75" thickBot="1" x14ac:dyDescent="0.3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>IF(ISNUMBER(SEARCH("#",B1288)),VALUE(MID(B1288,FIND("#",B1288)+1,1000)),1)</f>
        <v>1</v>
      </c>
      <c r="H1288" s="10" t="s">
        <v>11529</v>
      </c>
    </row>
    <row r="1289" spans="1:8" ht="15.75" thickBot="1" x14ac:dyDescent="0.3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>IF(ISNUMBER(SEARCH("#",B1289)),VALUE(MID(B1289,FIND("#",B1289)+1,1000)),1)</f>
        <v>1</v>
      </c>
      <c r="H1289" s="10" t="s">
        <v>11530</v>
      </c>
    </row>
    <row r="1290" spans="1:8" ht="15.75" thickBot="1" x14ac:dyDescent="0.3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>IF(ISNUMBER(SEARCH("#",B1290)),VALUE(MID(B1290,FIND("#",B1290)+1,1000)),1)</f>
        <v>1</v>
      </c>
      <c r="H1290" s="10" t="s">
        <v>11531</v>
      </c>
    </row>
    <row r="1291" spans="1:8" ht="15.75" thickBot="1" x14ac:dyDescent="0.3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>IF(ISNUMBER(SEARCH("#",B1291)),VALUE(MID(B1291,FIND("#",B1291)+1,1000)),1)</f>
        <v>1</v>
      </c>
      <c r="H1291" s="10" t="s">
        <v>11532</v>
      </c>
    </row>
    <row r="1292" spans="1:8" ht="15.75" thickBot="1" x14ac:dyDescent="0.3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>IF(ISNUMBER(SEARCH("#",B1292)),VALUE(MID(B1292,FIND("#",B1292)+1,1000)),1)</f>
        <v>1</v>
      </c>
      <c r="H1292" s="10" t="s">
        <v>11534</v>
      </c>
    </row>
    <row r="1293" spans="1:8" ht="15.75" thickBot="1" x14ac:dyDescent="0.3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>IF(ISNUMBER(SEARCH("#",B1293)),VALUE(MID(B1293,FIND("#",B1293)+1,1000)),1)</f>
        <v>1</v>
      </c>
      <c r="H1293" s="10" t="s">
        <v>11533</v>
      </c>
    </row>
    <row r="1294" spans="1:8" ht="15.75" thickBot="1" x14ac:dyDescent="0.3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>IF(ISNUMBER(SEARCH("#",B1294)),VALUE(MID(B1294,FIND("#",B1294)+1,1000)),1)</f>
        <v>1</v>
      </c>
      <c r="H1294" s="10" t="s">
        <v>11535</v>
      </c>
    </row>
    <row r="1295" spans="1:8" ht="15.75" thickBot="1" x14ac:dyDescent="0.3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>IF(ISNUMBER(SEARCH("#",B1295)),VALUE(MID(B1295,FIND("#",B1295)+1,1000)),1)</f>
        <v>2</v>
      </c>
      <c r="H1295" s="10" t="s">
        <v>11536</v>
      </c>
    </row>
    <row r="1296" spans="1:8" ht="15.75" thickBot="1" x14ac:dyDescent="0.3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>IF(ISNUMBER(SEARCH("#",B1296)),VALUE(MID(B1296,FIND("#",B1296)+1,1000)),1)</f>
        <v>3</v>
      </c>
      <c r="H1296" s="10" t="s">
        <v>11537</v>
      </c>
    </row>
    <row r="1297" spans="1:8" ht="15.75" thickBot="1" x14ac:dyDescent="0.3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>IF(ISNUMBER(SEARCH("#",B1297)),VALUE(MID(B1297,FIND("#",B1297)+1,1000)),1)</f>
        <v>4</v>
      </c>
      <c r="H1297" s="10" t="s">
        <v>11538</v>
      </c>
    </row>
    <row r="1298" spans="1:8" ht="15.75" thickBot="1" x14ac:dyDescent="0.3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>IF(ISNUMBER(SEARCH("#",B1298)),VALUE(MID(B1298,FIND("#",B1298)+1,1000)),1)</f>
        <v>5</v>
      </c>
      <c r="H1298" s="10" t="s">
        <v>11539</v>
      </c>
    </row>
    <row r="1299" spans="1:8" ht="15.75" thickBot="1" x14ac:dyDescent="0.3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>IF(ISNUMBER(SEARCH("#",B1299)),VALUE(MID(B1299,FIND("#",B1299)+1,1000)),1)</f>
        <v>1</v>
      </c>
      <c r="H1299" s="10" t="s">
        <v>11540</v>
      </c>
    </row>
    <row r="1300" spans="1:8" ht="15.75" thickBot="1" x14ac:dyDescent="0.3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>IF(ISNUMBER(SEARCH("#",B1300)),VALUE(MID(B1300,FIND("#",B1300)+1,1000)),1)</f>
        <v>1</v>
      </c>
      <c r="H1300" s="10" t="s">
        <v>11541</v>
      </c>
    </row>
    <row r="1301" spans="1:8" ht="15.75" thickBot="1" x14ac:dyDescent="0.3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>IF(ISNUMBER(SEARCH("#",B1301)),VALUE(MID(B1301,FIND("#",B1301)+1,1000)),1)</f>
        <v>2</v>
      </c>
      <c r="H1301" s="10" t="s">
        <v>11542</v>
      </c>
    </row>
    <row r="1302" spans="1:8" ht="15.75" thickBot="1" x14ac:dyDescent="0.3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>IF(ISNUMBER(SEARCH("#",B1302)),VALUE(MID(B1302,FIND("#",B1302)+1,1000)),1)</f>
        <v>3</v>
      </c>
      <c r="H1302" s="10" t="s">
        <v>11543</v>
      </c>
    </row>
    <row r="1303" spans="1:8" ht="15.75" thickBot="1" x14ac:dyDescent="0.3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>IF(ISNUMBER(SEARCH("#",B1303)),VALUE(MID(B1303,FIND("#",B1303)+1,1000)),1)</f>
        <v>1</v>
      </c>
      <c r="H1303" s="10" t="s">
        <v>11547</v>
      </c>
    </row>
    <row r="1304" spans="1:8" ht="15.75" thickBot="1" x14ac:dyDescent="0.3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>IF(ISNUMBER(SEARCH("#",B1304)),VALUE(MID(B1304,FIND("#",B1304)+1,1000)),1)</f>
        <v>1</v>
      </c>
      <c r="H1304" s="10" t="s">
        <v>11545</v>
      </c>
    </row>
    <row r="1305" spans="1:8" ht="15.75" thickBot="1" x14ac:dyDescent="0.3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>IF(ISNUMBER(SEARCH("#",B1305)),VALUE(MID(B1305,FIND("#",B1305)+1,1000)),1)</f>
        <v>2</v>
      </c>
      <c r="H1305" s="10" t="s">
        <v>11546</v>
      </c>
    </row>
    <row r="1306" spans="1:8" ht="15.75" thickBot="1" x14ac:dyDescent="0.3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>IF(ISNUMBER(SEARCH("#",B1306)),VALUE(MID(B1306,FIND("#",B1306)+1,1000)),1)</f>
        <v>1</v>
      </c>
      <c r="H1306" s="10" t="s">
        <v>11548</v>
      </c>
    </row>
    <row r="1307" spans="1:8" ht="15.75" thickBot="1" x14ac:dyDescent="0.3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>IF(ISNUMBER(SEARCH("#",B1307)),VALUE(MID(B1307,FIND("#",B1307)+1,1000)),1)</f>
        <v>1</v>
      </c>
      <c r="H1307" s="10" t="s">
        <v>11549</v>
      </c>
    </row>
    <row r="1308" spans="1:8" ht="15.75" thickBot="1" x14ac:dyDescent="0.3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>IF(ISNUMBER(SEARCH("#",B1308)),VALUE(MID(B1308,FIND("#",B1308)+1,1000)),1)</f>
        <v>1</v>
      </c>
      <c r="H1308" s="10" t="s">
        <v>11550</v>
      </c>
    </row>
    <row r="1309" spans="1:8" ht="15.75" thickBot="1" x14ac:dyDescent="0.3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>IF(ISNUMBER(SEARCH("#",B1309)),VALUE(MID(B1309,FIND("#",B1309)+1,1000)),1)</f>
        <v>1</v>
      </c>
      <c r="H1309" s="10" t="s">
        <v>11551</v>
      </c>
    </row>
    <row r="1310" spans="1:8" ht="15.75" thickBot="1" x14ac:dyDescent="0.3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>IF(ISNUMBER(SEARCH("#",B1310)),VALUE(MID(B1310,FIND("#",B1310)+1,1000)),1)</f>
        <v>1</v>
      </c>
      <c r="H1310" s="10" t="s">
        <v>11552</v>
      </c>
    </row>
    <row r="1311" spans="1:8" ht="15.75" thickBot="1" x14ac:dyDescent="0.3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>IF(ISNUMBER(SEARCH("#",B1311)),VALUE(MID(B1311,FIND("#",B1311)+1,1000)),1)</f>
        <v>2</v>
      </c>
      <c r="H1311" s="10" t="s">
        <v>11553</v>
      </c>
    </row>
    <row r="1312" spans="1:8" ht="15.75" thickBot="1" x14ac:dyDescent="0.3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>IF(ISNUMBER(SEARCH("#",B1312)),VALUE(MID(B1312,FIND("#",B1312)+1,1000)),1)</f>
        <v>3</v>
      </c>
      <c r="H1312" s="10" t="s">
        <v>11554</v>
      </c>
    </row>
    <row r="1313" spans="1:8" ht="15.75" thickBot="1" x14ac:dyDescent="0.3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>IF(ISNUMBER(SEARCH("#",B1313)),VALUE(MID(B1313,FIND("#",B1313)+1,1000)),1)</f>
        <v>1</v>
      </c>
      <c r="H1313" s="10" t="s">
        <v>11555</v>
      </c>
    </row>
    <row r="1314" spans="1:8" ht="15.75" thickBot="1" x14ac:dyDescent="0.3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>IF(ISNUMBER(SEARCH("#",B1314)),VALUE(MID(B1314,FIND("#",B1314)+1,1000)),1)</f>
        <v>1</v>
      </c>
      <c r="H1314" s="10" t="s">
        <v>11556</v>
      </c>
    </row>
    <row r="1315" spans="1:8" ht="15.75" thickBot="1" x14ac:dyDescent="0.3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>IF(ISNUMBER(SEARCH("#",B1315)),VALUE(MID(B1315,FIND("#",B1315)+1,1000)),1)</f>
        <v>1</v>
      </c>
      <c r="H1315" s="10" t="s">
        <v>11557</v>
      </c>
    </row>
    <row r="1316" spans="1:8" ht="15.75" thickBot="1" x14ac:dyDescent="0.3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>IF(ISNUMBER(SEARCH("#",B1316)),VALUE(MID(B1316,FIND("#",B1316)+1,1000)),1)</f>
        <v>2</v>
      </c>
      <c r="H1316" s="10" t="s">
        <v>11558</v>
      </c>
    </row>
    <row r="1317" spans="1:8" ht="15.75" thickBot="1" x14ac:dyDescent="0.3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>IF(ISNUMBER(SEARCH("#",B1317)), LEFT(B1317,FIND("#",B1317)-1), B1317)</f>
        <v>Art Deco Door L</v>
      </c>
      <c r="G1317" s="26">
        <f>IF(ISNUMBER(SEARCH("#",B1317)),VALUE(MID(B1317,FIND("#",B1317)+1,1000)),1)</f>
        <v>1</v>
      </c>
      <c r="H1317" t="str">
        <f>IF(AND(regexMatch(B1317,".*#[0-9]*$"),ISNUMBER(SEARCH("#",B1317))),CONCATENATE(TRIM(F1317)," #",G1317),B1317)</f>
        <v>Art Deco Door L</v>
      </c>
    </row>
    <row r="1318" spans="1:8" ht="15.75" thickBot="1" x14ac:dyDescent="0.3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>IF(ISNUMBER(SEARCH("#",B1318)), LEFT(B1318,FIND("#",B1318)-1), B1318)</f>
        <v>Art Deco Door R</v>
      </c>
      <c r="G1318" s="26">
        <f>IF(ISNUMBER(SEARCH("#",B1318)),VALUE(MID(B1318,FIND("#",B1318)+1,1000)),1)</f>
        <v>1</v>
      </c>
      <c r="H1318" t="str">
        <f>IF(AND(regexMatch(B1318,".*#[0-9]*$"),ISNUMBER(SEARCH("#",B1318))),CONCATENATE(TRIM(F1318)," #",G1318),B1318)</f>
        <v>Art Deco Door R</v>
      </c>
    </row>
    <row r="1319" spans="1:8" ht="15.75" thickBot="1" x14ac:dyDescent="0.3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>IF(ISNUMBER(SEARCH("#",B1319)), LEFT(B1319,FIND("#",B1319)-1), B1319)</f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.75" thickBot="1" x14ac:dyDescent="0.3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>IF(ISNUMBER(SEARCH("#",B1320)), LEFT(B1320,FIND("#",B1320)-1), B1320)</f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.75" thickBot="1" x14ac:dyDescent="0.3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>IF(ISNUMBER(SEARCH("#",B1321)), LEFT(B1321,FIND("#",B1321)-1), B1321)</f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.75" thickBot="1" x14ac:dyDescent="0.3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>IF(ISNUMBER(SEARCH("#",B1322)), LEFT(B1322,FIND("#",B1322)-1), B1322)</f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.75" thickBot="1" x14ac:dyDescent="0.3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>IF(ISNUMBER(SEARCH("#",B1323)), LEFT(B1323,FIND("#",B1323)-1), B1323)</f>
        <v>Audition Trailer Door</v>
      </c>
      <c r="G1323" s="26">
        <f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.75" thickBot="1" x14ac:dyDescent="0.3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>IF(ISNUMBER(SEARCH("#",B1324)), LEFT(B1324,FIND("#",B1324)-1), B1324)</f>
        <v>Back Door L</v>
      </c>
      <c r="G1324" s="26">
        <f>IF(ISNUMBER(SEARCH("#",B1324)),VALUE(MID(B1324,FIND("#",B1324)+1,1000)),1)</f>
        <v>1</v>
      </c>
      <c r="H1324" t="str">
        <f>IF(AND(regexMatch(B1324,".*#[0-9]*$"),ISNUMBER(SEARCH("#",B1324))),CONCATENATE(TRIM(F1324)," #",G1324),B1324)</f>
        <v>Back Door L</v>
      </c>
    </row>
    <row r="1325" spans="1:8" ht="15.75" thickBot="1" x14ac:dyDescent="0.3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>IF(ISNUMBER(SEARCH("#",B1325)), LEFT(B1325,FIND("#",B1325)-1), B1325)</f>
        <v>Back Door R</v>
      </c>
      <c r="G1325" s="26">
        <f>IF(ISNUMBER(SEARCH("#",B1325)),VALUE(MID(B1325,FIND("#",B1325)+1,1000)),1)</f>
        <v>1</v>
      </c>
      <c r="H1325" t="str">
        <f>IF(AND(regexMatch(B1325,".*#[0-9]*$"),ISNUMBER(SEARCH("#",B1325))),CONCATENATE(TRIM(F1325)," #",G1325),B1325)</f>
        <v>Back Door R</v>
      </c>
    </row>
    <row r="1326" spans="1:8" ht="15.75" thickBot="1" x14ac:dyDescent="0.3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>IF(ISNUMBER(SEARCH("#",B1326)), LEFT(B1326,FIND("#",B1326)-1), B1326)</f>
        <v xml:space="preserve">Bank Doors </v>
      </c>
      <c r="G1326" s="26">
        <f>IF(ISNUMBER(SEARCH("#",B1326)),VALUE(MID(B1326,FIND("#",B1326)+1,1000)),1)</f>
        <v>1</v>
      </c>
      <c r="H1326" t="str">
        <f>IF(AND(regexMatch(B1326,".*#[0-9]*$"),ISNUMBER(SEARCH("#",B1326))),CONCATENATE(TRIM(F1326)," #",G1326),B1326)</f>
        <v>Bank Doors #1</v>
      </c>
    </row>
    <row r="1327" spans="1:8" ht="15.75" thickBot="1" x14ac:dyDescent="0.3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>IF(ISNUMBER(SEARCH("#",B1327)), LEFT(B1327,FIND("#",B1327)-1), B1327)</f>
        <v xml:space="preserve">Bank Doors </v>
      </c>
      <c r="G1327" s="26">
        <f>IF(ISNUMBER(SEARCH("#",B1327)),VALUE(MID(B1327,FIND("#",B1327)+1,1000)),1)</f>
        <v>2</v>
      </c>
      <c r="H1327" t="str">
        <f>IF(AND(regexMatch(B1327,".*#[0-9]*$"),ISNUMBER(SEARCH("#",B1327))),CONCATENATE(TRIM(F1327)," #",G1327),B1327)</f>
        <v>Bank Doors #2</v>
      </c>
    </row>
    <row r="1328" spans="1:8" ht="15.75" thickBot="1" x14ac:dyDescent="0.3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>IF(ISNUMBER(SEARCH("#",B1328)), LEFT(B1328,FIND("#",B1328)-1), B1328)</f>
        <v>Bank Shutter</v>
      </c>
      <c r="G1328" s="26">
        <f>IF(ISNUMBER(SEARCH("#",B1328)),VALUE(MID(B1328,FIND("#",B1328)+1,1000)),1)</f>
        <v>1</v>
      </c>
      <c r="H1328" t="str">
        <f>IF(AND(regexMatch(B1328,".*#[0-9]*$"),ISNUMBER(SEARCH("#",B1328))),CONCATENATE(TRIM(F1328)," #",G1328),B1328)</f>
        <v>Bank Shutter</v>
      </c>
    </row>
    <row r="1329" spans="1:8" ht="15.75" thickBot="1" x14ac:dyDescent="0.3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>IF(ISNUMBER(SEARCH("#",B1329)), LEFT(B1329,FIND("#",B1329)-1), B1329)</f>
        <v>Bank Vault Door</v>
      </c>
      <c r="G1329" s="26">
        <f>IF(ISNUMBER(SEARCH("#",B1329)),VALUE(MID(B1329,FIND("#",B1329)+1,1000)),1)</f>
        <v>1</v>
      </c>
      <c r="H1329" t="str">
        <f>IF(AND(regexMatch(B1329,".*#[0-9]*$"),ISNUMBER(SEARCH("#",B1329))),CONCATENATE(TRIM(F1329)," #",G1329),B1329)</f>
        <v>Bank Vault Door</v>
      </c>
    </row>
    <row r="1330" spans="1:8" ht="15.75" thickBot="1" x14ac:dyDescent="0.3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>IF(ISNUMBER(SEARCH("#",B1330)), LEFT(B1330,FIND("#",B1330)-1), B1330)</f>
        <v>Barn Door L</v>
      </c>
      <c r="G1330" s="26">
        <f>IF(ISNUMBER(SEARCH("#",B1330)),VALUE(MID(B1330,FIND("#",B1330)+1,1000)),1)</f>
        <v>1</v>
      </c>
      <c r="H1330" t="str">
        <f>IF(AND(regexMatch(B1330,".*#[0-9]*$"),ISNUMBER(SEARCH("#",B1330))),CONCATENATE(TRIM(F1330)," #",G1330),B1330)</f>
        <v>Barn Door L</v>
      </c>
    </row>
    <row r="1331" spans="1:8" ht="15.75" thickBot="1" x14ac:dyDescent="0.3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>IF(ISNUMBER(SEARCH("#",B1331)), LEFT(B1331,FIND("#",B1331)-1), B1331)</f>
        <v>Barn Door R</v>
      </c>
      <c r="G1331" s="26">
        <f>IF(ISNUMBER(SEARCH("#",B1331)),VALUE(MID(B1331,FIND("#",B1331)+1,1000)),1)</f>
        <v>1</v>
      </c>
      <c r="H1331" t="str">
        <f>IF(AND(regexMatch(B1331,".*#[0-9]*$"),ISNUMBER(SEARCH("#",B1331))),CONCATENATE(TRIM(F1331)," #",G1331),B1331)</f>
        <v>Barn Door R</v>
      </c>
    </row>
    <row r="1332" spans="1:8" ht="15.75" thickBot="1" x14ac:dyDescent="0.3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>IF(ISNUMBER(SEARCH("#",B1332)), LEFT(B1332,FIND("#",B1332)-1), B1332)</f>
        <v>Biolab Garage Door</v>
      </c>
      <c r="G1332" s="26">
        <f>IF(ISNUMBER(SEARCH("#",B1332)),VALUE(MID(B1332,FIND("#",B1332)+1,1000)),1)</f>
        <v>1</v>
      </c>
      <c r="H1332" t="str">
        <f>IF(AND(regexMatch(B1332,".*#[0-9]*$"),ISNUMBER(SEARCH("#",B1332))),CONCATENATE(TRIM(F1332)," #",G1332),B1332)</f>
        <v>Biolab Garage Door</v>
      </c>
    </row>
    <row r="1333" spans="1:8" ht="15.75" thickBot="1" x14ac:dyDescent="0.3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>IF(ISNUMBER(SEARCH("#",B1333)), LEFT(B1333,FIND("#",B1333)-1), B1333)</f>
        <v>Casino Door L</v>
      </c>
      <c r="G1333" s="26">
        <f>IF(ISNUMBER(SEARCH("#",B1333)),VALUE(MID(B1333,FIND("#",B1333)+1,1000)),1)</f>
        <v>1</v>
      </c>
      <c r="H1333" t="str">
        <f>IF(AND(regexMatch(B1333,".*#[0-9]*$"),ISNUMBER(SEARCH("#",B1333))),CONCATENATE(TRIM(F1333)," #",G1333),B1333)</f>
        <v>Casino Door L</v>
      </c>
    </row>
    <row r="1334" spans="1:8" ht="15.75" thickBot="1" x14ac:dyDescent="0.3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>IF(ISNUMBER(SEARCH("#",B1334)), LEFT(B1334,FIND("#",B1334)-1), B1334)</f>
        <v>Casino Door R</v>
      </c>
      <c r="G1334" s="26">
        <f>IF(ISNUMBER(SEARCH("#",B1334)),VALUE(MID(B1334,FIND("#",B1334)+1,1000)),1)</f>
        <v>1</v>
      </c>
      <c r="H1334" t="str">
        <f>IF(AND(regexMatch(B1334,".*#[0-9]*$"),ISNUMBER(SEARCH("#",B1334))),CONCATENATE(TRIM(F1334)," #",G1334),B1334)</f>
        <v>Casino Door R</v>
      </c>
    </row>
    <row r="1335" spans="1:8" ht="15.75" thickBot="1" x14ac:dyDescent="0.3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>IF(ISNUMBER(SEARCH("#",B1335)), LEFT(B1335,FIND("#",B1335)-1), B1335)</f>
        <v>Centre Door L</v>
      </c>
      <c r="G1335" s="26">
        <f>IF(ISNUMBER(SEARCH("#",B1335)),VALUE(MID(B1335,FIND("#",B1335)+1,1000)),1)</f>
        <v>1</v>
      </c>
      <c r="H1335" t="str">
        <f>IF(AND(regexMatch(B1335,".*#[0-9]*$"),ISNUMBER(SEARCH("#",B1335))),CONCATENATE(TRIM(F1335)," #",G1335),B1335)</f>
        <v>Centre Door L</v>
      </c>
    </row>
    <row r="1336" spans="1:8" ht="15.75" thickBot="1" x14ac:dyDescent="0.3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>IF(ISNUMBER(SEARCH("#",B1336)), LEFT(B1336,FIND("#",B1336)-1), B1336)</f>
        <v>Centre Door R</v>
      </c>
      <c r="G1336" s="26">
        <f>IF(ISNUMBER(SEARCH("#",B1336)),VALUE(MID(B1336,FIND("#",B1336)+1,1000)),1)</f>
        <v>1</v>
      </c>
      <c r="H1336" t="str">
        <f>IF(AND(regexMatch(B1336,".*#[0-9]*$"),ISNUMBER(SEARCH("#",B1336))),CONCATENATE(TRIM(F1336)," #",G1336),B1336)</f>
        <v>Centre Door R</v>
      </c>
    </row>
    <row r="1337" spans="1:8" ht="15.75" thickBot="1" x14ac:dyDescent="0.3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>IF(ISNUMBER(SEARCH("#",B1337)), LEFT(B1337,FIND("#",B1337)-1), B1337)</f>
        <v>Ch 025C Garage Door</v>
      </c>
      <c r="G1337" s="26">
        <f>IF(ISNUMBER(SEARCH("#",B1337)),VALUE(MID(B1337,FIND("#",B1337)+1,1000)),1)</f>
        <v>1</v>
      </c>
      <c r="H1337" t="str">
        <f>IF(AND(regexMatch(B1337,".*#[0-9]*$"),ISNUMBER(SEARCH("#",B1337))),CONCATENATE(TRIM(F1337)," #",G1337),B1337)</f>
        <v>Ch 025C Garage Door</v>
      </c>
    </row>
    <row r="1338" spans="1:8" ht="15.75" thickBot="1" x14ac:dyDescent="0.3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>IF(ISNUMBER(SEARCH("#",B1338)), LEFT(B1338,FIND("#",B1338)-1), B1338)</f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.75" thickBot="1" x14ac:dyDescent="0.3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>IF(ISNUMBER(SEARCH("#",B1339)), LEFT(B1339,FIND("#",B1339)-1), B1339)</f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.75" thickBot="1" x14ac:dyDescent="0.3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>IF(ISNUMBER(SEARCH("#",B1340)), LEFT(B1340,FIND("#",B1340)-1), B1340)</f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.75" thickBot="1" x14ac:dyDescent="0.3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>IF(ISNUMBER(SEARCH("#",B1341)), LEFT(B1341,FIND("#",B1341)-1), B1341)</f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.75" thickBot="1" x14ac:dyDescent="0.3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>IF(ISNUMBER(SEARCH("#",B1342)), LEFT(B1342,FIND("#",B1342)-1), B1342)</f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.75" thickBot="1" x14ac:dyDescent="0.3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>IF(ISNUMBER(SEARCH("#",B1343)), LEFT(B1343,FIND("#",B1343)-1), B1343)</f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.75" thickBot="1" x14ac:dyDescent="0.3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>IF(ISNUMBER(SEARCH("#",B1344)), LEFT(B1344,FIND("#",B1344)-1), B1344)</f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.75" thickBot="1" x14ac:dyDescent="0.3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>IF(ISNUMBER(SEARCH("#",B1345)), LEFT(B1345,FIND("#",B1345)-1), B1345)</f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.75" thickBot="1" x14ac:dyDescent="0.3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>IF(ISNUMBER(SEARCH("#",B1346)), LEFT(B1346,FIND("#",B1346)-1), B1346)</f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.75" thickBot="1" x14ac:dyDescent="0.3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>IF(ISNUMBER(SEARCH("#",B1347)), LEFT(B1347,FIND("#",B1347)-1), B1347)</f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.75" thickBot="1" x14ac:dyDescent="0.3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>IF(ISNUMBER(SEARCH("#",B1348)), LEFT(B1348,FIND("#",B1348)-1), B1348)</f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.75" thickBot="1" x14ac:dyDescent="0.3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>IF(ISNUMBER(SEARCH("#",B1349)), LEFT(B1349,FIND("#",B1349)-1), B1349)</f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.75" thickBot="1" x14ac:dyDescent="0.3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>IF(ISNUMBER(SEARCH("#",B1350)), LEFT(B1350,FIND("#",B1350)-1), B1350)</f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.75" thickBot="1" x14ac:dyDescent="0.3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>IF(ISNUMBER(SEARCH("#",B1351)), LEFT(B1351,FIND("#",B1351)-1), B1351)</f>
        <v xml:space="preserve">Com Garage Door </v>
      </c>
      <c r="G1351" s="26">
        <f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.75" thickBot="1" x14ac:dyDescent="0.3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>IF(ISNUMBER(SEARCH("#",B1352)), LEFT(B1352,FIND("#",B1352)-1), B1352)</f>
        <v xml:space="preserve">Com Ls Door </v>
      </c>
      <c r="G1352" s="26">
        <f>IF(ISNUMBER(SEARCH("#",B1352)),VALUE(MID(B1352,FIND("#",B1352)+1,1000)),1)</f>
        <v>1</v>
      </c>
      <c r="H1352" t="str">
        <f>IF(AND(regexMatch(B1352,".*#[0-9]*$"),ISNUMBER(SEARCH("#",B1352))),CONCATENATE(TRIM(F1352)," #",G1352),B1352)</f>
        <v>Com Ls Door #1</v>
      </c>
    </row>
    <row r="1353" spans="1:8" ht="15.75" thickBot="1" x14ac:dyDescent="0.3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>IF(ISNUMBER(SEARCH("#",B1353)), LEFT(B1353,FIND("#",B1353)-1), B1353)</f>
        <v>Control Room Door</v>
      </c>
      <c r="G1353" s="26">
        <f>IF(ISNUMBER(SEARCH("#",B1353)),VALUE(MID(B1353,FIND("#",B1353)+1,1000)),1)</f>
        <v>1</v>
      </c>
      <c r="H1353" t="str">
        <f>IF(AND(regexMatch(B1353,".*#[0-9]*$"),ISNUMBER(SEARCH("#",B1353))),CONCATENATE(TRIM(F1353)," #",G1353),B1353)</f>
        <v>Control Room Door</v>
      </c>
    </row>
    <row r="1354" spans="1:8" ht="15.75" thickBot="1" x14ac:dyDescent="0.3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>IF(ISNUMBER(SEARCH("#",B1354)), LEFT(B1354,FIND("#",B1354)-1), B1354)</f>
        <v>Cs4 05 Tdoor</v>
      </c>
      <c r="G1354" s="26">
        <f>IF(ISNUMBER(SEARCH("#",B1354)),VALUE(MID(B1354,FIND("#",B1354)+1,1000)),1)</f>
        <v>1</v>
      </c>
      <c r="H1354" t="str">
        <f>IF(AND(regexMatch(B1354,".*#[0-9]*$"),ISNUMBER(SEARCH("#",B1354))),CONCATENATE(TRIM(F1354)," #",G1354),B1354)</f>
        <v>Cs4 05 Tdoor</v>
      </c>
    </row>
    <row r="1355" spans="1:8" ht="15.75" thickBot="1" x14ac:dyDescent="0.3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>IF(ISNUMBER(SEARCH("#",B1355)), LEFT(B1355,FIND("#",B1355)-1), B1355)</f>
        <v xml:space="preserve">Cs4 10 Tr Gd </v>
      </c>
      <c r="G1355" s="26">
        <f>IF(ISNUMBER(SEARCH("#",B1355)),VALUE(MID(B1355,FIND("#",B1355)+1,1000)),1)</f>
        <v>1</v>
      </c>
      <c r="H1355" t="str">
        <f>IF(AND(regexMatch(B1355,".*#[0-9]*$"),ISNUMBER(SEARCH("#",B1355))),CONCATENATE(TRIM(F1355)," #",G1355),B1355)</f>
        <v>Cs4 10 Tr Gd #1</v>
      </c>
    </row>
    <row r="1356" spans="1:8" ht="15.75" thickBot="1" x14ac:dyDescent="0.3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>IF(ISNUMBER(SEARCH("#",B1356)), LEFT(B1356,FIND("#",B1356)-1), B1356)</f>
        <v>Cs4 11 Door</v>
      </c>
      <c r="G1356" s="26">
        <f>IF(ISNUMBER(SEARCH("#",B1356)),VALUE(MID(B1356,FIND("#",B1356)+1,1000)),1)</f>
        <v>1</v>
      </c>
      <c r="H1356" t="str">
        <f>IF(AND(regexMatch(B1356,".*#[0-9]*$"),ISNUMBER(SEARCH("#",B1356))),CONCATENATE(TRIM(F1356)," #",G1356),B1356)</f>
        <v>Cs4 11 Door</v>
      </c>
    </row>
    <row r="1357" spans="1:8" ht="15.75" thickBot="1" x14ac:dyDescent="0.3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>IF(ISNUMBER(SEARCH("#",B1357)), LEFT(B1357,FIND("#",B1357)-1), B1357)</f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.75" thickBot="1" x14ac:dyDescent="0.3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>IF(ISNUMBER(SEARCH("#",B1358)), LEFT(B1358,FIND("#",B1358)-1), B1358)</f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.75" thickBot="1" x14ac:dyDescent="0.3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>IF(ISNUMBER(SEARCH("#",B1359)), LEFT(B1359,FIND("#",B1359)-1), B1359)</f>
        <v>Dam Door</v>
      </c>
      <c r="G1359" s="26">
        <f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.75" thickBot="1" x14ac:dyDescent="0.3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>IF(ISNUMBER(SEARCH("#",B1360)), LEFT(B1360,FIND("#",B1360)-1), B1360)</f>
        <v>Door Balcony Frame</v>
      </c>
      <c r="G1360" s="26">
        <f>IF(ISNUMBER(SEARCH("#",B1360)),VALUE(MID(B1360,FIND("#",B1360)+1,1000)),1)</f>
        <v>1</v>
      </c>
      <c r="H1360" t="str">
        <f>IF(AND(regexMatch(B1360,".*#[0-9]*$"),ISNUMBER(SEARCH("#",B1360))),CONCATENATE(TRIM(F1360)," #",G1360),B1360)</f>
        <v>Door Balcony Frame</v>
      </c>
    </row>
    <row r="1361" spans="1:8" ht="15.75" thickBot="1" x14ac:dyDescent="0.3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>IF(ISNUMBER(SEARCH("#",B1361)), LEFT(B1361,FIND("#",B1361)-1), B1361)</f>
        <v>Door Balcony Left</v>
      </c>
      <c r="G1361" s="26">
        <f>IF(ISNUMBER(SEARCH("#",B1361)),VALUE(MID(B1361,FIND("#",B1361)+1,1000)),1)</f>
        <v>1</v>
      </c>
      <c r="H1361" t="str">
        <f>IF(AND(regexMatch(B1361,".*#[0-9]*$"),ISNUMBER(SEARCH("#",B1361))),CONCATENATE(TRIM(F1361)," #",G1361),B1361)</f>
        <v>Door Balcony Left</v>
      </c>
    </row>
    <row r="1362" spans="1:8" ht="15.75" thickBot="1" x14ac:dyDescent="0.3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>IF(ISNUMBER(SEARCH("#",B1362)), LEFT(B1362,FIND("#",B1362)-1), B1362)</f>
        <v>Door Balcony Right</v>
      </c>
      <c r="G1362" s="26">
        <f>IF(ISNUMBER(SEARCH("#",B1362)),VALUE(MID(B1362,FIND("#",B1362)+1,1000)),1)</f>
        <v>1</v>
      </c>
      <c r="H1362" t="str">
        <f>IF(AND(regexMatch(B1362,".*#[0-9]*$"),ISNUMBER(SEARCH("#",B1362))),CONCATENATE(TRIM(F1362)," #",G1362),B1362)</f>
        <v>Door Balcony Right</v>
      </c>
    </row>
    <row r="1363" spans="1:8" ht="15.75" thickBot="1" x14ac:dyDescent="0.3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>IF(ISNUMBER(SEARCH("#",B1363)), LEFT(B1363,FIND("#",B1363)-1), B1363)</f>
        <v>Dt1 20 Mp Door L</v>
      </c>
      <c r="G1363" s="26">
        <f>IF(ISNUMBER(SEARCH("#",B1363)),VALUE(MID(B1363,FIND("#",B1363)+1,1000)),1)</f>
        <v>1</v>
      </c>
      <c r="H1363" t="str">
        <f>IF(AND(regexMatch(B1363,".*#[0-9]*$"),ISNUMBER(SEARCH("#",B1363))),CONCATENATE(TRIM(F1363)," #",G1363),B1363)</f>
        <v>Dt1 20 Mp Door L</v>
      </c>
    </row>
    <row r="1364" spans="1:8" ht="15.75" thickBot="1" x14ac:dyDescent="0.3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>IF(ISNUMBER(SEARCH("#",B1364)), LEFT(B1364,FIND("#",B1364)-1), B1364)</f>
        <v>Dt1 20 Mp Door R</v>
      </c>
      <c r="G1364" s="26">
        <f>IF(ISNUMBER(SEARCH("#",B1364)),VALUE(MID(B1364,FIND("#",B1364)+1,1000)),1)</f>
        <v>1</v>
      </c>
      <c r="H1364" t="str">
        <f>IF(AND(regexMatch(B1364,".*#[0-9]*$"),ISNUMBER(SEARCH("#",B1364))),CONCATENATE(TRIM(F1364)," #",G1364),B1364)</f>
        <v>Dt1 20 Mp Door R</v>
      </c>
    </row>
    <row r="1365" spans="1:8" ht="15.75" thickBot="1" x14ac:dyDescent="0.3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>IF(ISNUMBER(SEARCH("#",B1365)), LEFT(B1365,FIND("#",B1365)-1), B1365)</f>
        <v>Dt1 20 Mp Gar</v>
      </c>
      <c r="G1365" s="26">
        <f>IF(ISNUMBER(SEARCH("#",B1365)),VALUE(MID(B1365,FIND("#",B1365)+1,1000)),1)</f>
        <v>1</v>
      </c>
      <c r="H1365" t="str">
        <f>IF(AND(regexMatch(B1365,".*#[0-9]*$"),ISNUMBER(SEARCH("#",B1365))),CONCATENATE(TRIM(F1365)," #",G1365),B1365)</f>
        <v>Dt1 20 Mp Gar</v>
      </c>
    </row>
    <row r="1366" spans="1:8" ht="15.75" thickBot="1" x14ac:dyDescent="0.3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>IF(ISNUMBER(SEARCH("#",B1366)), LEFT(B1366,FIND("#",B1366)-1), B1366)</f>
        <v>dt1_03_mp_door</v>
      </c>
      <c r="G1366" s="26">
        <f>IF(ISNUMBER(SEARCH("#",B1366)),VALUE(MID(B1366,FIND("#",B1366)+1,1000)),1)</f>
        <v>1</v>
      </c>
      <c r="H1366" t="str">
        <f>IF(AND(regexMatch(B1366,".*#[0-9]*$"),ISNUMBER(SEARCH("#",B1366))),CONCATENATE(TRIM(F1366)," #",G1366),B1366)</f>
        <v>dt1_03_mp_door</v>
      </c>
    </row>
    <row r="1367" spans="1:8" ht="15.75" thickBot="1" x14ac:dyDescent="0.3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>IF(ISNUMBER(SEARCH("#",B1367)), LEFT(B1367,FIND("#",B1367)-1), B1367)</f>
        <v>dt1_20_didier_mp_door</v>
      </c>
      <c r="G1367" s="26">
        <f>IF(ISNUMBER(SEARCH("#",B1367)),VALUE(MID(B1367,FIND("#",B1367)+1,1000)),1)</f>
        <v>1</v>
      </c>
      <c r="H1367" t="str">
        <f>IF(AND(regexMatch(B1367,".*#[0-9]*$"),ISNUMBER(SEARCH("#",B1367))),CONCATENATE(TRIM(F1367)," #",G1367),B1367)</f>
        <v>dt1_20_didier_mp_door</v>
      </c>
    </row>
    <row r="1368" spans="1:8" ht="15.75" thickBot="1" x14ac:dyDescent="0.3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>IF(ISNUMBER(SEARCH("#",B1368)), LEFT(B1368,FIND("#",B1368)-1), B1368)</f>
        <v>Epsilon Door L</v>
      </c>
      <c r="G1368" s="26">
        <f>IF(ISNUMBER(SEARCH("#",B1368)),VALUE(MID(B1368,FIND("#",B1368)+1,1000)),1)</f>
        <v>1</v>
      </c>
      <c r="H1368" t="str">
        <f>IF(AND(regexMatch(B1368,".*#[0-9]*$"),ISNUMBER(SEARCH("#",B1368))),CONCATENATE(TRIM(F1368)," #",G1368),B1368)</f>
        <v>Epsilon Door L</v>
      </c>
    </row>
    <row r="1369" spans="1:8" ht="15.75" thickBot="1" x14ac:dyDescent="0.3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>IF(ISNUMBER(SEARCH("#",B1369)), LEFT(B1369,FIND("#",B1369)-1), B1369)</f>
        <v>Epsilon Door R</v>
      </c>
      <c r="G1369" s="26">
        <f>IF(ISNUMBER(SEARCH("#",B1369)),VALUE(MID(B1369,FIND("#",B1369)+1,1000)),1)</f>
        <v>1</v>
      </c>
      <c r="H1369" t="str">
        <f>IF(AND(regexMatch(B1369,".*#[0-9]*$"),ISNUMBER(SEARCH("#",B1369))),CONCATENATE(TRIM(F1369)," #",G1369),B1369)</f>
        <v>Epsilon Door R</v>
      </c>
    </row>
    <row r="1370" spans="1:8" ht="15.75" thickBot="1" x14ac:dyDescent="0.3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>IF(ISNUMBER(SEARCH("#",B1370)), LEFT(B1370,FIND("#",B1370)-1), B1370)</f>
        <v xml:space="preserve">Garage Door </v>
      </c>
      <c r="G1370" s="26">
        <f>IF(ISNUMBER(SEARCH("#",B1370)),VALUE(MID(B1370,FIND("#",B1370)+1,1000)),1)</f>
        <v>1</v>
      </c>
      <c r="H1370" t="str">
        <f>IF(AND(regexMatch(B1370,".*#[0-9]*$"),ISNUMBER(SEARCH("#",B1370))),CONCATENATE(TRIM(F1370)," #",G1370),B1370)</f>
        <v>Garage Door #1</v>
      </c>
    </row>
    <row r="1371" spans="1:8" ht="15.75" thickBot="1" x14ac:dyDescent="0.3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>IF(ISNUMBER(SEARCH("#",B1371)), LEFT(B1371,FIND("#",B1371)-1), B1371)</f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.75" thickBot="1" x14ac:dyDescent="0.3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>IF(ISNUMBER(SEARCH("#",B1372)), LEFT(B1372,FIND("#",B1372)-1), B1372)</f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.75" thickBot="1" x14ac:dyDescent="0.3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>IF(ISNUMBER(SEARCH("#",B1373)), LEFT(B1373,FIND("#",B1373)-1), B1373)</f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.75" thickBot="1" x14ac:dyDescent="0.3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>IF(ISNUMBER(SEARCH("#",B1374)), LEFT(B1374,FIND("#",B1374)-1), B1374)</f>
        <v xml:space="preserve">Garage Door </v>
      </c>
      <c r="G1374" s="26">
        <f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.75" thickBot="1" x14ac:dyDescent="0.3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>IF(ISNUMBER(SEARCH("#",B1375)), LEFT(B1375,FIND("#",B1375)-1), B1375)</f>
        <v xml:space="preserve">Garage Door </v>
      </c>
      <c r="G1375" s="26">
        <f>IF(ISNUMBER(SEARCH("#",B1375)),VALUE(MID(B1375,FIND("#",B1375)+1,1000)),1)</f>
        <v>3</v>
      </c>
      <c r="H1375" t="str">
        <f>IF(AND(regexMatch(B1375,".*#[0-9]*$"),ISNUMBER(SEARCH("#",B1375))),CONCATENATE(TRIM(F1375)," #",G1375),B1375)</f>
        <v>Garage Door #3</v>
      </c>
    </row>
    <row r="1376" spans="1:8" ht="15.75" thickBot="1" x14ac:dyDescent="0.3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>IF(ISNUMBER(SEARCH("#",B1376)), LEFT(B1376,FIND("#",B1376)-1), B1376)</f>
        <v xml:space="preserve">Garage Door </v>
      </c>
      <c r="G1376" s="26">
        <f>IF(ISNUMBER(SEARCH("#",B1376)),VALUE(MID(B1376,FIND("#",B1376)+1,1000)),1)</f>
        <v>4</v>
      </c>
      <c r="H1376" t="str">
        <f>IF(AND(regexMatch(B1376,".*#[0-9]*$"),ISNUMBER(SEARCH("#",B1376))),CONCATENATE(TRIM(F1376)," #",G1376),B1376)</f>
        <v>Garage Door #4</v>
      </c>
    </row>
    <row r="1377" spans="1:8" ht="15.75" thickBot="1" x14ac:dyDescent="0.3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>IF(ISNUMBER(SEARCH("#",B1377)), LEFT(B1377,FIND("#",B1377)-1), B1377)</f>
        <v xml:space="preserve">Garage Door </v>
      </c>
      <c r="G1377" s="26">
        <f>IF(ISNUMBER(SEARCH("#",B1377)),VALUE(MID(B1377,FIND("#",B1377)+1,1000)),1)</f>
        <v>5</v>
      </c>
      <c r="H1377" t="str">
        <f>IF(AND(regexMatch(B1377,".*#[0-9]*$"),ISNUMBER(SEARCH("#",B1377))),CONCATENATE(TRIM(F1377)," #",G1377),B1377)</f>
        <v>Garage Door #5</v>
      </c>
    </row>
    <row r="1378" spans="1:8" ht="15.75" thickBot="1" x14ac:dyDescent="0.3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>IF(ISNUMBER(SEARCH("#",B1378)), LEFT(B1378,FIND("#",B1378)-1), B1378)</f>
        <v xml:space="preserve">Garage Door </v>
      </c>
      <c r="G1378" s="26">
        <f>IF(ISNUMBER(SEARCH("#",B1378)),VALUE(MID(B1378,FIND("#",B1378)+1,1000)),1)</f>
        <v>6</v>
      </c>
      <c r="H1378" t="str">
        <f>IF(AND(regexMatch(B1378,".*#[0-9]*$"),ISNUMBER(SEARCH("#",B1378))),CONCATENATE(TRIM(F1378)," #",G1378),B1378)</f>
        <v>Garage Door #6</v>
      </c>
    </row>
    <row r="1379" spans="1:8" ht="15.75" thickBot="1" x14ac:dyDescent="0.3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>IF(ISNUMBER(SEARCH("#",B1379)), LEFT(B1379,FIND("#",B1379)-1), B1379)</f>
        <v>Garage Door Plug</v>
      </c>
      <c r="G1379" s="26">
        <f>IF(ISNUMBER(SEARCH("#",B1379)),VALUE(MID(B1379,FIND("#",B1379)+1,1000)),1)</f>
        <v>1</v>
      </c>
      <c r="H1379" t="str">
        <f>IF(AND(regexMatch(B1379,".*#[0-9]*$"),ISNUMBER(SEARCH("#",B1379))),CONCATENATE(TRIM(F1379)," #",G1379),B1379)</f>
        <v>Garage Door Plug</v>
      </c>
    </row>
    <row r="1380" spans="1:8" ht="15.75" thickBot="1" x14ac:dyDescent="0.3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>IF(ISNUMBER(SEARCH("#",B1380)), LEFT(B1380,FIND("#",B1380)-1), B1380)</f>
        <v xml:space="preserve">Gd Ch2 </v>
      </c>
      <c r="G1380" s="26">
        <f>IF(ISNUMBER(SEARCH("#",B1380)),VALUE(MID(B1380,FIND("#",B1380)+1,1000)),1)</f>
        <v>8</v>
      </c>
      <c r="H1380" t="str">
        <f>IF(AND(regexMatch(B1380,".*#[0-9]*$"),ISNUMBER(SEARCH("#",B1380))),CONCATENATE(TRIM(F1380)," #",G1380),B1380)</f>
        <v>Gd Ch2 #8</v>
      </c>
    </row>
    <row r="1381" spans="1:8" ht="15.75" thickBot="1" x14ac:dyDescent="0.3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>IF(ISNUMBER(SEARCH("#",B1381)), LEFT(B1381,FIND("#",B1381)-1), B1381)</f>
        <v>Generic Door</v>
      </c>
      <c r="G1381" s="26">
        <f>IF(ISNUMBER(SEARCH("#",B1381)),VALUE(MID(B1381,FIND("#",B1381)+1,1000)),1)</f>
        <v>1</v>
      </c>
      <c r="H1381" t="str">
        <f>IF(AND(regexMatch(B1381,".*#[0-9]*$"),ISNUMBER(SEARCH("#",B1381))),CONCATENATE(TRIM(F1381)," #",G1381),B1381)</f>
        <v>Generic Door</v>
      </c>
    </row>
    <row r="1382" spans="1:8" ht="15.75" thickBot="1" x14ac:dyDescent="0.3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>IF(ISNUMBER(SEARCH("#",B1382)), LEFT(B1382,FIND("#",B1382)-1), B1382)</f>
        <v>Gruman Door L</v>
      </c>
      <c r="G1382" s="26">
        <f>IF(ISNUMBER(SEARCH("#",B1382)),VALUE(MID(B1382,FIND("#",B1382)+1,1000)),1)</f>
        <v>1</v>
      </c>
      <c r="H1382" t="str">
        <f>IF(AND(regexMatch(B1382,".*#[0-9]*$"),ISNUMBER(SEARCH("#",B1382))),CONCATENATE(TRIM(F1382)," #",G1382),B1382)</f>
        <v>Gruman Door L</v>
      </c>
    </row>
    <row r="1383" spans="1:8" ht="15.75" thickBot="1" x14ac:dyDescent="0.3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>IF(ISNUMBER(SEARCH("#",B1383)), LEFT(B1383,FIND("#",B1383)-1), B1383)</f>
        <v>Gruman Door R</v>
      </c>
      <c r="G1383" s="26">
        <f>IF(ISNUMBER(SEARCH("#",B1383)),VALUE(MID(B1383,FIND("#",B1383)+1,1000)),1)</f>
        <v>1</v>
      </c>
      <c r="H1383" t="str">
        <f>IF(AND(regexMatch(B1383,".*#[0-9]*$"),ISNUMBER(SEARCH("#",B1383))),CONCATENATE(TRIM(F1383)," #",G1383),B1383)</f>
        <v>Gruman Door R</v>
      </c>
    </row>
    <row r="1384" spans="1:8" ht="15.75" thickBot="1" x14ac:dyDescent="0.3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>IF(ISNUMBER(SEARCH("#",B1384)), LEFT(B1384,FIND("#",B1384)-1), B1384)</f>
        <v>Hangar Door</v>
      </c>
      <c r="G1384" s="26">
        <f>IF(ISNUMBER(SEARCH("#",B1384)),VALUE(MID(B1384,FIND("#",B1384)+1,1000)),1)</f>
        <v>1</v>
      </c>
      <c r="H1384" t="str">
        <f>IF(AND(regexMatch(B1384,".*#[0-9]*$"),ISNUMBER(SEARCH("#",B1384))),CONCATENATE(TRIM(F1384)," #",G1384),B1384)</f>
        <v>Hangar Door</v>
      </c>
    </row>
    <row r="1385" spans="1:8" ht="15.75" thickBot="1" x14ac:dyDescent="0.3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>IF(ISNUMBER(SEARCH("#",B1385)), LEFT(B1385,FIND("#",B1385)-1), B1385)</f>
        <v>Hospital Door L</v>
      </c>
      <c r="G1385" s="26">
        <f>IF(ISNUMBER(SEARCH("#",B1385)),VALUE(MID(B1385,FIND("#",B1385)+1,1000)),1)</f>
        <v>1</v>
      </c>
      <c r="H1385" t="str">
        <f>IF(AND(regexMatch(B1385,".*#[0-9]*$"),ISNUMBER(SEARCH("#",B1385))),CONCATENATE(TRIM(F1385)," #",G1385),B1385)</f>
        <v>Hospital Door L</v>
      </c>
    </row>
    <row r="1386" spans="1:8" ht="15.75" thickBot="1" x14ac:dyDescent="0.3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>IF(ISNUMBER(SEARCH("#",B1386)), LEFT(B1386,FIND("#",B1386)-1), B1386)</f>
        <v>Hospital Door R</v>
      </c>
      <c r="G1386" s="26">
        <f>IF(ISNUMBER(SEARCH("#",B1386)),VALUE(MID(B1386,FIND("#",B1386)+1,1000)),1)</f>
        <v>1</v>
      </c>
      <c r="H1386" t="str">
        <f>IF(AND(regexMatch(B1386,".*#[0-9]*$"),ISNUMBER(SEARCH("#",B1386))),CONCATENATE(TRIM(F1386)," #",G1386),B1386)</f>
        <v>Hospital Door R</v>
      </c>
    </row>
    <row r="1387" spans="1:8" ht="15.75" thickBot="1" x14ac:dyDescent="0.3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>IF(ISNUMBER(SEARCH("#",B1387)), LEFT(B1387,FIND("#",B1387)-1), B1387)</f>
        <v>Hospital Doors Start</v>
      </c>
      <c r="G1387" s="26">
        <f>IF(ISNUMBER(SEARCH("#",B1387)),VALUE(MID(B1387,FIND("#",B1387)+1,1000)),1)</f>
        <v>1</v>
      </c>
      <c r="H1387" t="str">
        <f>IF(AND(regexMatch(B1387,".*#[0-9]*$"),ISNUMBER(SEARCH("#",B1387))),CONCATENATE(TRIM(F1387)," #",G1387),B1387)</f>
        <v>Hospital Doors Start</v>
      </c>
    </row>
    <row r="1388" spans="1:8" ht="15.75" thickBot="1" x14ac:dyDescent="0.3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>IF(ISNUMBER(SEARCH("#",B1388)), LEFT(B1388,FIND("#",B1388)-1), B1388)</f>
        <v>Hotel Door L</v>
      </c>
      <c r="G1388" s="26">
        <f>IF(ISNUMBER(SEARCH("#",B1388)),VALUE(MID(B1388,FIND("#",B1388)+1,1000)),1)</f>
        <v>1</v>
      </c>
      <c r="H1388" t="str">
        <f>IF(AND(regexMatch(B1388,".*#[0-9]*$"),ISNUMBER(SEARCH("#",B1388))),CONCATENATE(TRIM(F1388)," #",G1388),B1388)</f>
        <v>Hotel Door L</v>
      </c>
    </row>
    <row r="1389" spans="1:8" ht="15.75" thickBot="1" x14ac:dyDescent="0.3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>IF(ISNUMBER(SEARCH("#",B1389)), LEFT(B1389,FIND("#",B1389)-1), B1389)</f>
        <v>Hotel Door R</v>
      </c>
      <c r="G1389" s="26">
        <f>IF(ISNUMBER(SEARCH("#",B1389)),VALUE(MID(B1389,FIND("#",B1389)+1,1000)),1)</f>
        <v>1</v>
      </c>
      <c r="H1389" t="str">
        <f>IF(AND(regexMatch(B1389,".*#[0-9]*$"),ISNUMBER(SEARCH("#",B1389))),CONCATENATE(TRIM(F1389)," #",G1389),B1389)</f>
        <v>Hotel Door R</v>
      </c>
    </row>
    <row r="1390" spans="1:8" ht="15.75" thickBot="1" x14ac:dyDescent="0.3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>IF(ISNUMBER(SEARCH("#",B1390)), LEFT(B1390,FIND("#",B1390)-1), B1390)</f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.75" thickBot="1" x14ac:dyDescent="0.3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>IF(ISNUMBER(SEARCH("#",B1391)), LEFT(B1391,FIND("#",B1391)-1), B1391)</f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.75" thickBot="1" x14ac:dyDescent="0.3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>IF(ISNUMBER(SEARCH("#",B1392)), LEFT(B1392,FIND("#",B1392)-1), B1392)</f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.75" thickBot="1" x14ac:dyDescent="0.3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>IF(ISNUMBER(SEARCH("#",B1393)), LEFT(B1393,FIND("#",B1393)-1), B1393)</f>
        <v>Hw1 23 Door</v>
      </c>
      <c r="G1393" s="26">
        <f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.75" thickBot="1" x14ac:dyDescent="0.3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>IF(ISNUMBER(SEARCH("#",B1394)), LEFT(B1394,FIND("#",B1394)-1), B1394)</f>
        <v xml:space="preserve">Id 21 Gardoor </v>
      </c>
      <c r="G1394" s="26">
        <f>IF(ISNUMBER(SEARCH("#",B1394)),VALUE(MID(B1394,FIND("#",B1394)+1,1000)),1)</f>
        <v>1</v>
      </c>
      <c r="H1394" t="str">
        <f>IF(AND(regexMatch(B1394,".*#[0-9]*$"),ISNUMBER(SEARCH("#",B1394))),CONCATENATE(TRIM(F1394)," #",G1394),B1394)</f>
        <v>Id 21 Gardoor #1</v>
      </c>
    </row>
    <row r="1395" spans="1:8" ht="15.75" thickBot="1" x14ac:dyDescent="0.3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>IF(ISNUMBER(SEARCH("#",B1395)), LEFT(B1395,FIND("#",B1395)-1), B1395)</f>
        <v xml:space="preserve">Id 21 Gardoor </v>
      </c>
      <c r="G1395" s="26">
        <f>IF(ISNUMBER(SEARCH("#",B1395)),VALUE(MID(B1395,FIND("#",B1395)+1,1000)),1)</f>
        <v>2</v>
      </c>
      <c r="H1395" t="str">
        <f>IF(AND(regexMatch(B1395,".*#[0-9]*$"),ISNUMBER(SEARCH("#",B1395))),CONCATENATE(TRIM(F1395)," #",G1395),B1395)</f>
        <v>Id 21 Gardoor #2</v>
      </c>
    </row>
    <row r="1396" spans="1:8" ht="15.75" thickBot="1" x14ac:dyDescent="0.3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>IF(ISNUMBER(SEARCH("#",B1396)), LEFT(B1396,FIND("#",B1396)-1), B1396)</f>
        <v>Id2 11 Gdoor</v>
      </c>
      <c r="G1396" s="26">
        <f>IF(ISNUMBER(SEARCH("#",B1396)),VALUE(MID(B1396,FIND("#",B1396)+1,1000)),1)</f>
        <v>1</v>
      </c>
      <c r="H1396" t="str">
        <f>IF(AND(regexMatch(B1396,".*#[0-9]*$"),ISNUMBER(SEARCH("#",B1396))),CONCATENATE(TRIM(F1396)," #",G1396),B1396)</f>
        <v>Id2 11 Gdoor</v>
      </c>
    </row>
    <row r="1397" spans="1:8" ht="15.75" thickBot="1" x14ac:dyDescent="0.3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>IF(ISNUMBER(SEARCH("#",B1397)), LEFT(B1397,FIND("#",B1397)-1), B1397)</f>
        <v>Indus Meet Door L</v>
      </c>
      <c r="G1397" s="26">
        <f>IF(ISNUMBER(SEARCH("#",B1397)),VALUE(MID(B1397,FIND("#",B1397)+1,1000)),1)</f>
        <v>1</v>
      </c>
      <c r="H1397" t="str">
        <f>IF(AND(regexMatch(B1397,".*#[0-9]*$"),ISNUMBER(SEARCH("#",B1397))),CONCATENATE(TRIM(F1397)," #",G1397),B1397)</f>
        <v>Indus Meet Door L</v>
      </c>
    </row>
    <row r="1398" spans="1:8" ht="15.75" thickBot="1" x14ac:dyDescent="0.3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>IF(ISNUMBER(SEARCH("#",B1398)), LEFT(B1398,FIND("#",B1398)-1), B1398)</f>
        <v>Indus Meet Door R</v>
      </c>
      <c r="G1398" s="26">
        <f>IF(ISNUMBER(SEARCH("#",B1398)),VALUE(MID(B1398,FIND("#",B1398)+1,1000)),1)</f>
        <v>1</v>
      </c>
      <c r="H1398" t="str">
        <f>IF(AND(regexMatch(B1398,".*#[0-9]*$"),ISNUMBER(SEARCH("#",B1398))),CONCATENATE(TRIM(F1398)," #",G1398),B1398)</f>
        <v>Indus Meet Door R</v>
      </c>
    </row>
    <row r="1399" spans="1:8" ht="15.75" thickBot="1" x14ac:dyDescent="0.3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>IF(ISNUMBER(SEARCH("#",B1399)), LEFT(B1399,FIND("#",B1399)-1), B1399)</f>
        <v>Jail Door</v>
      </c>
      <c r="G1399" s="26">
        <f>IF(ISNUMBER(SEARCH("#",B1399)),VALUE(MID(B1399,FIND("#",B1399)+1,1000)),1)</f>
        <v>1</v>
      </c>
      <c r="H1399" t="str">
        <f>IF(AND(regexMatch(B1399,".*#[0-9]*$"),ISNUMBER(SEARCH("#",B1399))),CONCATENATE(TRIM(F1399)," #",G1399),B1399)</f>
        <v>Jail Door</v>
      </c>
    </row>
    <row r="1400" spans="1:8" ht="15.75" thickBot="1" x14ac:dyDescent="0.3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>IF(ISNUMBER(SEARCH("#",B1400)), LEFT(B1400,FIND("#",B1400)-1), B1400)</f>
        <v>Kt1 06 Door L</v>
      </c>
      <c r="G1400" s="26">
        <f>IF(ISNUMBER(SEARCH("#",B1400)),VALUE(MID(B1400,FIND("#",B1400)+1,1000)),1)</f>
        <v>1</v>
      </c>
      <c r="H1400" t="str">
        <f>IF(AND(regexMatch(B1400,".*#[0-9]*$"),ISNUMBER(SEARCH("#",B1400))),CONCATENATE(TRIM(F1400)," #",G1400),B1400)</f>
        <v>Kt1 06 Door L</v>
      </c>
    </row>
    <row r="1401" spans="1:8" ht="15.75" thickBot="1" x14ac:dyDescent="0.3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>IF(ISNUMBER(SEARCH("#",B1401)), LEFT(B1401,FIND("#",B1401)-1), B1401)</f>
        <v>Kt1 06 Door R</v>
      </c>
      <c r="G1401" s="26">
        <f>IF(ISNUMBER(SEARCH("#",B1401)),VALUE(MID(B1401,FIND("#",B1401)+1,1000)),1)</f>
        <v>1</v>
      </c>
      <c r="H1401" t="str">
        <f>IF(AND(regexMatch(B1401,".*#[0-9]*$"),ISNUMBER(SEARCH("#",B1401))),CONCATENATE(TRIM(F1401)," #",G1401),B1401)</f>
        <v>Kt1 06 Door R</v>
      </c>
    </row>
    <row r="1402" spans="1:8" ht="15.75" thickBot="1" x14ac:dyDescent="0.3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>IF(ISNUMBER(SEARCH("#",B1402)), LEFT(B1402,FIND("#",B1402)-1), B1402)</f>
        <v>Kt1 10 Mpdoor L</v>
      </c>
      <c r="G1402" s="26">
        <f>IF(ISNUMBER(SEARCH("#",B1402)),VALUE(MID(B1402,FIND("#",B1402)+1,1000)),1)</f>
        <v>1</v>
      </c>
      <c r="H1402" t="str">
        <f>IF(AND(regexMatch(B1402,".*#[0-9]*$"),ISNUMBER(SEARCH("#",B1402))),CONCATENATE(TRIM(F1402)," #",G1402),B1402)</f>
        <v>Kt1 10 Mpdoor L</v>
      </c>
    </row>
    <row r="1403" spans="1:8" ht="15.75" thickBot="1" x14ac:dyDescent="0.3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>IF(ISNUMBER(SEARCH("#",B1403)), LEFT(B1403,FIND("#",B1403)-1), B1403)</f>
        <v>Kt1 10 Mpdoor R</v>
      </c>
      <c r="G1403" s="26">
        <f>IF(ISNUMBER(SEARCH("#",B1403)),VALUE(MID(B1403,FIND("#",B1403)+1,1000)),1)</f>
        <v>1</v>
      </c>
      <c r="H1403" t="str">
        <f>IF(AND(regexMatch(B1403,".*#[0-9]*$"),ISNUMBER(SEARCH("#",B1403))),CONCATENATE(TRIM(F1403)," #",G1403),B1403)</f>
        <v>Kt1 10 Mpdoor R</v>
      </c>
    </row>
    <row r="1404" spans="1:8" ht="15.75" thickBot="1" x14ac:dyDescent="0.3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>IF(ISNUMBER(SEARCH("#",B1404)), LEFT(B1404,FIND("#",B1404)-1), B1404)</f>
        <v>kt1_11_mp_door</v>
      </c>
      <c r="G1404" s="26">
        <f>IF(ISNUMBER(SEARCH("#",B1404)),VALUE(MID(B1404,FIND("#",B1404)+1,1000)),1)</f>
        <v>1</v>
      </c>
      <c r="H1404" t="str">
        <f>IF(AND(regexMatch(B1404,".*#[0-9]*$"),ISNUMBER(SEARCH("#",B1404))),CONCATENATE(TRIM(F1404)," #",G1404),B1404)</f>
        <v>kt1_11_mp_door</v>
      </c>
    </row>
    <row r="1405" spans="1:8" ht="15.75" thickBot="1" x14ac:dyDescent="0.3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>IF(ISNUMBER(SEARCH("#",B1405)), LEFT(B1405,FIND("#",B1405)-1), B1405)</f>
        <v>Life Invader Door L</v>
      </c>
      <c r="G1405" s="26">
        <f>IF(ISNUMBER(SEARCH("#",B1405)),VALUE(MID(B1405,FIND("#",B1405)+1,1000)),1)</f>
        <v>1</v>
      </c>
      <c r="H1405" t="str">
        <f>IF(AND(regexMatch(B1405,".*#[0-9]*$"),ISNUMBER(SEARCH("#",B1405))),CONCATENATE(TRIM(F1405)," #",G1405),B1405)</f>
        <v>Life Invader Door L</v>
      </c>
    </row>
    <row r="1406" spans="1:8" ht="15.75" thickBot="1" x14ac:dyDescent="0.3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>IF(ISNUMBER(SEARCH("#",B1406)), LEFT(B1406,FIND("#",B1406)-1), B1406)</f>
        <v>Life Invader Door R</v>
      </c>
      <c r="G1406" s="26">
        <f>IF(ISNUMBER(SEARCH("#",B1406)),VALUE(MID(B1406,FIND("#",B1406)+1,1000)),1)</f>
        <v>1</v>
      </c>
      <c r="H1406" t="str">
        <f>IF(AND(regexMatch(B1406,".*#[0-9]*$"),ISNUMBER(SEARCH("#",B1406))),CONCATENATE(TRIM(F1406)," #",G1406),B1406)</f>
        <v>Life Invader Door R</v>
      </c>
    </row>
    <row r="1407" spans="1:8" ht="15.75" thickBot="1" x14ac:dyDescent="0.3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>IF(ISNUMBER(SEARCH("#",B1407)), LEFT(B1407,FIND("#",B1407)-1), B1407)</f>
        <v>Magenta Door</v>
      </c>
      <c r="G1407" s="26">
        <f>IF(ISNUMBER(SEARCH("#",B1407)),VALUE(MID(B1407,FIND("#",B1407)+1,1000)),1)</f>
        <v>1</v>
      </c>
      <c r="H1407" t="str">
        <f>IF(AND(regexMatch(B1407,".*#[0-9]*$"),ISNUMBER(SEARCH("#",B1407))),CONCATENATE(TRIM(F1407)," #",G1407),B1407)</f>
        <v>Magenta Door</v>
      </c>
    </row>
    <row r="1408" spans="1:8" ht="15.75" thickBot="1" x14ac:dyDescent="0.3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>IF(ISNUMBER(SEARCH("#",B1408)), LEFT(B1408,FIND("#",B1408)-1), B1408)</f>
        <v>Map Door</v>
      </c>
      <c r="G1408" s="26">
        <f>IF(ISNUMBER(SEARCH("#",B1408)),VALUE(MID(B1408,FIND("#",B1408)+1,1000)),1)</f>
        <v>1</v>
      </c>
      <c r="H1408" t="str">
        <f>IF(AND(regexMatch(B1408,".*#[0-9]*$"),ISNUMBER(SEARCH("#",B1408))),CONCATENATE(TRIM(F1408)," #",G1408),B1408)</f>
        <v>Map Door</v>
      </c>
    </row>
    <row r="1409" spans="1:8" ht="15.75" thickBot="1" x14ac:dyDescent="0.3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>IF(ISNUMBER(SEARCH("#",B1409)), LEFT(B1409,FIND("#",B1409)-1), B1409)</f>
        <v>Mechanic Garage Door</v>
      </c>
      <c r="G1409" s="26">
        <f>IF(ISNUMBER(SEARCH("#",B1409)),VALUE(MID(B1409,FIND("#",B1409)+1,1000)),1)</f>
        <v>1</v>
      </c>
      <c r="H1409" t="str">
        <f>IF(AND(regexMatch(B1409,".*#[0-9]*$"),ISNUMBER(SEARCH("#",B1409))),CONCATENATE(TRIM(F1409)," #",G1409),B1409)</f>
        <v>Mechanic Garage Door</v>
      </c>
    </row>
    <row r="1410" spans="1:8" ht="15.75" thickBot="1" x14ac:dyDescent="0.3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>IF(ISNUMBER(SEARCH("#",B1410)), LEFT(B1410,FIND("#",B1410)-1), B1410)</f>
        <v>Michael Door</v>
      </c>
      <c r="G1410" s="26">
        <f>IF(ISNUMBER(SEARCH("#",B1410)),VALUE(MID(B1410,FIND("#",B1410)+1,1000)),1)</f>
        <v>1</v>
      </c>
      <c r="H1410" t="str">
        <f>IF(AND(regexMatch(B1410,".*#[0-9]*$"),ISNUMBER(SEARCH("#",B1410))),CONCATENATE(TRIM(F1410)," #",G1410),B1410)</f>
        <v>Michael Door</v>
      </c>
    </row>
    <row r="1411" spans="1:8" ht="15.75" thickBot="1" x14ac:dyDescent="0.3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>IF(ISNUMBER(SEARCH("#",B1411)), LEFT(B1411,FIND("#",B1411)-1), B1411)</f>
        <v>Mineshaft Door</v>
      </c>
      <c r="G1411" s="26">
        <f>IF(ISNUMBER(SEARCH("#",B1411)),VALUE(MID(B1411,FIND("#",B1411)+1,1000)),1)</f>
        <v>1</v>
      </c>
      <c r="H1411" t="str">
        <f>IF(AND(regexMatch(B1411,".*#[0-9]*$"),ISNUMBER(SEARCH("#",B1411))),CONCATENATE(TRIM(F1411)," #",G1411),B1411)</f>
        <v>Mineshaft Door</v>
      </c>
    </row>
    <row r="1412" spans="1:8" ht="15.75" thickBot="1" x14ac:dyDescent="0.3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>IF(ISNUMBER(SEARCH("#",B1412)), LEFT(B1412,FIND("#",B1412)-1), B1412)</f>
        <v>Mineshaft Door L</v>
      </c>
      <c r="G1412" s="26">
        <f>IF(ISNUMBER(SEARCH("#",B1412)),VALUE(MID(B1412,FIND("#",B1412)+1,1000)),1)</f>
        <v>1</v>
      </c>
      <c r="H1412" t="str">
        <f>IF(AND(regexMatch(B1412,".*#[0-9]*$"),ISNUMBER(SEARCH("#",B1412))),CONCATENATE(TRIM(F1412)," #",G1412),B1412)</f>
        <v>Mineshaft Door L</v>
      </c>
    </row>
    <row r="1413" spans="1:8" ht="15.75" thickBot="1" x14ac:dyDescent="0.3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>IF(ISNUMBER(SEARCH("#",B1413)), LEFT(B1413,FIND("#",B1413)-1), B1413)</f>
        <v>Mineshaft Door R</v>
      </c>
      <c r="G1413" s="26">
        <f>IF(ISNUMBER(SEARCH("#",B1413)),VALUE(MID(B1413,FIND("#",B1413)+1,1000)),1)</f>
        <v>1</v>
      </c>
      <c r="H1413" t="str">
        <f>IF(AND(regexMatch(B1413,".*#[0-9]*$"),ISNUMBER(SEARCH("#",B1413))),CONCATENATE(TRIM(F1413)," #",G1413),B1413)</f>
        <v>Mineshaft Door R</v>
      </c>
    </row>
    <row r="1414" spans="1:8" ht="15.75" thickBot="1" x14ac:dyDescent="0.3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>IF(ISNUMBER(SEARCH("#",B1414)), LEFT(B1414,FIND("#",B1414)-1), B1414)</f>
        <v>Motel Door</v>
      </c>
      <c r="G1414" s="26">
        <f>IF(ISNUMBER(SEARCH("#",B1414)),VALUE(MID(B1414,FIND("#",B1414)+1,1000)),1)</f>
        <v>1</v>
      </c>
      <c r="H1414" t="str">
        <f>IF(AND(regexMatch(B1414,".*#[0-9]*$"),ISNUMBER(SEARCH("#",B1414))),CONCATENATE(TRIM(F1414)," #",G1414),B1414)</f>
        <v>Motel Door</v>
      </c>
    </row>
    <row r="1415" spans="1:8" ht="15.75" thickBot="1" x14ac:dyDescent="0.3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>IF(ISNUMBER(SEARCH("#",B1415)), LEFT(B1415,FIND("#",B1415)-1), B1415)</f>
        <v xml:space="preserve">MP Garage Door </v>
      </c>
      <c r="G1415" s="26">
        <f>IF(ISNUMBER(SEARCH("#",B1415)),VALUE(MID(B1415,FIND("#",B1415)+1,1000)),1)</f>
        <v>1</v>
      </c>
      <c r="H1415" t="str">
        <f>IF(AND(regexMatch(B1415,".*#[0-9]*$"),ISNUMBER(SEARCH("#",B1415))),CONCATENATE(TRIM(F1415)," #",G1415),B1415)</f>
        <v>MP Garage Door #1</v>
      </c>
    </row>
    <row r="1416" spans="1:8" ht="15.75" thickBot="1" x14ac:dyDescent="0.3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>IF(ISNUMBER(SEARCH("#",B1416)), LEFT(B1416,FIND("#",B1416)-1), B1416)</f>
        <v xml:space="preserve">MP Garage Door </v>
      </c>
      <c r="G1416" s="26">
        <f>IF(ISNUMBER(SEARCH("#",B1416)),VALUE(MID(B1416,FIND("#",B1416)+1,1000)),1)</f>
        <v>2</v>
      </c>
      <c r="H1416" t="str">
        <f>IF(AND(regexMatch(B1416,".*#[0-9]*$"),ISNUMBER(SEARCH("#",B1416))),CONCATENATE(TRIM(F1416)," #",G1416),B1416)</f>
        <v>MP Garage Door #2</v>
      </c>
    </row>
    <row r="1417" spans="1:8" ht="15.75" thickBot="1" x14ac:dyDescent="0.3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>IF(ISNUMBER(SEARCH("#",B1417)), LEFT(B1417,FIND("#",B1417)-1), B1417)</f>
        <v>P Gdoortest S</v>
      </c>
      <c r="G1417" s="26">
        <f>IF(ISNUMBER(SEARCH("#",B1417)),VALUE(MID(B1417,FIND("#",B1417)+1,1000)),1)</f>
        <v>1</v>
      </c>
      <c r="H1417" t="str">
        <f>IF(AND(regexMatch(B1417,".*#[0-9]*$"),ISNUMBER(SEARCH("#",B1417))),CONCATENATE(TRIM(F1417)," #",G1417),B1417)</f>
        <v>P Gdoortest S</v>
      </c>
    </row>
    <row r="1418" spans="1:8" ht="15.75" thickBot="1" x14ac:dyDescent="0.3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>IF(ISNUMBER(SEARCH("#",B1418)), LEFT(B1418,FIND("#",B1418)-1), B1418)</f>
        <v>p_cut_door_01</v>
      </c>
      <c r="G1418" s="26">
        <f>IF(ISNUMBER(SEARCH("#",B1418)),VALUE(MID(B1418,FIND("#",B1418)+1,1000)),1)</f>
        <v>1</v>
      </c>
      <c r="H1418" t="str">
        <f>IF(AND(regexMatch(B1418,".*#[0-9]*$"),ISNUMBER(SEARCH("#",B1418))),CONCATENATE(TRIM(F1418)," #",G1418),B1418)</f>
        <v>p_cut_door_01</v>
      </c>
    </row>
    <row r="1419" spans="1:8" ht="15.75" thickBot="1" x14ac:dyDescent="0.3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>IF(ISNUMBER(SEARCH("#",B1419)), LEFT(B1419,FIND("#",B1419)-1), B1419)</f>
        <v>p_cut_door_02</v>
      </c>
      <c r="G1419" s="26">
        <f>IF(ISNUMBER(SEARCH("#",B1419)),VALUE(MID(B1419,FIND("#",B1419)+1,1000)),1)</f>
        <v>1</v>
      </c>
      <c r="H1419" t="str">
        <f>IF(AND(regexMatch(B1419,".*#[0-9]*$"),ISNUMBER(SEARCH("#",B1419))),CONCATENATE(TRIM(F1419)," #",G1419),B1419)</f>
        <v>p_cut_door_02</v>
      </c>
    </row>
    <row r="1420" spans="1:8" ht="15.75" thickBot="1" x14ac:dyDescent="0.3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>IF(ISNUMBER(SEARCH("#",B1420)), LEFT(B1420,FIND("#",B1420)-1), B1420)</f>
        <v>p_cut_door_03</v>
      </c>
      <c r="G1420" s="26">
        <f>IF(ISNUMBER(SEARCH("#",B1420)),VALUE(MID(B1420,FIND("#",B1420)+1,1000)),1)</f>
        <v>1</v>
      </c>
      <c r="H1420" t="str">
        <f>IF(AND(regexMatch(B1420,".*#[0-9]*$"),ISNUMBER(SEARCH("#",B1420))),CONCATENATE(TRIM(F1420)," #",G1420),B1420)</f>
        <v>p_cut_door_03</v>
      </c>
    </row>
    <row r="1421" spans="1:8" ht="15.75" thickBot="1" x14ac:dyDescent="0.3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>IF(ISNUMBER(SEARCH("#",B1421)), LEFT(B1421,FIND("#",B1421)-1), B1421)</f>
        <v>Pay &amp; Spray Door L</v>
      </c>
      <c r="G1421" s="26">
        <f>IF(ISNUMBER(SEARCH("#",B1421)),VALUE(MID(B1421,FIND("#",B1421)+1,1000)),1)</f>
        <v>1</v>
      </c>
      <c r="H1421" t="str">
        <f>IF(AND(regexMatch(B1421,".*#[0-9]*$"),ISNUMBER(SEARCH("#",B1421))),CONCATENATE(TRIM(F1421)," #",G1421),B1421)</f>
        <v>Pay &amp; Spray Door L</v>
      </c>
    </row>
    <row r="1422" spans="1:8" ht="15.75" thickBot="1" x14ac:dyDescent="0.3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>IF(ISNUMBER(SEARCH("#",B1422)), LEFT(B1422,FIND("#",B1422)-1), B1422)</f>
        <v>Pay &amp; Spray Door R</v>
      </c>
      <c r="G1422" s="26">
        <f>IF(ISNUMBER(SEARCH("#",B1422)),VALUE(MID(B1422,FIND("#",B1422)+1,1000)),1)</f>
        <v>1</v>
      </c>
      <c r="H1422" t="str">
        <f>IF(AND(regexMatch(B1422,".*#[0-9]*$"),ISNUMBER(SEARCH("#",B1422))),CONCATENATE(TRIM(F1422)," #",G1422),B1422)</f>
        <v>Pay &amp; Spray Door R</v>
      </c>
    </row>
    <row r="1423" spans="1:8" ht="15.75" thickBot="1" x14ac:dyDescent="0.3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>IF(ISNUMBER(SEARCH("#",B1423)), LEFT(B1423,FIND("#",B1423)-1), B1423)</f>
        <v>Peep Slider</v>
      </c>
      <c r="G1423" s="26">
        <f>IF(ISNUMBER(SEARCH("#",B1423)),VALUE(MID(B1423,FIND("#",B1423)+1,1000)),1)</f>
        <v>1</v>
      </c>
      <c r="H1423" t="str">
        <f>IF(AND(regexMatch(B1423,".*#[0-9]*$"),ISNUMBER(SEARCH("#",B1423))),CONCATENATE(TRIM(F1423)," #",G1423),B1423)</f>
        <v>Peep Slider</v>
      </c>
    </row>
    <row r="1424" spans="1:8" ht="15.75" thickBot="1" x14ac:dyDescent="0.3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>IF(ISNUMBER(SEARCH("#",B1424)), LEFT(B1424,FIND("#",B1424)-1), B1424)</f>
        <v>Police Door L</v>
      </c>
      <c r="G1424" s="26">
        <f>IF(ISNUMBER(SEARCH("#",B1424)),VALUE(MID(B1424,FIND("#",B1424)+1,1000)),1)</f>
        <v>1</v>
      </c>
      <c r="H1424" t="str">
        <f>IF(AND(regexMatch(B1424,".*#[0-9]*$"),ISNUMBER(SEARCH("#",B1424))),CONCATENATE(TRIM(F1424)," #",G1424),B1424)</f>
        <v>Police Door L</v>
      </c>
    </row>
    <row r="1425" spans="1:8" ht="15.75" thickBot="1" x14ac:dyDescent="0.3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>IF(ISNUMBER(SEARCH("#",B1425)), LEFT(B1425,FIND("#",B1425)-1), B1425)</f>
        <v>Police Door L Damaged</v>
      </c>
      <c r="G1425" s="26">
        <f>IF(ISNUMBER(SEARCH("#",B1425)),VALUE(MID(B1425,FIND("#",B1425)+1,1000)),1)</f>
        <v>1</v>
      </c>
      <c r="H1425" t="str">
        <f>IF(AND(regexMatch(B1425,".*#[0-9]*$"),ISNUMBER(SEARCH("#",B1425))),CONCATENATE(TRIM(F1425)," #",G1425),B1425)</f>
        <v>Police Door L Damaged</v>
      </c>
    </row>
    <row r="1426" spans="1:8" ht="15.75" thickBot="1" x14ac:dyDescent="0.3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>IF(ISNUMBER(SEARCH("#",B1426)), LEFT(B1426,FIND("#",B1426)-1), B1426)</f>
        <v>Police Door R</v>
      </c>
      <c r="G1426" s="26">
        <f>IF(ISNUMBER(SEARCH("#",B1426)),VALUE(MID(B1426,FIND("#",B1426)+1,1000)),1)</f>
        <v>1</v>
      </c>
      <c r="H1426" t="str">
        <f>IF(AND(regexMatch(B1426,".*#[0-9]*$"),ISNUMBER(SEARCH("#",B1426))),CONCATENATE(TRIM(F1426)," #",G1426),B1426)</f>
        <v>Police Door R</v>
      </c>
    </row>
    <row r="1427" spans="1:8" ht="15.75" thickBot="1" x14ac:dyDescent="0.3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>IF(ISNUMBER(SEARCH("#",B1427)), LEFT(B1427,FIND("#",B1427)-1), B1427)</f>
        <v>Police Door R Damaged</v>
      </c>
      <c r="G1427" s="26">
        <f>IF(ISNUMBER(SEARCH("#",B1427)),VALUE(MID(B1427,FIND("#",B1427)+1,1000)),1)</f>
        <v>1</v>
      </c>
      <c r="H1427" t="str">
        <f>IF(AND(regexMatch(B1427,".*#[0-9]*$"),ISNUMBER(SEARCH("#",B1427))),CONCATENATE(TRIM(F1427)," #",G1427),B1427)</f>
        <v>Police Door R Damaged</v>
      </c>
    </row>
    <row r="1428" spans="1:8" ht="15.75" thickBot="1" x14ac:dyDescent="0.3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>IF(ISNUMBER(SEARCH("#",B1428)), LEFT(B1428,FIND("#",B1428)-1), B1428)</f>
        <v>pop_v_bank_door_l</v>
      </c>
      <c r="G1428" s="26">
        <f>IF(ISNUMBER(SEARCH("#",B1428)),VALUE(MID(B1428,FIND("#",B1428)+1,1000)),1)</f>
        <v>1</v>
      </c>
      <c r="H1428" t="str">
        <f>IF(AND(regexMatch(B1428,".*#[0-9]*$"),ISNUMBER(SEARCH("#",B1428))),CONCATENATE(TRIM(F1428)," #",G1428),B1428)</f>
        <v>pop_v_bank_door_l</v>
      </c>
    </row>
    <row r="1429" spans="1:8" ht="15.75" thickBot="1" x14ac:dyDescent="0.3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>IF(ISNUMBER(SEARCH("#",B1429)), LEFT(B1429,FIND("#",B1429)-1), B1429)</f>
        <v>pop_v_bank_door_r</v>
      </c>
      <c r="G1429" s="26">
        <f>IF(ISNUMBER(SEARCH("#",B1429)),VALUE(MID(B1429,FIND("#",B1429)+1,1000)),1)</f>
        <v>1</v>
      </c>
      <c r="H1429" t="str">
        <f>IF(AND(regexMatch(B1429,".*#[0-9]*$"),ISNUMBER(SEARCH("#",B1429))),CONCATENATE(TRIM(F1429)," #",G1429),B1429)</f>
        <v>pop_v_bank_door_r</v>
      </c>
    </row>
    <row r="1430" spans="1:8" ht="15.75" thickBot="1" x14ac:dyDescent="0.3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>IF(ISNUMBER(SEARCH("#",B1430)), LEFT(B1430,FIND("#",B1430)-1), B1430)</f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.75" thickBot="1" x14ac:dyDescent="0.3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>IF(ISNUMBER(SEARCH("#",B1431)), LEFT(B1431,FIND("#",B1431)-1), B1431)</f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.75" thickBot="1" x14ac:dyDescent="0.3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>IF(ISNUMBER(SEARCH("#",B1432)), LEFT(B1432,FIND("#",B1432)-1), B1432)</f>
        <v xml:space="preserve">Prison Door </v>
      </c>
      <c r="G1432" s="26">
        <f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.75" thickBot="1" x14ac:dyDescent="0.3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>IF(ISNUMBER(SEARCH("#",B1433)), LEFT(B1433,FIND("#",B1433)-1), B1433)</f>
        <v xml:space="preserve">Prison Door </v>
      </c>
      <c r="G1433" s="26">
        <f>IF(ISNUMBER(SEARCH("#",B1433)),VALUE(MID(B1433,FIND("#",B1433)+1,1000)),1)</f>
        <v>3</v>
      </c>
      <c r="H1433" t="str">
        <f>IF(AND(regexMatch(B1433,".*#[0-9]*$"),ISNUMBER(SEARCH("#",B1433))),CONCATENATE(TRIM(F1433)," #",G1433),B1433)</f>
        <v>Prison Door #3</v>
      </c>
    </row>
    <row r="1434" spans="1:8" ht="15.75" thickBot="1" x14ac:dyDescent="0.3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>IF(ISNUMBER(SEARCH("#",B1434)), LEFT(B1434,FIND("#",B1434)-1), B1434)</f>
        <v xml:space="preserve">Ret Door </v>
      </c>
      <c r="G1434" s="26">
        <f>IF(ISNUMBER(SEARCH("#",B1434)),VALUE(MID(B1434,FIND("#",B1434)+1,1000)),1)</f>
        <v>1</v>
      </c>
      <c r="H1434" t="str">
        <f>IF(AND(regexMatch(B1434,".*#[0-9]*$"),ISNUMBER(SEARCH("#",B1434))),CONCATENATE(TRIM(F1434)," #",G1434),B1434)</f>
        <v>Ret Door #1</v>
      </c>
    </row>
    <row r="1435" spans="1:8" ht="15.75" thickBot="1" x14ac:dyDescent="0.3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>IF(ISNUMBER(SEARCH("#",B1435)), LEFT(B1435,FIND("#",B1435)-1), B1435)</f>
        <v xml:space="preserve">Ret Door </v>
      </c>
      <c r="G1435" s="26">
        <f>IF(ISNUMBER(SEARCH("#",B1435)),VALUE(MID(B1435,FIND("#",B1435)+1,1000)),1)</f>
        <v>2</v>
      </c>
      <c r="H1435" t="str">
        <f>IF(AND(regexMatch(B1435,".*#[0-9]*$"),ISNUMBER(SEARCH("#",B1435))),CONCATENATE(TRIM(F1435)," #",G1435),B1435)</f>
        <v>Ret Door #2</v>
      </c>
    </row>
    <row r="1436" spans="1:8" ht="15.75" thickBot="1" x14ac:dyDescent="0.3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>IF(ISNUMBER(SEARCH("#",B1436)), LEFT(B1436,FIND("#",B1436)-1), B1436)</f>
        <v xml:space="preserve">Ret Door </v>
      </c>
      <c r="G1436" s="26">
        <f>IF(ISNUMBER(SEARCH("#",B1436)),VALUE(MID(B1436,FIND("#",B1436)+1,1000)),1)</f>
        <v>3</v>
      </c>
      <c r="H1436" t="str">
        <f>IF(AND(regexMatch(B1436,".*#[0-9]*$"),ISNUMBER(SEARCH("#",B1436))),CONCATENATE(TRIM(F1436)," #",G1436),B1436)</f>
        <v>Ret Door #3</v>
      </c>
    </row>
    <row r="1437" spans="1:8" ht="15.75" thickBot="1" x14ac:dyDescent="0.3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>IF(ISNUMBER(SEARCH("#",B1437)), LEFT(B1437,FIND("#",B1437)-1), B1437)</f>
        <v xml:space="preserve">Ret Door </v>
      </c>
      <c r="G1437" s="26">
        <f>IF(ISNUMBER(SEARCH("#",B1437)),VALUE(MID(B1437,FIND("#",B1437)+1,1000)),1)</f>
        <v>4</v>
      </c>
      <c r="H1437" t="str">
        <f>IF(AND(regexMatch(B1437,".*#[0-9]*$"),ISNUMBER(SEARCH("#",B1437))),CONCATENATE(TRIM(F1437)," #",G1437),B1437)</f>
        <v>Ret Door #4</v>
      </c>
    </row>
    <row r="1438" spans="1:8" ht="15.75" thickBot="1" x14ac:dyDescent="0.3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>IF(ISNUMBER(SEARCH("#",B1438)), LEFT(B1438,FIND("#",B1438)-1), B1438)</f>
        <v>Revolving Door</v>
      </c>
      <c r="G1438" s="26">
        <f>IF(ISNUMBER(SEARCH("#",B1438)),VALUE(MID(B1438,FIND("#",B1438)+1,1000)),1)</f>
        <v>1</v>
      </c>
      <c r="H1438" t="str">
        <f>IF(AND(regexMatch(B1438,".*#[0-9]*$"),ISNUMBER(SEARCH("#",B1438))),CONCATENATE(TRIM(F1438)," #",G1438),B1438)</f>
        <v>Revolving Door</v>
      </c>
    </row>
    <row r="1439" spans="1:8" ht="15.75" thickBot="1" x14ac:dyDescent="0.3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>IF(ISNUMBER(SEARCH("#",B1439)), LEFT(B1439,FIND("#",B1439)-1), B1439)</f>
        <v>Ron's House Door</v>
      </c>
      <c r="G1439" s="26">
        <f>IF(ISNUMBER(SEARCH("#",B1439)),VALUE(MID(B1439,FIND("#",B1439)+1,1000)),1)</f>
        <v>1</v>
      </c>
      <c r="H1439" t="str">
        <f>IF(AND(regexMatch(B1439,".*#[0-9]*$"),ISNUMBER(SEARCH("#",B1439))),CONCATENATE(TRIM(F1439)," #",G1439),B1439)</f>
        <v>Ron's House Door</v>
      </c>
    </row>
    <row r="1440" spans="1:8" ht="15.75" thickBot="1" x14ac:dyDescent="0.3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>IF(ISNUMBER(SEARCH("#",B1440)), LEFT(B1440,FIND("#",B1440)-1), B1440)</f>
        <v>Rusty Ship Door</v>
      </c>
      <c r="G1440" s="26">
        <f>IF(ISNUMBER(SEARCH("#",B1440)),VALUE(MID(B1440,FIND("#",B1440)+1,1000)),1)</f>
        <v>1</v>
      </c>
      <c r="H1440" t="str">
        <f>IF(AND(regexMatch(B1440,".*#[0-9]*$"),ISNUMBER(SEARCH("#",B1440))),CONCATENATE(TRIM(F1440)," #",G1440),B1440)</f>
        <v>Rusty Ship Door</v>
      </c>
    </row>
    <row r="1441" spans="1:8" ht="15.75" thickBot="1" x14ac:dyDescent="0.3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>IF(ISNUMBER(SEARCH("#",B1441)), LEFT(B1441,FIND("#",B1441)-1), B1441)</f>
        <v>Sc1 12 Door</v>
      </c>
      <c r="G1441" s="26">
        <f>IF(ISNUMBER(SEARCH("#",B1441)),VALUE(MID(B1441,FIND("#",B1441)+1,1000)),1)</f>
        <v>1</v>
      </c>
      <c r="H1441" t="str">
        <f>IF(AND(regexMatch(B1441,".*#[0-9]*$"),ISNUMBER(SEARCH("#",B1441))),CONCATENATE(TRIM(F1441)," #",G1441),B1441)</f>
        <v>Sc1 12 Door</v>
      </c>
    </row>
    <row r="1442" spans="1:8" ht="15.75" thickBot="1" x14ac:dyDescent="0.3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>IF(ISNUMBER(SEARCH("#",B1442)), LEFT(B1442,FIND("#",B1442)-1), B1442)</f>
        <v xml:space="preserve">Sc1 21 G Door </v>
      </c>
      <c r="G1442" s="26">
        <f>IF(ISNUMBER(SEARCH("#",B1442)),VALUE(MID(B1442,FIND("#",B1442)+1,1000)),1)</f>
        <v>1</v>
      </c>
      <c r="H1442" t="str">
        <f>IF(AND(regexMatch(B1442,".*#[0-9]*$"),ISNUMBER(SEARCH("#",B1442))),CONCATENATE(TRIM(F1442)," #",G1442),B1442)</f>
        <v>Sc1 21 G Door #1</v>
      </c>
    </row>
    <row r="1443" spans="1:8" ht="15.75" thickBot="1" x14ac:dyDescent="0.3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>IF(ISNUMBER(SEARCH("#",B1443)), LEFT(B1443,FIND("#",B1443)-1), B1443)</f>
        <v>Security Door</v>
      </c>
      <c r="G1443" s="26">
        <f>IF(ISNUMBER(SEARCH("#",B1443)),VALUE(MID(B1443,FIND("#",B1443)+1,1000)),1)</f>
        <v>1</v>
      </c>
      <c r="H1443" t="str">
        <f>IF(AND(regexMatch(B1443,".*#[0-9]*$"),ISNUMBER(SEARCH("#",B1443))),CONCATENATE(TRIM(F1443)," #",G1443),B1443)</f>
        <v>Security Door</v>
      </c>
    </row>
    <row r="1444" spans="1:8" ht="15.75" thickBot="1" x14ac:dyDescent="0.3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>IF(ISNUMBER(SEARCH("#",B1444)), LEFT(B1444,FIND("#",B1444)-1), B1444)</f>
        <v>Shop Front Door L</v>
      </c>
      <c r="G1444" s="26">
        <f>IF(ISNUMBER(SEARCH("#",B1444)),VALUE(MID(B1444,FIND("#",B1444)+1,1000)),1)</f>
        <v>1</v>
      </c>
      <c r="H1444" t="str">
        <f>IF(AND(regexMatch(B1444,".*#[0-9]*$"),ISNUMBER(SEARCH("#",B1444))),CONCATENATE(TRIM(F1444)," #",G1444),B1444)</f>
        <v>Shop Front Door L</v>
      </c>
    </row>
    <row r="1445" spans="1:8" ht="15.75" thickBot="1" x14ac:dyDescent="0.3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>IF(ISNUMBER(SEARCH("#",B1445)), LEFT(B1445,FIND("#",B1445)-1), B1445)</f>
        <v>Shop Front Door R</v>
      </c>
      <c r="G1445" s="26">
        <f>IF(ISNUMBER(SEARCH("#",B1445)),VALUE(MID(B1445,FIND("#",B1445)+1,1000)),1)</f>
        <v>1</v>
      </c>
      <c r="H1445" t="str">
        <f>IF(AND(regexMatch(B1445,".*#[0-9]*$"),ISNUMBER(SEARCH("#",B1445))),CONCATENATE(TRIM(F1445)," #",G1445),B1445)</f>
        <v>Shop Front Door R</v>
      </c>
    </row>
    <row r="1446" spans="1:8" ht="15.75" thickBot="1" x14ac:dyDescent="0.3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>IF(ISNUMBER(SEARCH("#",B1446)), LEFT(B1446,FIND("#",B1446)-1), B1446)</f>
        <v>Shower Door</v>
      </c>
      <c r="G1446" s="26">
        <f>IF(ISNUMBER(SEARCH("#",B1446)),VALUE(MID(B1446,FIND("#",B1446)+1,1000)),1)</f>
        <v>1</v>
      </c>
      <c r="H1446" t="str">
        <f>IF(AND(regexMatch(B1446,".*#[0-9]*$"),ISNUMBER(SEARCH("#",B1446))),CONCATENATE(TRIM(F1446)," #",G1446),B1446)</f>
        <v>Shower Door</v>
      </c>
    </row>
    <row r="1447" spans="1:8" ht="15.75" thickBot="1" x14ac:dyDescent="0.3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>IF(ISNUMBER(SEARCH("#",B1447)), LEFT(B1447,FIND("#",B1447)-1), B1447)</f>
        <v>Showroom Door L</v>
      </c>
      <c r="G1447" s="26">
        <f>IF(ISNUMBER(SEARCH("#",B1447)),VALUE(MID(B1447,FIND("#",B1447)+1,1000)),1)</f>
        <v>1</v>
      </c>
      <c r="H1447" t="str">
        <f>IF(AND(regexMatch(B1447,".*#[0-9]*$"),ISNUMBER(SEARCH("#",B1447))),CONCATENATE(TRIM(F1447)," #",G1447),B1447)</f>
        <v>Showroom Door L</v>
      </c>
    </row>
    <row r="1448" spans="1:8" ht="15.75" thickBot="1" x14ac:dyDescent="0.3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>IF(ISNUMBER(SEARCH("#",B1448)), LEFT(B1448,FIND("#",B1448)-1), B1448)</f>
        <v>Showroom Door R</v>
      </c>
      <c r="G1448" s="26">
        <f>IF(ISNUMBER(SEARCH("#",B1448)),VALUE(MID(B1448,FIND("#",B1448)+1,1000)),1)</f>
        <v>1</v>
      </c>
      <c r="H1448" t="str">
        <f>IF(AND(regexMatch(B1448,".*#[0-9]*$"),ISNUMBER(SEARCH("#",B1448))),CONCATENATE(TRIM(F1448)," #",G1448),B1448)</f>
        <v>Showroom Door R</v>
      </c>
    </row>
    <row r="1449" spans="1:8" ht="15.75" thickBot="1" x14ac:dyDescent="0.3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>IF(ISNUMBER(SEARCH("#",B1449)), LEFT(B1449,FIND("#",B1449)-1), B1449)</f>
        <v>Sliding Shutter Door</v>
      </c>
      <c r="G1449" s="26">
        <f>IF(ISNUMBER(SEARCH("#",B1449)),VALUE(MID(B1449,FIND("#",B1449)+1,1000)),1)</f>
        <v>1</v>
      </c>
      <c r="H1449" t="str">
        <f>IF(AND(regexMatch(B1449,".*#[0-9]*$"),ISNUMBER(SEARCH("#",B1449))),CONCATENATE(TRIM(F1449)," #",G1449),B1449)</f>
        <v>Sliding Shutter Door</v>
      </c>
    </row>
    <row r="1450" spans="1:8" ht="15.75" thickBot="1" x14ac:dyDescent="0.3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>IF(ISNUMBER(SEARCH("#",B1450)), LEFT(B1450,FIND("#",B1450)-1), B1450)</f>
        <v>sm_14_mp_door_l</v>
      </c>
      <c r="G1450" s="26">
        <f>IF(ISNUMBER(SEARCH("#",B1450)),VALUE(MID(B1450,FIND("#",B1450)+1,1000)),1)</f>
        <v>1</v>
      </c>
      <c r="H1450" t="str">
        <f>IF(AND(regexMatch(B1450,".*#[0-9]*$"),ISNUMBER(SEARCH("#",B1450))),CONCATENATE(TRIM(F1450)," #",G1450),B1450)</f>
        <v>sm_14_mp_door_l</v>
      </c>
    </row>
    <row r="1451" spans="1:8" ht="15.75" thickBot="1" x14ac:dyDescent="0.3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>IF(ISNUMBER(SEARCH("#",B1451)), LEFT(B1451,FIND("#",B1451)-1), B1451)</f>
        <v>sm_14_mp_door_r</v>
      </c>
      <c r="G1451" s="26">
        <f>IF(ISNUMBER(SEARCH("#",B1451)),VALUE(MID(B1451,FIND("#",B1451)+1,1000)),1)</f>
        <v>1</v>
      </c>
      <c r="H1451" t="str">
        <f>IF(AND(regexMatch(B1451,".*#[0-9]*$"),ISNUMBER(SEARCH("#",B1451))),CONCATENATE(TRIM(F1451)," #",G1451),B1451)</f>
        <v>sm_14_mp_door_r</v>
      </c>
    </row>
    <row r="1452" spans="1:8" ht="15.75" thickBot="1" x14ac:dyDescent="0.3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>IF(ISNUMBER(SEARCH("#",B1452)), LEFT(B1452,FIND("#",B1452)-1), B1452)</f>
        <v>Sm1 11 Door L</v>
      </c>
      <c r="G1452" s="26">
        <f>IF(ISNUMBER(SEARCH("#",B1452)),VALUE(MID(B1452,FIND("#",B1452)+1,1000)),1)</f>
        <v>1</v>
      </c>
      <c r="H1452" t="str">
        <f>IF(AND(regexMatch(B1452,".*#[0-9]*$"),ISNUMBER(SEARCH("#",B1452))),CONCATENATE(TRIM(F1452)," #",G1452),B1452)</f>
        <v>Sm1 11 Door L</v>
      </c>
    </row>
    <row r="1453" spans="1:8" ht="15.75" thickBot="1" x14ac:dyDescent="0.3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>IF(ISNUMBER(SEARCH("#",B1453)), LEFT(B1453,FIND("#",B1453)-1), B1453)</f>
        <v>Sm1 11 Door R</v>
      </c>
      <c r="G1453" s="26">
        <f>IF(ISNUMBER(SEARCH("#",B1453)),VALUE(MID(B1453,FIND("#",B1453)+1,1000)),1)</f>
        <v>1</v>
      </c>
      <c r="H1453" t="str">
        <f>IF(AND(regexMatch(B1453,".*#[0-9]*$"),ISNUMBER(SEARCH("#",B1453))),CONCATENATE(TRIM(F1453)," #",G1453),B1453)</f>
        <v>Sm1 11 Door R</v>
      </c>
    </row>
    <row r="1454" spans="1:8" ht="15.75" thickBot="1" x14ac:dyDescent="0.3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>IF(ISNUMBER(SEARCH("#",B1454)), LEFT(B1454,FIND("#",B1454)-1), B1454)</f>
        <v>Sm1 11 Garaged</v>
      </c>
      <c r="G1454" s="26">
        <f>IF(ISNUMBER(SEARCH("#",B1454)),VALUE(MID(B1454,FIND("#",B1454)+1,1000)),1)</f>
        <v>1</v>
      </c>
      <c r="H1454" t="str">
        <f>IF(AND(regexMatch(B1454,".*#[0-9]*$"),ISNUMBER(SEARCH("#",B1454))),CONCATENATE(TRIM(F1454)," #",G1454),B1454)</f>
        <v>Sm1 11 Garaged</v>
      </c>
    </row>
    <row r="1455" spans="1:8" ht="15.75" thickBot="1" x14ac:dyDescent="0.3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>IF(ISNUMBER(SEARCH("#",B1455)), LEFT(B1455,FIND("#",B1455)-1), B1455)</f>
        <v>Small 10 Mp Door</v>
      </c>
      <c r="G1455" s="26">
        <f>IF(ISNUMBER(SEARCH("#",B1455)),VALUE(MID(B1455,FIND("#",B1455)+1,1000)),1)</f>
        <v>1</v>
      </c>
      <c r="H1455" t="str">
        <f>IF(AND(regexMatch(B1455,".*#[0-9]*$"),ISNUMBER(SEARCH("#",B1455))),CONCATENATE(TRIM(F1455)," #",G1455),B1455)</f>
        <v>Small 10 Mp Door</v>
      </c>
    </row>
    <row r="1456" spans="1:8" ht="15.75" thickBot="1" x14ac:dyDescent="0.3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>IF(ISNUMBER(SEARCH("#",B1456)), LEFT(B1456,FIND("#",B1456)-1), B1456)</f>
        <v>Small 14 Mp Gar</v>
      </c>
      <c r="G1456" s="26">
        <f>IF(ISNUMBER(SEARCH("#",B1456)),VALUE(MID(B1456,FIND("#",B1456)+1,1000)),1)</f>
        <v>1</v>
      </c>
      <c r="H1456" t="str">
        <f>IF(AND(regexMatch(B1456,".*#[0-9]*$"),ISNUMBER(SEARCH("#",B1456))),CONCATENATE(TRIM(F1456)," #",G1456),B1456)</f>
        <v>Small 14 Mp Gar</v>
      </c>
    </row>
    <row r="1457" spans="1:8" ht="15.75" thickBot="1" x14ac:dyDescent="0.3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>IF(ISNUMBER(SEARCH("#",B1457)), LEFT(B1457,FIND("#",B1457)-1), B1457)</f>
        <v>Small 27 Door</v>
      </c>
      <c r="G1457" s="26">
        <f>IF(ISNUMBER(SEARCH("#",B1457)),VALUE(MID(B1457,FIND("#",B1457)+1,1000)),1)</f>
        <v>1</v>
      </c>
      <c r="H1457" t="str">
        <f>IF(AND(regexMatch(B1457,".*#[0-9]*$"),ISNUMBER(SEARCH("#",B1457))),CONCATENATE(TRIM(F1457)," #",G1457),B1457)</f>
        <v>Small 27 Door</v>
      </c>
    </row>
    <row r="1458" spans="1:8" ht="15.75" thickBot="1" x14ac:dyDescent="0.3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>IF(ISNUMBER(SEARCH("#",B1458)), LEFT(B1458,FIND("#",B1458)-1), B1458)</f>
        <v>Small Locker Door</v>
      </c>
      <c r="G1458" s="26">
        <f>IF(ISNUMBER(SEARCH("#",B1458)),VALUE(MID(B1458,FIND("#",B1458)+1,1000)),1)</f>
        <v>1</v>
      </c>
      <c r="H1458" t="str">
        <f>IF(AND(regexMatch(B1458,".*#[0-9]*$"),ISNUMBER(SEARCH("#",B1458))),CONCATENATE(TRIM(F1458)," #",G1458),B1458)</f>
        <v>Small Locker Door</v>
      </c>
    </row>
    <row r="1459" spans="1:8" ht="15.75" thickBot="1" x14ac:dyDescent="0.3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>IF(ISNUMBER(SEARCH("#",B1459)), LEFT(B1459,FIND("#",B1459)-1), B1459)</f>
        <v>Ss1 05 Mp Door</v>
      </c>
      <c r="G1459" s="26">
        <f>IF(ISNUMBER(SEARCH("#",B1459)),VALUE(MID(B1459,FIND("#",B1459)+1,1000)),1)</f>
        <v>1</v>
      </c>
      <c r="H1459" t="str">
        <f>IF(AND(regexMatch(B1459,".*#[0-9]*$"),ISNUMBER(SEARCH("#",B1459))),CONCATENATE(TRIM(F1459)," #",G1459),B1459)</f>
        <v>Ss1 05 Mp Door</v>
      </c>
    </row>
    <row r="1460" spans="1:8" ht="15.75" thickBot="1" x14ac:dyDescent="0.3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>IF(ISNUMBER(SEARCH("#",B1460)), LEFT(B1460,FIND("#",B1460)-1), B1460)</f>
        <v>Ss1 08 Mp Door L</v>
      </c>
      <c r="G1460" s="26">
        <f>IF(ISNUMBER(SEARCH("#",B1460)),VALUE(MID(B1460,FIND("#",B1460)+1,1000)),1)</f>
        <v>1</v>
      </c>
      <c r="H1460" t="str">
        <f>IF(AND(regexMatch(B1460,".*#[0-9]*$"),ISNUMBER(SEARCH("#",B1460))),CONCATENATE(TRIM(F1460)," #",G1460),B1460)</f>
        <v>Ss1 08 Mp Door L</v>
      </c>
    </row>
    <row r="1461" spans="1:8" ht="15.75" thickBot="1" x14ac:dyDescent="0.3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>IF(ISNUMBER(SEARCH("#",B1461)), LEFT(B1461,FIND("#",B1461)-1), B1461)</f>
        <v>Ss1 08 Mp Door R</v>
      </c>
      <c r="G1461" s="26">
        <f>IF(ISNUMBER(SEARCH("#",B1461)),VALUE(MID(B1461,FIND("#",B1461)+1,1000)),1)</f>
        <v>1</v>
      </c>
      <c r="H1461" t="str">
        <f>IF(AND(regexMatch(B1461,".*#[0-9]*$"),ISNUMBER(SEARCH("#",B1461))),CONCATENATE(TRIM(F1461)," #",G1461),B1461)</f>
        <v>Ss1 08 Mp Door R</v>
      </c>
    </row>
    <row r="1462" spans="1:8" ht="15.75" thickBot="1" x14ac:dyDescent="0.3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>IF(ISNUMBER(SEARCH("#",B1462)), LEFT(B1462,FIND("#",B1462)-1), B1462)</f>
        <v>Ss1 10 Door L</v>
      </c>
      <c r="G1462" s="26">
        <f>IF(ISNUMBER(SEARCH("#",B1462)),VALUE(MID(B1462,FIND("#",B1462)+1,1000)),1)</f>
        <v>1</v>
      </c>
      <c r="H1462" t="str">
        <f>IF(AND(regexMatch(B1462,".*#[0-9]*$"),ISNUMBER(SEARCH("#",B1462))),CONCATENATE(TRIM(F1462)," #",G1462),B1462)</f>
        <v>Ss1 10 Door L</v>
      </c>
    </row>
    <row r="1463" spans="1:8" ht="15.75" thickBot="1" x14ac:dyDescent="0.3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>IF(ISNUMBER(SEARCH("#",B1463)), LEFT(B1463,FIND("#",B1463)-1), B1463)</f>
        <v>Ss1 10 Door R</v>
      </c>
      <c r="G1463" s="26">
        <f>IF(ISNUMBER(SEARCH("#",B1463)),VALUE(MID(B1463,FIND("#",B1463)+1,1000)),1)</f>
        <v>1</v>
      </c>
      <c r="H1463" t="str">
        <f>IF(AND(regexMatch(B1463,".*#[0-9]*$"),ISNUMBER(SEARCH("#",B1463))),CONCATENATE(TRIM(F1463)," #",G1463),B1463)</f>
        <v>Ss1 10 Door R</v>
      </c>
    </row>
    <row r="1464" spans="1:8" ht="15.75" thickBot="1" x14ac:dyDescent="0.3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>IF(ISNUMBER(SEARCH("#",B1464)), LEFT(B1464,FIND("#",B1464)-1), B1464)</f>
        <v>Ss1 14 Garage Door</v>
      </c>
      <c r="G1464" s="26">
        <f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.75" thickBot="1" x14ac:dyDescent="0.3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>IF(ISNUMBER(SEARCH("#",B1465)), LEFT(B1465,FIND("#",B1465)-1), B1465)</f>
        <v>Ss1 Mpint Door L</v>
      </c>
      <c r="G1465" s="26">
        <f>IF(ISNUMBER(SEARCH("#",B1465)),VALUE(MID(B1465,FIND("#",B1465)+1,1000)),1)</f>
        <v>1</v>
      </c>
      <c r="H1465" t="str">
        <f>IF(AND(regexMatch(B1465,".*#[0-9]*$"),ISNUMBER(SEARCH("#",B1465))),CONCATENATE(TRIM(F1465)," #",G1465),B1465)</f>
        <v>Ss1 Mpint Door L</v>
      </c>
    </row>
    <row r="1466" spans="1:8" ht="15.75" thickBot="1" x14ac:dyDescent="0.3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>IF(ISNUMBER(SEARCH("#",B1466)), LEFT(B1466,FIND("#",B1466)-1), B1466)</f>
        <v>Ss1 Mpint Door R</v>
      </c>
      <c r="G1466" s="26">
        <f>IF(ISNUMBER(SEARCH("#",B1466)),VALUE(MID(B1466,FIND("#",B1466)+1,1000)),1)</f>
        <v>1</v>
      </c>
      <c r="H1466" t="str">
        <f>IF(AND(regexMatch(B1466,".*#[0-9]*$"),ISNUMBER(SEARCH("#",B1466))),CONCATENATE(TRIM(F1466)," #",G1466),B1466)</f>
        <v>Ss1 Mpint Door R</v>
      </c>
    </row>
    <row r="1467" spans="1:8" ht="15.75" thickBot="1" x14ac:dyDescent="0.3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>IF(ISNUMBER(SEARCH("#",B1467)), LEFT(B1467,FIND("#",B1467)-1), B1467)</f>
        <v>Ss1 Mpint Garage</v>
      </c>
      <c r="G1467" s="26">
        <f>IF(ISNUMBER(SEARCH("#",B1467)),VALUE(MID(B1467,FIND("#",B1467)+1,1000)),1)</f>
        <v>1</v>
      </c>
      <c r="H1467" t="str">
        <f>IF(AND(regexMatch(B1467,".*#[0-9]*$"),ISNUMBER(SEARCH("#",B1467))),CONCATENATE(TRIM(F1467)," #",G1467),B1467)</f>
        <v>Ss1 Mpint Garage</v>
      </c>
    </row>
    <row r="1468" spans="1:8" ht="15.75" thickBot="1" x14ac:dyDescent="0.3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>IF(ISNUMBER(SEARCH("#",B1468)), LEFT(B1468,FIND("#",B1468)-1), B1468)</f>
        <v>Ss1 Mpint Garage Cl</v>
      </c>
      <c r="G1468" s="26">
        <f>IF(ISNUMBER(SEARCH("#",B1468)),VALUE(MID(B1468,FIND("#",B1468)+1,1000)),1)</f>
        <v>1</v>
      </c>
      <c r="H1468" t="str">
        <f>IF(AND(regexMatch(B1468,".*#[0-9]*$"),ISNUMBER(SEARCH("#",B1468))),CONCATENATE(TRIM(F1468)," #",G1468),B1468)</f>
        <v>Ss1 Mpint Garage Cl</v>
      </c>
    </row>
    <row r="1469" spans="1:8" ht="15.75" thickBot="1" x14ac:dyDescent="0.3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>IF(ISNUMBER(SEARCH("#",B1469)), LEFT(B1469,FIND("#",B1469)-1), B1469)</f>
        <v>Staff Only Door</v>
      </c>
      <c r="G1469" s="26">
        <f>IF(ISNUMBER(SEARCH("#",B1469)),VALUE(MID(B1469,FIND("#",B1469)+1,1000)),1)</f>
        <v>1</v>
      </c>
      <c r="H1469" t="str">
        <f>IF(AND(regexMatch(B1469,".*#[0-9]*$"),ISNUMBER(SEARCH("#",B1469))),CONCATENATE(TRIM(F1469)," #",G1469),B1469)</f>
        <v>Staff Only Door</v>
      </c>
    </row>
    <row r="1470" spans="1:8" ht="15.75" thickBot="1" x14ac:dyDescent="0.3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>IF(ISNUMBER(SEARCH("#",B1470)), LEFT(B1470,FIND("#",B1470)-1), B1470)</f>
        <v>Strip Club Door</v>
      </c>
      <c r="G1470" s="26">
        <f>IF(ISNUMBER(SEARCH("#",B1470)),VALUE(MID(B1470,FIND("#",B1470)+1,1000)),1)</f>
        <v>1</v>
      </c>
      <c r="H1470" t="str">
        <f>IF(AND(regexMatch(B1470,".*#[0-9]*$"),ISNUMBER(SEARCH("#",B1470))),CONCATENATE(TRIM(F1470)," #",G1470),B1470)</f>
        <v>Strip Club Door</v>
      </c>
    </row>
    <row r="1471" spans="1:8" ht="15.75" thickBot="1" x14ac:dyDescent="0.3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>IF(ISNUMBER(SEARCH("#",B1471)), LEFT(B1471,FIND("#",B1471)-1), B1471)</f>
        <v xml:space="preserve">Union Depository Shutter Door </v>
      </c>
      <c r="G1471" s="26">
        <f>IF(ISNUMBER(SEARCH("#",B1471)),VALUE(MID(B1471,FIND("#",B1471)+1,1000)),1)</f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.75" thickBot="1" x14ac:dyDescent="0.3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>IF(ISNUMBER(SEARCH("#",B1472)), LEFT(B1472,FIND("#",B1472)-1), B1472)</f>
        <v xml:space="preserve">Union Depository Shutter Door </v>
      </c>
      <c r="G1472" s="26">
        <f>IF(ISNUMBER(SEARCH("#",B1472)),VALUE(MID(B1472,FIND("#",B1472)+1,1000)),1)</f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.75" thickBot="1" x14ac:dyDescent="0.3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>IF(ISNUMBER(SEARCH("#",B1473)), LEFT(B1473,FIND("#",B1473)-1), B1473)</f>
        <v xml:space="preserve">V Door </v>
      </c>
      <c r="G1473" s="26">
        <f>IF(ISNUMBER(SEARCH("#",B1473)),VALUE(MID(B1473,FIND("#",B1473)+1,1000)),1)</f>
        <v>44</v>
      </c>
      <c r="H1473" t="str">
        <f>IF(AND(regexMatch(B1473,".*#[0-9]*$"),ISNUMBER(SEARCH("#",B1473))),CONCATENATE(TRIM(F1473)," #",G1473),B1473)</f>
        <v>V Door #44</v>
      </c>
    </row>
    <row r="1474" spans="1:8" ht="15.75" thickBot="1" x14ac:dyDescent="0.3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>IF(ISNUMBER(SEARCH("#",B1474)), LEFT(B1474,FIND("#",B1474)-1), B1474)</f>
        <v>v_ilev_fib_door1_s</v>
      </c>
      <c r="G1474" s="26">
        <f>IF(ISNUMBER(SEARCH("#",B1474)),VALUE(MID(B1474,FIND("#",B1474)+1,1000)),1)</f>
        <v>1</v>
      </c>
      <c r="H1474" t="str">
        <f>IF(AND(regexMatch(B1474,".*#[0-9]*$"),ISNUMBER(SEARCH("#",B1474))),CONCATENATE(TRIM(F1474)," #",G1474),B1474)</f>
        <v>v_ilev_fib_door1_s</v>
      </c>
    </row>
    <row r="1475" spans="1:8" ht="15.75" thickBot="1" x14ac:dyDescent="0.3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>IF(ISNUMBER(SEARCH("#",B1475)), LEFT(B1475,FIND("#",B1475)-1), B1475)</f>
        <v xml:space="preserve">Vault Door </v>
      </c>
      <c r="G1475" s="26">
        <f>IF(ISNUMBER(SEARCH("#",B1475)),VALUE(MID(B1475,FIND("#",B1475)+1,1000)),1)</f>
        <v>1</v>
      </c>
      <c r="H1475" t="str">
        <f>IF(AND(regexMatch(B1475,".*#[0-9]*$"),ISNUMBER(SEARCH("#",B1475))),CONCATENATE(TRIM(F1475)," #",G1475),B1475)</f>
        <v>Vault Door #1</v>
      </c>
    </row>
    <row r="1476" spans="1:8" ht="15.75" thickBot="1" x14ac:dyDescent="0.3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>IF(ISNUMBER(SEARCH("#",B1476)), LEFT(B1476,FIND("#",B1476)-1), B1476)</f>
        <v xml:space="preserve">Vault Door </v>
      </c>
      <c r="G1476" s="26">
        <f>IF(ISNUMBER(SEARCH("#",B1476)),VALUE(MID(B1476,FIND("#",B1476)+1,1000)),1)</f>
        <v>2</v>
      </c>
      <c r="H1476" t="str">
        <f>IF(AND(regexMatch(B1476,".*#[0-9]*$"),ISNUMBER(SEARCH("#",B1476))),CONCATENATE(TRIM(F1476)," #",G1476),B1476)</f>
        <v>Vault Door #2</v>
      </c>
    </row>
    <row r="1477" spans="1:8" ht="15.75" thickBot="1" x14ac:dyDescent="0.3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>IF(ISNUMBER(SEARCH("#",B1477)), LEFT(B1477,FIND("#",B1477)-1), B1477)</f>
        <v>Vault Shutter</v>
      </c>
      <c r="G1477" s="26">
        <f>IF(ISNUMBER(SEARCH("#",B1477)),VALUE(MID(B1477,FIND("#",B1477)+1,1000)),1)</f>
        <v>1</v>
      </c>
      <c r="H1477" t="str">
        <f>IF(AND(regexMatch(B1477,".*#[0-9]*$"),ISNUMBER(SEARCH("#",B1477))),CONCATENATE(TRIM(F1477)," #",G1477),B1477)</f>
        <v>Vault Shutter</v>
      </c>
    </row>
    <row r="1478" spans="1:8" ht="15.75" thickBot="1" x14ac:dyDescent="0.3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>IF(ISNUMBER(SEARCH("#",B1478)), LEFT(B1478,FIND("#",B1478)-1), B1478)</f>
        <v>vb_43_door_l_mp</v>
      </c>
      <c r="G1478" s="26">
        <f>IF(ISNUMBER(SEARCH("#",B1478)),VALUE(MID(B1478,FIND("#",B1478)+1,1000)),1)</f>
        <v>1</v>
      </c>
      <c r="H1478" t="str">
        <f>IF(AND(regexMatch(B1478,".*#[0-9]*$"),ISNUMBER(SEARCH("#",B1478))),CONCATENATE(TRIM(F1478)," #",G1478),B1478)</f>
        <v>vb_43_door_l_mp</v>
      </c>
    </row>
    <row r="1479" spans="1:8" ht="15.75" thickBot="1" x14ac:dyDescent="0.3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>IF(ISNUMBER(SEARCH("#",B1479)), LEFT(B1479,FIND("#",B1479)-1), B1479)</f>
        <v>vb_43_door_r_mp</v>
      </c>
      <c r="G1479" s="26">
        <f>IF(ISNUMBER(SEARCH("#",B1479)),VALUE(MID(B1479,FIND("#",B1479)+1,1000)),1)</f>
        <v>1</v>
      </c>
      <c r="H1479" t="str">
        <f>IF(AND(regexMatch(B1479,".*#[0-9]*$"),ISNUMBER(SEARCH("#",B1479))),CONCATENATE(TRIM(F1479)," #",G1479),B1479)</f>
        <v>vb_43_door_r_mp</v>
      </c>
    </row>
    <row r="1480" spans="1:8" ht="15.75" thickBot="1" x14ac:dyDescent="0.3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>IF(ISNUMBER(SEARCH("#",B1480)), LEFT(B1480,FIND("#",B1480)-1), B1480)</f>
        <v>Wardrobe Door</v>
      </c>
      <c r="G1480" s="26">
        <f>IF(ISNUMBER(SEARCH("#",B1480)),VALUE(MID(B1480,FIND("#",B1480)+1,1000)),1)</f>
        <v>1</v>
      </c>
      <c r="H1480" t="str">
        <f>IF(AND(regexMatch(B1480,".*#[0-9]*$"),ISNUMBER(SEARCH("#",B1480))),CONCATENATE(TRIM(F1480)," #",G1480),B1480)</f>
        <v>Wardrobe Door</v>
      </c>
    </row>
    <row r="1481" spans="1:8" ht="15.75" thickBot="1" x14ac:dyDescent="0.3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>IF(ISNUMBER(SEARCH("#",B1481)), LEFT(B1481,FIND("#",B1481)-1), B1481)</f>
        <v>Weazel Plaza Door L</v>
      </c>
      <c r="G1481" s="26">
        <f>IF(ISNUMBER(SEARCH("#",B1481)),VALUE(MID(B1481,FIND("#",B1481)+1,1000)),1)</f>
        <v>1</v>
      </c>
      <c r="H1481" t="str">
        <f>IF(AND(regexMatch(B1481,".*#[0-9]*$"),ISNUMBER(SEARCH("#",B1481))),CONCATENATE(TRIM(F1481)," #",G1481),B1481)</f>
        <v>Weazel Plaza Door L</v>
      </c>
    </row>
    <row r="1482" spans="1:8" ht="15.75" thickBot="1" x14ac:dyDescent="0.3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>IF(ISNUMBER(SEARCH("#",B1482)), LEFT(B1482,FIND("#",B1482)-1), B1482)</f>
        <v>Weazel Plaza Door R</v>
      </c>
      <c r="G1482" s="26">
        <f>IF(ISNUMBER(SEARCH("#",B1482)),VALUE(MID(B1482,FIND("#",B1482)+1,1000)),1)</f>
        <v>1</v>
      </c>
      <c r="H1482" t="str">
        <f>IF(AND(regexMatch(B1482,".*#[0-9]*$"),ISNUMBER(SEARCH("#",B1482))),CONCATENATE(TRIM(F1482)," #",G1482),B1482)</f>
        <v>Weazel Plaza Door R</v>
      </c>
    </row>
    <row r="1483" spans="1:8" ht="15.75" thickBot="1" x14ac:dyDescent="0.3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>IF(ISNUMBER(SEARCH("#",B1483)), LEFT(B1483,FIND("#",B1483)-1), B1483)</f>
        <v>Wooden Garage Door</v>
      </c>
      <c r="G1483" s="26">
        <f>IF(ISNUMBER(SEARCH("#",B1483)),VALUE(MID(B1483,FIND("#",B1483)+1,1000)),1)</f>
        <v>1</v>
      </c>
      <c r="H1483" t="str">
        <f>IF(AND(regexMatch(B1483,".*#[0-9]*$"),ISNUMBER(SEARCH("#",B1483))),CONCATENATE(TRIM(F1483)," #",G1483),B1483)</f>
        <v>Wooden Garage Door</v>
      </c>
    </row>
    <row r="1484" spans="1:8" ht="15.75" thickBot="1" x14ac:dyDescent="0.3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>IF(ISNUMBER(SEARCH("#",B1484)), LEFT(B1484,FIND("#",B1484)-1), B1484)</f>
        <v xml:space="preserve">Beer Bottle </v>
      </c>
      <c r="G1484" s="26">
        <f>IF(ISNUMBER(SEARCH("#",B1484)),VALUE(MID(B1484,FIND("#",B1484)+1,1000)),1)</f>
        <v>1</v>
      </c>
      <c r="H1484" t="str">
        <f>IF(AND(regexMatch(B1484,".*#[0-9]*$"),ISNUMBER(SEARCH("#",B1484))),CONCATENATE(TRIM(F1484)," #",G1484),B1484)</f>
        <v>Beer Bottle #1</v>
      </c>
    </row>
    <row r="1485" spans="1:8" ht="15.75" thickBot="1" x14ac:dyDescent="0.3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>IF(ISNUMBER(SEARCH("#",B1485)), LEFT(B1485,FIND("#",B1485)-1), B1485)</f>
        <v xml:space="preserve">Beer Bottle </v>
      </c>
      <c r="G1485" s="26">
        <f>IF(ISNUMBER(SEARCH("#",B1485)),VALUE(MID(B1485,FIND("#",B1485)+1,1000)),1)</f>
        <v>2</v>
      </c>
      <c r="H1485" t="str">
        <f>IF(AND(regexMatch(B1485,".*#[0-9]*$"),ISNUMBER(SEARCH("#",B1485))),CONCATENATE(TRIM(F1485)," #",G1485),B1485)</f>
        <v>Beer Bottle #2</v>
      </c>
    </row>
    <row r="1486" spans="1:8" ht="15.75" thickBot="1" x14ac:dyDescent="0.3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>IF(ISNUMBER(SEARCH("#",B1486)), LEFT(B1486,FIND("#",B1486)-1), B1486)</f>
        <v xml:space="preserve">Beer Bottle </v>
      </c>
      <c r="G1486" s="26">
        <f>IF(ISNUMBER(SEARCH("#",B1486)),VALUE(MID(B1486,FIND("#",B1486)+1,1000)),1)</f>
        <v>3</v>
      </c>
      <c r="H1486" t="str">
        <f>IF(AND(regexMatch(B1486,".*#[0-9]*$"),ISNUMBER(SEARCH("#",B1486))),CONCATENATE(TRIM(F1486)," #",G1486),B1486)</f>
        <v>Beer Bottle #3</v>
      </c>
    </row>
    <row r="1487" spans="1:8" ht="15.75" thickBot="1" x14ac:dyDescent="0.3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>IF(ISNUMBER(SEARCH("#",B1487)), LEFT(B1487,FIND("#",B1487)-1), B1487)</f>
        <v xml:space="preserve">Bong </v>
      </c>
      <c r="G1487" s="26">
        <f>IF(ISNUMBER(SEARCH("#",B1487)),VALUE(MID(B1487,FIND("#",B1487)+1,1000)),1)</f>
        <v>1</v>
      </c>
      <c r="H1487" t="str">
        <f>IF(AND(regexMatch(B1487,".*#[0-9]*$"),ISNUMBER(SEARCH("#",B1487))),CONCATENATE(TRIM(F1487)," #",G1487),B1487)</f>
        <v>Bong #1</v>
      </c>
    </row>
    <row r="1488" spans="1:8" ht="15.75" thickBot="1" x14ac:dyDescent="0.3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>IF(ISNUMBER(SEARCH("#",B1488)), LEFT(B1488,FIND("#",B1488)-1), B1488)</f>
        <v xml:space="preserve">Bong </v>
      </c>
      <c r="G1488" s="26">
        <f>IF(ISNUMBER(SEARCH("#",B1488)),VALUE(MID(B1488,FIND("#",B1488)+1,1000)),1)</f>
        <v>2</v>
      </c>
      <c r="H1488" t="str">
        <f>IF(AND(regexMatch(B1488,".*#[0-9]*$"),ISNUMBER(SEARCH("#",B1488))),CONCATENATE(TRIM(F1488)," #",G1488),B1488)</f>
        <v>Bong #2</v>
      </c>
    </row>
    <row r="1489" spans="1:8" ht="15.75" thickBot="1" x14ac:dyDescent="0.3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>IF(ISNUMBER(SEARCH("#",B1489)), LEFT(B1489,FIND("#",B1489)-1), B1489)</f>
        <v>Coke Block</v>
      </c>
      <c r="G1489" s="26">
        <f>IF(ISNUMBER(SEARCH("#",B1489)),VALUE(MID(B1489,FIND("#",B1489)+1,1000)),1)</f>
        <v>1</v>
      </c>
      <c r="H1489" t="str">
        <f>IF(AND(regexMatch(B1489,".*#[0-9]*$"),ISNUMBER(SEARCH("#",B1489))),CONCATENATE(TRIM(F1489)," #",G1489),B1489)</f>
        <v>Coke Block</v>
      </c>
    </row>
    <row r="1490" spans="1:8" ht="15.75" thickBot="1" x14ac:dyDescent="0.3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>IF(ISNUMBER(SEARCH("#",B1490)), LEFT(B1490,FIND("#",B1490)-1), B1490)</f>
        <v>Coke Block Half A</v>
      </c>
      <c r="G1490" s="26">
        <f>IF(ISNUMBER(SEARCH("#",B1490)),VALUE(MID(B1490,FIND("#",B1490)+1,1000)),1)</f>
        <v>1</v>
      </c>
      <c r="H1490" t="str">
        <f>IF(AND(regexMatch(B1490,".*#[0-9]*$"),ISNUMBER(SEARCH("#",B1490))),CONCATENATE(TRIM(F1490)," #",G1490),B1490)</f>
        <v>Coke Block Half A</v>
      </c>
    </row>
    <row r="1491" spans="1:8" ht="15.75" thickBot="1" x14ac:dyDescent="0.3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>IF(ISNUMBER(SEARCH("#",B1491)), LEFT(B1491,FIND("#",B1491)-1), B1491)</f>
        <v>Coke Block Half B</v>
      </c>
      <c r="G1491" s="26">
        <f>IF(ISNUMBER(SEARCH("#",B1491)),VALUE(MID(B1491,FIND("#",B1491)+1,1000)),1)</f>
        <v>1</v>
      </c>
      <c r="H1491" t="str">
        <f>IF(AND(regexMatch(B1491,".*#[0-9]*$"),ISNUMBER(SEARCH("#",B1491))),CONCATENATE(TRIM(F1491)," #",G1491),B1491)</f>
        <v>Coke Block Half B</v>
      </c>
    </row>
    <row r="1492" spans="1:8" ht="15.75" thickBot="1" x14ac:dyDescent="0.3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>IF(ISNUMBER(SEARCH("#",B1492)), LEFT(B1492,FIND("#",B1492)-1), B1492)</f>
        <v>Coke Line</v>
      </c>
      <c r="G1492" s="26">
        <f>IF(ISNUMBER(SEARCH("#",B1492)),VALUE(MID(B1492,FIND("#",B1492)+1,1000)),1)</f>
        <v>1</v>
      </c>
      <c r="H1492" t="str">
        <f>IF(AND(regexMatch(B1492,".*#[0-9]*$"),ISNUMBER(SEARCH("#",B1492))),CONCATENATE(TRIM(F1492)," #",G1492),B1492)</f>
        <v>Coke Line</v>
      </c>
    </row>
    <row r="1493" spans="1:8" ht="15.75" thickBot="1" x14ac:dyDescent="0.3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>IF(ISNUMBER(SEARCH("#",B1493)), LEFT(B1493,FIND("#",B1493)-1), B1493)</f>
        <v>Crackpipe</v>
      </c>
      <c r="G1493" s="26">
        <f>IF(ISNUMBER(SEARCH("#",B1493)),VALUE(MID(B1493,FIND("#",B1493)+1,1000)),1)</f>
        <v>1</v>
      </c>
      <c r="H1493" t="str">
        <f>IF(AND(regexMatch(B1493,".*#[0-9]*$"),ISNUMBER(SEARCH("#",B1493))),CONCATENATE(TRIM(F1493)," #",G1493),B1493)</f>
        <v>Crackpipe</v>
      </c>
    </row>
    <row r="1494" spans="1:8" ht="15.75" thickBot="1" x14ac:dyDescent="0.3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>IF(ISNUMBER(SEARCH("#",B1494)), LEFT(B1494,FIND("#",B1494)-1), B1494)</f>
        <v>Drug Burner</v>
      </c>
      <c r="G1494" s="26">
        <f>IF(ISNUMBER(SEARCH("#",B1494)),VALUE(MID(B1494,FIND("#",B1494)+1,1000)),1)</f>
        <v>1</v>
      </c>
      <c r="H1494" t="str">
        <f>IF(AND(regexMatch(B1494,".*#[0-9]*$"),ISNUMBER(SEARCH("#",B1494))),CONCATENATE(TRIM(F1494)," #",G1494),B1494)</f>
        <v>Drug Burner</v>
      </c>
    </row>
    <row r="1495" spans="1:8" ht="15.75" thickBot="1" x14ac:dyDescent="0.3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>IF(ISNUMBER(SEARCH("#",B1495)), LEFT(B1495,FIND("#",B1495)-1), B1495)</f>
        <v>Drug Pack With Parachute</v>
      </c>
      <c r="G1495" s="26">
        <f>IF(ISNUMBER(SEARCH("#",B1495)),VALUE(MID(B1495,FIND("#",B1495)+1,1000)),1)</f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.75" thickBot="1" x14ac:dyDescent="0.3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>IF(ISNUMBER(SEARCH("#",B1496)), LEFT(B1496,FIND("#",B1496)-1), B1496)</f>
        <v xml:space="preserve">Drug Package </v>
      </c>
      <c r="G1496" s="26">
        <f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.75" thickBot="1" x14ac:dyDescent="0.3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>IF(ISNUMBER(SEARCH("#",B1497)), LEFT(B1497,FIND("#",B1497)-1), B1497)</f>
        <v xml:space="preserve">Drug Package </v>
      </c>
      <c r="G1497" s="26">
        <f>IF(ISNUMBER(SEARCH("#",B1497)),VALUE(MID(B1497,FIND("#",B1497)+1,1000)),1)</f>
        <v>2</v>
      </c>
      <c r="H1497" t="str">
        <f>IF(AND(regexMatch(B1497,".*#[0-9]*$"),ISNUMBER(SEARCH("#",B1497))),CONCATENATE(TRIM(F1497)," #",G1497),B1497)</f>
        <v>Drug Package #2</v>
      </c>
    </row>
    <row r="1498" spans="1:8" ht="15.75" thickBot="1" x14ac:dyDescent="0.3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>IF(ISNUMBER(SEARCH("#",B1498)), LEFT(B1498,FIND("#",B1498)-1), B1498)</f>
        <v>Drug Package Blue</v>
      </c>
      <c r="G1498" s="26">
        <f>IF(ISNUMBER(SEARCH("#",B1498)),VALUE(MID(B1498,FIND("#",B1498)+1,1000)),1)</f>
        <v>1</v>
      </c>
      <c r="H1498" t="str">
        <f>IF(AND(regexMatch(B1498,".*#[0-9]*$"),ISNUMBER(SEARCH("#",B1498))),CONCATENATE(TRIM(F1498)," #",G1498),B1498)</f>
        <v>Drug Package Blue</v>
      </c>
    </row>
    <row r="1499" spans="1:8" ht="15.75" thickBot="1" x14ac:dyDescent="0.3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>IF(ISNUMBER(SEARCH("#",B1499)), LEFT(B1499,FIND("#",B1499)-1), B1499)</f>
        <v>Drug Package Red</v>
      </c>
      <c r="G1499" s="26">
        <f>IF(ISNUMBER(SEARCH("#",B1499)),VALUE(MID(B1499,FIND("#",B1499)+1,1000)),1)</f>
        <v>1</v>
      </c>
      <c r="H1499" t="str">
        <f>IF(AND(regexMatch(B1499,".*#[0-9]*$"),ISNUMBER(SEARCH("#",B1499))),CONCATENATE(TRIM(F1499)," #",G1499),B1499)</f>
        <v>Drug Package Red</v>
      </c>
    </row>
    <row r="1500" spans="1:8" ht="15.75" thickBot="1" x14ac:dyDescent="0.3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>IF(ISNUMBER(SEARCH("#",B1500)), LEFT(B1500,FIND("#",B1500)-1), B1500)</f>
        <v>Drug Package White</v>
      </c>
      <c r="G1500" s="26">
        <f>IF(ISNUMBER(SEARCH("#",B1500)),VALUE(MID(B1500,FIND("#",B1500)+1,1000)),1)</f>
        <v>1</v>
      </c>
      <c r="H1500" t="str">
        <f>IF(AND(regexMatch(B1500,".*#[0-9]*$"),ISNUMBER(SEARCH("#",B1500))),CONCATENATE(TRIM(F1500)," #",G1500),B1500)</f>
        <v>Drug Package White</v>
      </c>
    </row>
    <row r="1501" spans="1:8" ht="15.75" thickBot="1" x14ac:dyDescent="0.3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>IF(ISNUMBER(SEARCH("#",B1501)), LEFT(B1501,FIND("#",B1501)-1), B1501)</f>
        <v>Joint</v>
      </c>
      <c r="G1501" s="26">
        <f>IF(ISNUMBER(SEARCH("#",B1501)),VALUE(MID(B1501,FIND("#",B1501)+1,1000)),1)</f>
        <v>1</v>
      </c>
      <c r="H1501" t="str">
        <f>IF(AND(regexMatch(B1501,".*#[0-9]*$"),ISNUMBER(SEARCH("#",B1501))),CONCATENATE(TRIM(F1501)," #",G1501),B1501)</f>
        <v>Joint</v>
      </c>
    </row>
    <row r="1502" spans="1:8" ht="15.75" thickBot="1" x14ac:dyDescent="0.3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>IF(ISNUMBER(SEARCH("#",B1502)), LEFT(B1502,FIND("#",B1502)-1), B1502)</f>
        <v>Meth Bag</v>
      </c>
      <c r="G1502" s="26">
        <f>IF(ISNUMBER(SEARCH("#",B1502)),VALUE(MID(B1502,FIND("#",B1502)+1,1000)),1)</f>
        <v>1</v>
      </c>
      <c r="H1502" t="str">
        <f>IF(AND(regexMatch(B1502,".*#[0-9]*$"),ISNUMBER(SEARCH("#",B1502))),CONCATENATE(TRIM(F1502)," #",G1502),B1502)</f>
        <v>Meth Bag</v>
      </c>
    </row>
    <row r="1503" spans="1:8" ht="15.75" thickBot="1" x14ac:dyDescent="0.3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>IF(ISNUMBER(SEARCH("#",B1503)), LEFT(B1503,FIND("#",B1503)-1), B1503)</f>
        <v>Meth Pipe</v>
      </c>
      <c r="G1503" s="26">
        <f>IF(ISNUMBER(SEARCH("#",B1503)),VALUE(MID(B1503,FIND("#",B1503)+1,1000)),1)</f>
        <v>1</v>
      </c>
      <c r="H1503" t="str">
        <f>IF(AND(regexMatch(B1503,".*#[0-9]*$"),ISNUMBER(SEARCH("#",B1503))),CONCATENATE(TRIM(F1503)," #",G1503),B1503)</f>
        <v>Meth Pipe</v>
      </c>
    </row>
    <row r="1504" spans="1:8" ht="15.75" thickBot="1" x14ac:dyDescent="0.3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>IF(ISNUMBER(SEARCH("#",B1504)), LEFT(B1504,FIND("#",B1504)-1), B1504)</f>
        <v>Syringe</v>
      </c>
      <c r="G1504" s="26">
        <f>IF(ISNUMBER(SEARCH("#",B1504)),VALUE(MID(B1504,FIND("#",B1504)+1,1000)),1)</f>
        <v>1</v>
      </c>
      <c r="H1504" t="str">
        <f>IF(AND(regexMatch(B1504,".*#[0-9]*$"),ISNUMBER(SEARCH("#",B1504))),CONCATENATE(TRIM(F1504)," #",G1504),B1504)</f>
        <v>Syringe</v>
      </c>
    </row>
    <row r="1505" spans="1:8" ht="15.75" thickBot="1" x14ac:dyDescent="0.3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>IF(ISNUMBER(SEARCH("#",B1505)), LEFT(B1505,FIND("#",B1505)-1), B1505)</f>
        <v>Weed Block</v>
      </c>
      <c r="G1505" s="26">
        <f>IF(ISNUMBER(SEARCH("#",B1505)),VALUE(MID(B1505,FIND("#",B1505)+1,1000)),1)</f>
        <v>1</v>
      </c>
      <c r="H1505" t="str">
        <f>IF(AND(regexMatch(B1505,".*#[0-9]*$"),ISNUMBER(SEARCH("#",B1505))),CONCATENATE(TRIM(F1505)," #",G1505),B1505)</f>
        <v>Weed Block</v>
      </c>
    </row>
    <row r="1506" spans="1:8" ht="15.75" thickBot="1" x14ac:dyDescent="0.3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>IF(ISNUMBER(SEARCH("#",B1506)), LEFT(B1506,FIND("#",B1506)-1), B1506)</f>
        <v>Weed Bottle</v>
      </c>
      <c r="G1506" s="26">
        <f>IF(ISNUMBER(SEARCH("#",B1506)),VALUE(MID(B1506,FIND("#",B1506)+1,1000)),1)</f>
        <v>1</v>
      </c>
      <c r="H1506" t="str">
        <f>IF(AND(regexMatch(B1506,".*#[0-9]*$"),ISNUMBER(SEARCH("#",B1506))),CONCATENATE(TRIM(F1506)," #",G1506),B1506)</f>
        <v>Weed Bottle</v>
      </c>
    </row>
    <row r="1507" spans="1:8" ht="15.75" thickBot="1" x14ac:dyDescent="0.3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>IF(ISNUMBER(SEARCH("#",B1507)), LEFT(B1507,FIND("#",B1507)-1), B1507)</f>
        <v>Weed Pallet</v>
      </c>
      <c r="G1507" s="26">
        <f>IF(ISNUMBER(SEARCH("#",B1507)),VALUE(MID(B1507,FIND("#",B1507)+1,1000)),1)</f>
        <v>1</v>
      </c>
      <c r="H1507" t="str">
        <f>IF(AND(regexMatch(B1507,".*#[0-9]*$"),ISNUMBER(SEARCH("#",B1507))),CONCATENATE(TRIM(F1507)," #",G1507),B1507)</f>
        <v>Weed Pallet</v>
      </c>
    </row>
    <row r="1508" spans="1:8" ht="15.75" thickBot="1" x14ac:dyDescent="0.3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>IF(ISNUMBER(SEARCH("#",B1508)), LEFT(B1508,FIND("#",B1508)-1), B1508)</f>
        <v xml:space="preserve">Weed Plant </v>
      </c>
      <c r="G1508" s="26">
        <f>IF(ISNUMBER(SEARCH("#",B1508)),VALUE(MID(B1508,FIND("#",B1508)+1,1000)),1)</f>
        <v>1</v>
      </c>
      <c r="H1508" t="str">
        <f>IF(AND(regexMatch(B1508,".*#[0-9]*$"),ISNUMBER(SEARCH("#",B1508))),CONCATENATE(TRIM(F1508)," #",G1508),B1508)</f>
        <v>Weed Plant #1</v>
      </c>
    </row>
    <row r="1509" spans="1:8" ht="15.75" thickBot="1" x14ac:dyDescent="0.3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>IF(ISNUMBER(SEARCH("#",B1509)), LEFT(B1509,FIND("#",B1509)-1), B1509)</f>
        <v xml:space="preserve">Weed Plant </v>
      </c>
      <c r="G1509" s="26">
        <f>IF(ISNUMBER(SEARCH("#",B1509)),VALUE(MID(B1509,FIND("#",B1509)+1,1000)),1)</f>
        <v>2</v>
      </c>
      <c r="H1509" t="str">
        <f>IF(AND(regexMatch(B1509,".*#[0-9]*$"),ISNUMBER(SEARCH("#",B1509))),CONCATENATE(TRIM(F1509)," #",G1509),B1509)</f>
        <v>Weed Plant #2</v>
      </c>
    </row>
    <row r="1510" spans="1:8" ht="15.75" thickBot="1" x14ac:dyDescent="0.3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>IF(ISNUMBER(SEARCH("#",B1510)), LEFT(B1510,FIND("#",B1510)-1), B1510)</f>
        <v>Weed Tub</v>
      </c>
      <c r="G1510" s="26">
        <f>IF(ISNUMBER(SEARCH("#",B1510)),VALUE(MID(B1510,FIND("#",B1510)+1,1000)),1)</f>
        <v>1</v>
      </c>
      <c r="H1510" t="str">
        <f>IF(AND(regexMatch(B1510,".*#[0-9]*$"),ISNUMBER(SEARCH("#",B1510))),CONCATENATE(TRIM(F1510)," #",G1510),B1510)</f>
        <v>Weed Tub</v>
      </c>
    </row>
    <row r="1511" spans="1:8" ht="15.75" thickBot="1" x14ac:dyDescent="0.3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>IF(ISNUMBER(SEARCH("#",B1511)), LEFT(B1511,FIND("#",B1511)-1), B1511)</f>
        <v>Weed Tub With Straps</v>
      </c>
      <c r="G1511" s="26">
        <f>IF(ISNUMBER(SEARCH("#",B1511)),VALUE(MID(B1511,FIND("#",B1511)+1,1000)),1)</f>
        <v>1</v>
      </c>
      <c r="H1511" t="str">
        <f>IF(AND(regexMatch(B1511,".*#[0-9]*$"),ISNUMBER(SEARCH("#",B1511))),CONCATENATE(TRIM(F1511)," #",G1511),B1511)</f>
        <v>Weed Tub With Straps</v>
      </c>
    </row>
    <row r="1512" spans="1:8" ht="15.75" thickBot="1" x14ac:dyDescent="0.3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>IF(ISNUMBER(SEARCH("#",B1512)), LEFT(B1512,FIND("#",B1512)-1), B1512)</f>
        <v>Bumper Car</v>
      </c>
      <c r="G1512" s="26">
        <f>IF(ISNUMBER(SEARCH("#",B1512)),VALUE(MID(B1512,FIND("#",B1512)+1,1000)),1)</f>
        <v>1</v>
      </c>
      <c r="H1512" t="str">
        <f>IF(AND(regexMatch(B1512,".*#[0-9]*$"),ISNUMBER(SEARCH("#",B1512))),CONCATENATE(TRIM(F1512)," #",G1512),B1512)</f>
        <v>Bumper Car</v>
      </c>
    </row>
    <row r="1513" spans="1:8" ht="15.75" thickBot="1" x14ac:dyDescent="0.3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>IF(ISNUMBER(SEARCH("#",B1513)), LEFT(B1513,FIND("#",B1513)-1), B1513)</f>
        <v>Cable Car</v>
      </c>
      <c r="G1513" s="26">
        <f>IF(ISNUMBER(SEARCH("#",B1513)),VALUE(MID(B1513,FIND("#",B1513)+1,1000)),1)</f>
        <v>1</v>
      </c>
      <c r="H1513" t="str">
        <f>IF(AND(regexMatch(B1513,".*#[0-9]*$"),ISNUMBER(SEARCH("#",B1513))),CONCATENATE(TRIM(F1513)," #",G1513),B1513)</f>
        <v>Cable Car</v>
      </c>
    </row>
    <row r="1514" spans="1:8" ht="15.75" thickBot="1" x14ac:dyDescent="0.3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>IF(ISNUMBER(SEARCH("#",B1514)), LEFT(B1514,FIND("#",B1514)-1), B1514)</f>
        <v>Cable Car Door L</v>
      </c>
      <c r="G1514" s="26">
        <f>IF(ISNUMBER(SEARCH("#",B1514)),VALUE(MID(B1514,FIND("#",B1514)+1,1000)),1)</f>
        <v>1</v>
      </c>
      <c r="H1514" t="str">
        <f>IF(AND(regexMatch(B1514,".*#[0-9]*$"),ISNUMBER(SEARCH("#",B1514))),CONCATENATE(TRIM(F1514)," #",G1514),B1514)</f>
        <v>Cable Car Door L</v>
      </c>
    </row>
    <row r="1515" spans="1:8" ht="15.75" thickBot="1" x14ac:dyDescent="0.3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>IF(ISNUMBER(SEARCH("#",B1515)), LEFT(B1515,FIND("#",B1515)-1), B1515)</f>
        <v>Cable Car Door R</v>
      </c>
      <c r="G1515" s="26">
        <f>IF(ISNUMBER(SEARCH("#",B1515)),VALUE(MID(B1515,FIND("#",B1515)+1,1000)),1)</f>
        <v>1</v>
      </c>
      <c r="H1515" t="str">
        <f>IF(AND(regexMatch(B1515,".*#[0-9]*$"),ISNUMBER(SEARCH("#",B1515))),CONCATENATE(TRIM(F1515)," #",G1515),B1515)</f>
        <v>Cable Car Door R</v>
      </c>
    </row>
    <row r="1516" spans="1:8" ht="15.75" thickBot="1" x14ac:dyDescent="0.3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>IF(ISNUMBER(SEARCH("#",B1516)), LEFT(B1516,FIND("#",B1516)-1), B1516)</f>
        <v>Fairground Cup &amp; Saucer</v>
      </c>
      <c r="G1516" s="26">
        <f>IF(ISNUMBER(SEARCH("#",B1516)),VALUE(MID(B1516,FIND("#",B1516)+1,1000)),1)</f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.75" thickBot="1" x14ac:dyDescent="0.3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>IF(ISNUMBER(SEARCH("#",B1517)), LEFT(B1517,FIND("#",B1517)-1), B1517)</f>
        <v>Ferris Wheel</v>
      </c>
      <c r="G1517" s="26">
        <f>IF(ISNUMBER(SEARCH("#",B1517)),VALUE(MID(B1517,FIND("#",B1517)+1,1000)),1)</f>
        <v>1</v>
      </c>
      <c r="H1517" t="str">
        <f>IF(AND(regexMatch(B1517,".*#[0-9]*$"),ISNUMBER(SEARCH("#",B1517))),CONCATENATE(TRIM(F1517)," #",G1517),B1517)</f>
        <v>Ferris Wheel</v>
      </c>
    </row>
    <row r="1518" spans="1:8" ht="15.75" thickBot="1" x14ac:dyDescent="0.3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>IF(ISNUMBER(SEARCH("#",B1518)), LEFT(B1518,FIND("#",B1518)-1), B1518)</f>
        <v>Ferris Wheel Car</v>
      </c>
      <c r="G1518" s="26">
        <f>IF(ISNUMBER(SEARCH("#",B1518)),VALUE(MID(B1518,FIND("#",B1518)+1,1000)),1)</f>
        <v>1</v>
      </c>
      <c r="H1518" t="str">
        <f>IF(AND(regexMatch(B1518,".*#[0-9]*$"),ISNUMBER(SEARCH("#",B1518))),CONCATENATE(TRIM(F1518)," #",G1518),B1518)</f>
        <v>Ferris Wheel Car</v>
      </c>
    </row>
    <row r="1519" spans="1:8" ht="15.75" thickBot="1" x14ac:dyDescent="0.3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>IF(ISNUMBER(SEARCH("#",B1519)), LEFT(B1519,FIND("#",B1519)-1), B1519)</f>
        <v xml:space="preserve">Rollercoaster Car </v>
      </c>
      <c r="G1519" s="26">
        <f>IF(ISNUMBER(SEARCH("#",B1519)),VALUE(MID(B1519,FIND("#",B1519)+1,1000)),1)</f>
        <v>1</v>
      </c>
      <c r="H1519" t="str">
        <f>IF(AND(regexMatch(B1519,".*#[0-9]*$"),ISNUMBER(SEARCH("#",B1519))),CONCATENATE(TRIM(F1519)," #",G1519),B1519)</f>
        <v>Rollercoaster Car #1</v>
      </c>
    </row>
    <row r="1520" spans="1:8" ht="15.75" thickBot="1" x14ac:dyDescent="0.3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>IF(ISNUMBER(SEARCH("#",B1520)), LEFT(B1520,FIND("#",B1520)-1), B1520)</f>
        <v xml:space="preserve">Rollercoaster Car </v>
      </c>
      <c r="G1520" s="26">
        <f>IF(ISNUMBER(SEARCH("#",B1520)),VALUE(MID(B1520,FIND("#",B1520)+1,1000)),1)</f>
        <v>2</v>
      </c>
      <c r="H1520" t="str">
        <f>IF(AND(regexMatch(B1520,".*#[0-9]*$"),ISNUMBER(SEARCH("#",B1520))),CONCATENATE(TRIM(F1520)," #",G1520),B1520)</f>
        <v>Rollercoaster Car #2</v>
      </c>
    </row>
    <row r="1521" spans="1:8" ht="15.75" thickBot="1" x14ac:dyDescent="0.3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>IF(ISNUMBER(SEARCH("#",B1521)), LEFT(B1521,FIND("#",B1521)-1), B1521)</f>
        <v>Zoltan Display Case</v>
      </c>
      <c r="G1521" s="26">
        <f>IF(ISNUMBER(SEARCH("#",B1521)),VALUE(MID(B1521,FIND("#",B1521)+1,1000)),1)</f>
        <v>1</v>
      </c>
      <c r="H1521" t="str">
        <f>IF(AND(regexMatch(B1521,".*#[0-9]*$"),ISNUMBER(SEARCH("#",B1521))),CONCATENATE(TRIM(F1521)," #",G1521),B1521)</f>
        <v>Zoltan Display Case</v>
      </c>
    </row>
    <row r="1522" spans="1:8" ht="15.75" thickBot="1" x14ac:dyDescent="0.3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>IF(ISNUMBER(SEARCH("#",B1522)), LEFT(B1522,FIND("#",B1522)-1), B1522)</f>
        <v>Balcony Fence</v>
      </c>
      <c r="G1522" s="26">
        <f>IF(ISNUMBER(SEARCH("#",B1522)),VALUE(MID(B1522,FIND("#",B1522)+1,1000)),1)</f>
        <v>1</v>
      </c>
      <c r="H1522" t="str">
        <f>IF(AND(regexMatch(B1522,".*#[0-9]*$"),ISNUMBER(SEARCH("#",B1522))),CONCATENATE(TRIM(F1522)," #",G1522),B1522)</f>
        <v>Balcony Fence</v>
      </c>
    </row>
    <row r="1523" spans="1:8" ht="15.75" thickBot="1" x14ac:dyDescent="0.3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>IF(ISNUMBER(SEARCH("#",B1523)), LEFT(B1523,FIND("#",B1523)-1), B1523)</f>
        <v xml:space="preserve">Beach Fence </v>
      </c>
      <c r="G1523" s="26">
        <f>IF(ISNUMBER(SEARCH("#",B1523)),VALUE(MID(B1523,FIND("#",B1523)+1,1000)),1)</f>
        <v>1</v>
      </c>
      <c r="H1523" t="str">
        <f>IF(AND(regexMatch(B1523,".*#[0-9]*$"),ISNUMBER(SEARCH("#",B1523))),CONCATENATE(TRIM(F1523)," #",G1523),B1523)</f>
        <v>Beach Fence #1</v>
      </c>
    </row>
    <row r="1524" spans="1:8" ht="15.75" thickBot="1" x14ac:dyDescent="0.3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>IF(ISNUMBER(SEARCH("#",B1524)), LEFT(B1524,FIND("#",B1524)-1), B1524)</f>
        <v xml:space="preserve">Beach Fence </v>
      </c>
      <c r="G1524" s="26">
        <f>IF(ISNUMBER(SEARCH("#",B1524)),VALUE(MID(B1524,FIND("#",B1524)+1,1000)),1)</f>
        <v>2</v>
      </c>
      <c r="H1524" t="str">
        <f>IF(AND(regexMatch(B1524,".*#[0-9]*$"),ISNUMBER(SEARCH("#",B1524))),CONCATENATE(TRIM(F1524)," #",G1524),B1524)</f>
        <v>Beach Fence #2</v>
      </c>
    </row>
    <row r="1525" spans="1:8" ht="15.75" thickBot="1" x14ac:dyDescent="0.3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>IF(ISNUMBER(SEARCH("#",B1525)), LEFT(B1525,FIND("#",B1525)-1), B1525)</f>
        <v xml:space="preserve">Beach Fence </v>
      </c>
      <c r="G1525" s="26">
        <f>IF(ISNUMBER(SEARCH("#",B1525)),VALUE(MID(B1525,FIND("#",B1525)+1,1000)),1)</f>
        <v>3</v>
      </c>
      <c r="H1525" t="str">
        <f>IF(AND(regexMatch(B1525,".*#[0-9]*$"),ISNUMBER(SEARCH("#",B1525))),CONCATENATE(TRIM(F1525)," #",G1525),B1525)</f>
        <v>Beach Fence #3</v>
      </c>
    </row>
    <row r="1526" spans="1:8" ht="15.75" thickBot="1" x14ac:dyDescent="0.3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>IF(ISNUMBER(SEARCH("#",B1526)), LEFT(B1526,FIND("#",B1526)-1), B1526)</f>
        <v>Canvas Barrier</v>
      </c>
      <c r="G1526" s="26">
        <f>IF(ISNUMBER(SEARCH("#",B1526)),VALUE(MID(B1526,FIND("#",B1526)+1,1000)),1)</f>
        <v>1</v>
      </c>
      <c r="H1526" t="str">
        <f>IF(AND(regexMatch(B1526,".*#[0-9]*$"),ISNUMBER(SEARCH("#",B1526))),CONCATENATE(TRIM(F1526)," #",G1526),B1526)</f>
        <v>Canvas Barrier</v>
      </c>
    </row>
    <row r="1527" spans="1:8" ht="15.75" thickBot="1" x14ac:dyDescent="0.3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>IF(ISNUMBER(SEARCH("#",B1527)), LEFT(B1527,FIND("#",B1527)-1), B1527)</f>
        <v xml:space="preserve">Ch2 Wdfence </v>
      </c>
      <c r="G1527" s="26">
        <f>IF(ISNUMBER(SEARCH("#",B1527)),VALUE(MID(B1527,FIND("#",B1527)+1,1000)),1)</f>
        <v>1</v>
      </c>
      <c r="H1527" t="str">
        <f>IF(AND(regexMatch(B1527,".*#[0-9]*$"),ISNUMBER(SEARCH("#",B1527))),CONCATENATE(TRIM(F1527)," #",G1527),B1527)</f>
        <v>Ch2 Wdfence #1</v>
      </c>
    </row>
    <row r="1528" spans="1:8" ht="15.75" thickBot="1" x14ac:dyDescent="0.3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>IF(ISNUMBER(SEARCH("#",B1528)), LEFT(B1528,FIND("#",B1528)-1), B1528)</f>
        <v xml:space="preserve">Ch2 Wdfence </v>
      </c>
      <c r="G1528" s="26">
        <f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.75" thickBot="1" x14ac:dyDescent="0.3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>IF(ISNUMBER(SEARCH("#",B1529)), LEFT(B1529,FIND("#",B1529)-1), B1529)</f>
        <v xml:space="preserve">Chain Link Fence </v>
      </c>
      <c r="G1529" s="26">
        <f>IF(ISNUMBER(SEARCH("#",B1529)),VALUE(MID(B1529,FIND("#",B1529)+1,1000)),1)</f>
        <v>1</v>
      </c>
      <c r="H1529" t="str">
        <f>IF(AND(regexMatch(B1529,".*#[0-9]*$"),ISNUMBER(SEARCH("#",B1529))),CONCATENATE(TRIM(F1529)," #",G1529),B1529)</f>
        <v>Chain Link Fence #1</v>
      </c>
    </row>
    <row r="1530" spans="1:8" ht="15.75" thickBot="1" x14ac:dyDescent="0.3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>IF(ISNUMBER(SEARCH("#",B1530)), LEFT(B1530,FIND("#",B1530)-1), B1530)</f>
        <v xml:space="preserve">Chain Link Fence </v>
      </c>
      <c r="G1530" s="26">
        <f>IF(ISNUMBER(SEARCH("#",B1530)),VALUE(MID(B1530,FIND("#",B1530)+1,1000)),1)</f>
        <v>2</v>
      </c>
      <c r="H1530" t="str">
        <f>IF(AND(regexMatch(B1530,".*#[0-9]*$"),ISNUMBER(SEARCH("#",B1530))),CONCATENATE(TRIM(F1530)," #",G1530),B1530)</f>
        <v>Chain Link Fence #2</v>
      </c>
    </row>
    <row r="1531" spans="1:8" ht="15.75" thickBot="1" x14ac:dyDescent="0.3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>IF(ISNUMBER(SEARCH("#",B1531)), LEFT(B1531,FIND("#",B1531)-1), B1531)</f>
        <v xml:space="preserve">Chain Link Fence </v>
      </c>
      <c r="G1531" s="26">
        <f>IF(ISNUMBER(SEARCH("#",B1531)),VALUE(MID(B1531,FIND("#",B1531)+1,1000)),1)</f>
        <v>3</v>
      </c>
      <c r="H1531" t="str">
        <f>IF(AND(regexMatch(B1531,".*#[0-9]*$"),ISNUMBER(SEARCH("#",B1531))),CONCATENATE(TRIM(F1531)," #",G1531),B1531)</f>
        <v>Chain Link Fence #3</v>
      </c>
    </row>
    <row r="1532" spans="1:8" ht="15.75" thickBot="1" x14ac:dyDescent="0.3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>IF(ISNUMBER(SEARCH("#",B1532)), LEFT(B1532,FIND("#",B1532)-1), B1532)</f>
        <v xml:space="preserve">Chain Link Fence </v>
      </c>
      <c r="G1532" s="26">
        <f>IF(ISNUMBER(SEARCH("#",B1532)),VALUE(MID(B1532,FIND("#",B1532)+1,1000)),1)</f>
        <v>4</v>
      </c>
      <c r="H1532" t="str">
        <f>IF(AND(regexMatch(B1532,".*#[0-9]*$"),ISNUMBER(SEARCH("#",B1532))),CONCATENATE(TRIM(F1532)," #",G1532),B1532)</f>
        <v>Chain Link Fence #4</v>
      </c>
    </row>
    <row r="1533" spans="1:8" ht="15.75" thickBot="1" x14ac:dyDescent="0.3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>IF(ISNUMBER(SEARCH("#",B1533)), LEFT(B1533,FIND("#",B1533)-1), B1533)</f>
        <v xml:space="preserve">Chain Link Fence </v>
      </c>
      <c r="G1533" s="26">
        <f>IF(ISNUMBER(SEARCH("#",B1533)),VALUE(MID(B1533,FIND("#",B1533)+1,1000)),1)</f>
        <v>5</v>
      </c>
      <c r="H1533" t="str">
        <f>IF(AND(regexMatch(B1533,".*#[0-9]*$"),ISNUMBER(SEARCH("#",B1533))),CONCATENATE(TRIM(F1533)," #",G1533),B1533)</f>
        <v>Chain Link Fence #5</v>
      </c>
    </row>
    <row r="1534" spans="1:8" ht="15.75" thickBot="1" x14ac:dyDescent="0.3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>IF(ISNUMBER(SEARCH("#",B1534)), LEFT(B1534,FIND("#",B1534)-1), B1534)</f>
        <v xml:space="preserve">Chain Link Fence </v>
      </c>
      <c r="G1534" s="26">
        <f>IF(ISNUMBER(SEARCH("#",B1534)),VALUE(MID(B1534,FIND("#",B1534)+1,1000)),1)</f>
        <v>6</v>
      </c>
      <c r="H1534" t="str">
        <f>IF(AND(regexMatch(B1534,".*#[0-9]*$"),ISNUMBER(SEARCH("#",B1534))),CONCATENATE(TRIM(F1534)," #",G1534),B1534)</f>
        <v>Chain Link Fence #6</v>
      </c>
    </row>
    <row r="1535" spans="1:8" ht="15.75" thickBot="1" x14ac:dyDescent="0.3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>IF(ISNUMBER(SEARCH("#",B1535)), LEFT(B1535,FIND("#",B1535)-1), B1535)</f>
        <v xml:space="preserve">Chain Link Fence </v>
      </c>
      <c r="G1535" s="26">
        <f>IF(ISNUMBER(SEARCH("#",B1535)),VALUE(MID(B1535,FIND("#",B1535)+1,1000)),1)</f>
        <v>7</v>
      </c>
      <c r="H1535" t="str">
        <f>IF(AND(regexMatch(B1535,".*#[0-9]*$"),ISNUMBER(SEARCH("#",B1535))),CONCATENATE(TRIM(F1535)," #",G1535),B1535)</f>
        <v>Chain Link Fence #7</v>
      </c>
    </row>
    <row r="1536" spans="1:8" ht="15.75" thickBot="1" x14ac:dyDescent="0.3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>IF(ISNUMBER(SEARCH("#",B1536)), LEFT(B1536,FIND("#",B1536)-1), B1536)</f>
        <v xml:space="preserve">Chain Link Fence </v>
      </c>
      <c r="G1536" s="26">
        <f>IF(ISNUMBER(SEARCH("#",B1536)),VALUE(MID(B1536,FIND("#",B1536)+1,1000)),1)</f>
        <v>8</v>
      </c>
      <c r="H1536" t="str">
        <f>IF(AND(regexMatch(B1536,".*#[0-9]*$"),ISNUMBER(SEARCH("#",B1536))),CONCATENATE(TRIM(F1536)," #",G1536),B1536)</f>
        <v>Chain Link Fence #8</v>
      </c>
    </row>
    <row r="1537" spans="1:8" ht="15.75" thickBot="1" x14ac:dyDescent="0.3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>IF(ISNUMBER(SEARCH("#",B1537)), LEFT(B1537,FIND("#",B1537)-1), B1537)</f>
        <v xml:space="preserve">Chain Link Fence </v>
      </c>
      <c r="G1537" s="26">
        <f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.75" thickBot="1" x14ac:dyDescent="0.3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>IF(ISNUMBER(SEARCH("#",B1538)), LEFT(B1538,FIND("#",B1538)-1), B1538)</f>
        <v xml:space="preserve">Chain Link Fence </v>
      </c>
      <c r="G1538" s="26">
        <f>G1537+1</f>
        <v>10</v>
      </c>
      <c r="H1538" t="str">
        <f>IF(AND(regexMatch(B1538,".*#[0-9]*$"),ISNUMBER(SEARCH("#",B1538))),CONCATENATE(TRIM(F1538)," #",G1538),B1538)</f>
        <v>Chain Link Fence #10</v>
      </c>
    </row>
    <row r="1539" spans="1:8" ht="15.75" thickBot="1" x14ac:dyDescent="0.3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>IF(ISNUMBER(SEARCH("#",B1539)), LEFT(B1539,FIND("#",B1539)-1), B1539)</f>
        <v xml:space="preserve">Chain Link Fence </v>
      </c>
      <c r="G1539" s="26">
        <f>G1538+1</f>
        <v>11</v>
      </c>
      <c r="H1539" t="str">
        <f>IF(AND(regexMatch(B1539,".*#[0-9]*$"),ISNUMBER(SEARCH("#",B1539))),CONCATENATE(TRIM(F1539)," #",G1539),B1539)</f>
        <v>Chain Link Fence #11</v>
      </c>
    </row>
    <row r="1540" spans="1:8" ht="15.75" thickBot="1" x14ac:dyDescent="0.3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>IF(ISNUMBER(SEARCH("#",B1540)), LEFT(B1540,FIND("#",B1540)-1), B1540)</f>
        <v xml:space="preserve">Chain Link Fence </v>
      </c>
      <c r="G1540" s="26">
        <f>G1539+1</f>
        <v>12</v>
      </c>
      <c r="H1540" t="str">
        <f>IF(AND(regexMatch(B1540,".*#[0-9]*$"),ISNUMBER(SEARCH("#",B1540))),CONCATENATE(TRIM(F1540)," #",G1540),B1540)</f>
        <v>Chain Link Fence #12</v>
      </c>
    </row>
    <row r="1541" spans="1:8" ht="15.75" thickBot="1" x14ac:dyDescent="0.3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>IF(ISNUMBER(SEARCH("#",B1541)), LEFT(B1541,FIND("#",B1541)-1), B1541)</f>
        <v xml:space="preserve">Chain Link Fence </v>
      </c>
      <c r="G1541" s="26">
        <f>G1540+1</f>
        <v>13</v>
      </c>
      <c r="H1541" t="str">
        <f>IF(AND(regexMatch(B1541,".*#[0-9]*$"),ISNUMBER(SEARCH("#",B1541))),CONCATENATE(TRIM(F1541)," #",G1541),B1541)</f>
        <v>Chain Link Fence #13</v>
      </c>
    </row>
    <row r="1542" spans="1:8" ht="15.75" thickBot="1" x14ac:dyDescent="0.3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>IF(ISNUMBER(SEARCH("#",B1542)), LEFT(B1542,FIND("#",B1542)-1), B1542)</f>
        <v xml:space="preserve">Chain Link Fence </v>
      </c>
      <c r="G1542" s="26">
        <f>G1541+1</f>
        <v>14</v>
      </c>
      <c r="H1542" t="str">
        <f>IF(AND(regexMatch(B1542,".*#[0-9]*$"),ISNUMBER(SEARCH("#",B1542))),CONCATENATE(TRIM(F1542)," #",G1542),B1542)</f>
        <v>Chain Link Fence #14</v>
      </c>
    </row>
    <row r="1543" spans="1:8" ht="15.75" thickBot="1" x14ac:dyDescent="0.3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>IF(ISNUMBER(SEARCH("#",B1543)), LEFT(B1543,FIND("#",B1543)-1), B1543)</f>
        <v xml:space="preserve">Chain Link Fence </v>
      </c>
      <c r="G1543" s="26">
        <f>G1542+1</f>
        <v>15</v>
      </c>
      <c r="H1543" t="str">
        <f>IF(AND(regexMatch(B1543,".*#[0-9]*$"),ISNUMBER(SEARCH("#",B1543))),CONCATENATE(TRIM(F1543)," #",G1543),B1543)</f>
        <v>Chain Link Fence #15</v>
      </c>
    </row>
    <row r="1544" spans="1:8" ht="15.75" thickBot="1" x14ac:dyDescent="0.3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>IF(ISNUMBER(SEARCH("#",B1544)), LEFT(B1544,FIND("#",B1544)-1), B1544)</f>
        <v xml:space="preserve">Chain Link Fence </v>
      </c>
      <c r="G1544" s="26">
        <f>G1543+1</f>
        <v>16</v>
      </c>
      <c r="H1544" t="str">
        <f>IF(AND(regexMatch(B1544,".*#[0-9]*$"),ISNUMBER(SEARCH("#",B1544))),CONCATENATE(TRIM(F1544)," #",G1544),B1544)</f>
        <v>Chain Link Fence #16</v>
      </c>
    </row>
    <row r="1545" spans="1:8" ht="15.75" thickBot="1" x14ac:dyDescent="0.3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>IF(ISNUMBER(SEARCH("#",B1545)), LEFT(B1545,FIND("#",B1545)-1), B1545)</f>
        <v xml:space="preserve">Chain Link Fence </v>
      </c>
      <c r="G1545" s="26">
        <f>G1544+1</f>
        <v>17</v>
      </c>
      <c r="H1545" t="str">
        <f>IF(AND(regexMatch(B1545,".*#[0-9]*$"),ISNUMBER(SEARCH("#",B1545))),CONCATENATE(TRIM(F1545)," #",G1545),B1545)</f>
        <v>Chain Link Fence #17</v>
      </c>
    </row>
    <row r="1546" spans="1:8" ht="15.75" thickBot="1" x14ac:dyDescent="0.3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>IF(ISNUMBER(SEARCH("#",B1546)), LEFT(B1546,FIND("#",B1546)-1), B1546)</f>
        <v xml:space="preserve">Chain Link Fence </v>
      </c>
      <c r="G1546" s="26">
        <f>G1545+1</f>
        <v>18</v>
      </c>
      <c r="H1546" t="str">
        <f>IF(AND(regexMatch(B1546,".*#[0-9]*$"),ISNUMBER(SEARCH("#",B1546))),CONCATENATE(TRIM(F1546)," #",G1546),B1546)</f>
        <v>Chain Link Fence #18</v>
      </c>
    </row>
    <row r="1547" spans="1:8" ht="15.75" thickBot="1" x14ac:dyDescent="0.3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>IF(ISNUMBER(SEARCH("#",B1547)), LEFT(B1547,FIND("#",B1547)-1), B1547)</f>
        <v xml:space="preserve">Chain Link Fence </v>
      </c>
      <c r="G1547" s="26">
        <f>G1546+1</f>
        <v>19</v>
      </c>
      <c r="H1547" t="str">
        <f>IF(AND(regexMatch(B1547,".*#[0-9]*$"),ISNUMBER(SEARCH("#",B1547))),CONCATENATE(TRIM(F1547)," #",G1547),B1547)</f>
        <v>Chain Link Fence #19</v>
      </c>
    </row>
    <row r="1548" spans="1:8" ht="15.75" thickBot="1" x14ac:dyDescent="0.3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>IF(ISNUMBER(SEARCH("#",B1548)), LEFT(B1548,FIND("#",B1548)-1), B1548)</f>
        <v xml:space="preserve">Chain Link Fence </v>
      </c>
      <c r="G1548" s="26">
        <f>G1547+1</f>
        <v>20</v>
      </c>
      <c r="H1548" t="str">
        <f>IF(AND(regexMatch(B1548,".*#[0-9]*$"),ISNUMBER(SEARCH("#",B1548))),CONCATENATE(TRIM(F1548)," #",G1548),B1548)</f>
        <v>Chain Link Fence #20</v>
      </c>
    </row>
    <row r="1549" spans="1:8" ht="15.75" thickBot="1" x14ac:dyDescent="0.3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>IF(ISNUMBER(SEARCH("#",B1549)), LEFT(B1549,FIND("#",B1549)-1), B1549)</f>
        <v xml:space="preserve">Chain Link Fence </v>
      </c>
      <c r="G1549" s="26">
        <f>G1548+1</f>
        <v>21</v>
      </c>
      <c r="H1549" t="str">
        <f>IF(AND(regexMatch(B1549,".*#[0-9]*$"),ISNUMBER(SEARCH("#",B1549))),CONCATENATE(TRIM(F1549)," #",G1549),B1549)</f>
        <v>Chain Link Fence #21</v>
      </c>
    </row>
    <row r="1550" spans="1:8" ht="15.75" thickBot="1" x14ac:dyDescent="0.3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>IF(ISNUMBER(SEARCH("#",B1550)), LEFT(B1550,FIND("#",B1550)-1), B1550)</f>
        <v xml:space="preserve">Chain Link Fence </v>
      </c>
      <c r="G1550" s="26">
        <f>G1549+1</f>
        <v>22</v>
      </c>
      <c r="H1550" t="str">
        <f>IF(AND(regexMatch(B1550,".*#[0-9]*$"),ISNUMBER(SEARCH("#",B1550))),CONCATENATE(TRIM(F1550)," #",G1550),B1550)</f>
        <v>Chain Link Fence #22</v>
      </c>
    </row>
    <row r="1551" spans="1:8" ht="15.75" thickBot="1" x14ac:dyDescent="0.3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>IF(ISNUMBER(SEARCH("#",B1551)), LEFT(B1551,FIND("#",B1551)-1), B1551)</f>
        <v xml:space="preserve">Chain Link Fence </v>
      </c>
      <c r="G1551" s="26">
        <f>G1550+1</f>
        <v>23</v>
      </c>
      <c r="H1551" t="str">
        <f>IF(AND(regexMatch(B1551,".*#[0-9]*$"),ISNUMBER(SEARCH("#",B1551))),CONCATENATE(TRIM(F1551)," #",G1551),B1551)</f>
        <v>Chain Link Fence #23</v>
      </c>
    </row>
    <row r="1552" spans="1:8" ht="15.75" thickBot="1" x14ac:dyDescent="0.3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>IF(ISNUMBER(SEARCH("#",B1552)), LEFT(B1552,FIND("#",B1552)-1), B1552)</f>
        <v xml:space="preserve">Chain Link Fence </v>
      </c>
      <c r="G1552" s="26">
        <f>G1551+1</f>
        <v>24</v>
      </c>
      <c r="H1552" t="str">
        <f>IF(AND(regexMatch(B1552,".*#[0-9]*$"),ISNUMBER(SEARCH("#",B1552))),CONCATENATE(TRIM(F1552)," #",G1552),B1552)</f>
        <v>Chain Link Fence #24</v>
      </c>
    </row>
    <row r="1553" spans="1:8" ht="15.75" thickBot="1" x14ac:dyDescent="0.3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>IF(ISNUMBER(SEARCH("#",B1553)), LEFT(B1553,FIND("#",B1553)-1), B1553)</f>
        <v xml:space="preserve">Chain Link Fence </v>
      </c>
      <c r="G1553" s="26">
        <f>G1552+1</f>
        <v>25</v>
      </c>
      <c r="H1553" t="str">
        <f>IF(AND(regexMatch(B1553,".*#[0-9]*$"),ISNUMBER(SEARCH("#",B1553))),CONCATENATE(TRIM(F1553)," #",G1553),B1553)</f>
        <v>Chain Link Fence #25</v>
      </c>
    </row>
    <row r="1554" spans="1:8" ht="15.75" thickBot="1" x14ac:dyDescent="0.3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>IF(ISNUMBER(SEARCH("#",B1554)), LEFT(B1554,FIND("#",B1554)-1), B1554)</f>
        <v xml:space="preserve">Chain Link Fence </v>
      </c>
      <c r="G1554" s="26">
        <f>G1553+1</f>
        <v>26</v>
      </c>
      <c r="H1554" t="str">
        <f>IF(AND(regexMatch(B1554,".*#[0-9]*$"),ISNUMBER(SEARCH("#",B1554))),CONCATENATE(TRIM(F1554)," #",G1554),B1554)</f>
        <v>Chain Link Fence #26</v>
      </c>
    </row>
    <row r="1555" spans="1:8" ht="15.75" thickBot="1" x14ac:dyDescent="0.3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>IF(ISNUMBER(SEARCH("#",B1555)), LEFT(B1555,FIND("#",B1555)-1), B1555)</f>
        <v xml:space="preserve">Chain Link Fence </v>
      </c>
      <c r="G1555" s="26">
        <f>G1554+1</f>
        <v>27</v>
      </c>
      <c r="H1555" t="str">
        <f>IF(AND(regexMatch(B1555,".*#[0-9]*$"),ISNUMBER(SEARCH("#",B1555))),CONCATENATE(TRIM(F1555)," #",G1555),B1555)</f>
        <v>Chain Link Fence #27</v>
      </c>
    </row>
    <row r="1556" spans="1:8" ht="15.75" thickBot="1" x14ac:dyDescent="0.3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>IF(ISNUMBER(SEARCH("#",B1556)), LEFT(B1556,FIND("#",B1556)-1), B1556)</f>
        <v xml:space="preserve">Chain Link Fence </v>
      </c>
      <c r="G1556" s="26">
        <f>G1555+1</f>
        <v>28</v>
      </c>
      <c r="H1556" t="str">
        <f>IF(AND(regexMatch(B1556,".*#[0-9]*$"),ISNUMBER(SEARCH("#",B1556))),CONCATENATE(TRIM(F1556)," #",G1556),B1556)</f>
        <v>Chain Link Fence #28</v>
      </c>
    </row>
    <row r="1557" spans="1:8" ht="15.75" thickBot="1" x14ac:dyDescent="0.3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>IF(ISNUMBER(SEARCH("#",B1557)), LEFT(B1557,FIND("#",B1557)-1), B1557)</f>
        <v xml:space="preserve">Chain Link Fence </v>
      </c>
      <c r="G1557" s="26">
        <f>G1556+1</f>
        <v>29</v>
      </c>
      <c r="H1557" t="str">
        <f>IF(AND(regexMatch(B1557,".*#[0-9]*$"),ISNUMBER(SEARCH("#",B1557))),CONCATENATE(TRIM(F1557)," #",G1557),B1557)</f>
        <v>Chain Link Fence #29</v>
      </c>
    </row>
    <row r="1558" spans="1:8" ht="15.75" thickBot="1" x14ac:dyDescent="0.3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>IF(ISNUMBER(SEARCH("#",B1558)), LEFT(B1558,FIND("#",B1558)-1), B1558)</f>
        <v xml:space="preserve">Chain Link Fence </v>
      </c>
      <c r="G1558" s="26">
        <f>G1557+1</f>
        <v>30</v>
      </c>
      <c r="H1558" t="str">
        <f>IF(AND(regexMatch(B1558,".*#[0-9]*$"),ISNUMBER(SEARCH("#",B1558))),CONCATENATE(TRIM(F1558)," #",G1558),B1558)</f>
        <v>Chain Link Fence #30</v>
      </c>
    </row>
    <row r="1559" spans="1:8" ht="15.75" thickBot="1" x14ac:dyDescent="0.3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>IF(ISNUMBER(SEARCH("#",B1559)), LEFT(B1559,FIND("#",B1559)-1), B1559)</f>
        <v xml:space="preserve">Chain Link Fence </v>
      </c>
      <c r="G1559" s="26">
        <f>G1558+1</f>
        <v>31</v>
      </c>
      <c r="H1559" t="str">
        <f>IF(AND(regexMatch(B1559,".*#[0-9]*$"),ISNUMBER(SEARCH("#",B1559))),CONCATENATE(TRIM(F1559)," #",G1559),B1559)</f>
        <v>Chain Link Fence #31</v>
      </c>
    </row>
    <row r="1560" spans="1:8" ht="15.75" thickBot="1" x14ac:dyDescent="0.3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>IF(ISNUMBER(SEARCH("#",B1560)), LEFT(B1560,FIND("#",B1560)-1), B1560)</f>
        <v xml:space="preserve">Chain Link Fence </v>
      </c>
      <c r="G1560" s="26">
        <f>G1559+1</f>
        <v>32</v>
      </c>
      <c r="H1560" t="str">
        <f>IF(AND(regexMatch(B1560,".*#[0-9]*$"),ISNUMBER(SEARCH("#",B1560))),CONCATENATE(TRIM(F1560)," #",G1560),B1560)</f>
        <v>Chain Link Fence #32</v>
      </c>
    </row>
    <row r="1561" spans="1:8" ht="15.75" thickBot="1" x14ac:dyDescent="0.3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>IF(ISNUMBER(SEARCH("#",B1561)), LEFT(B1561,FIND("#",B1561)-1), B1561)</f>
        <v xml:space="preserve">Chain Link Fence </v>
      </c>
      <c r="G1561" s="26">
        <f>G1560+1</f>
        <v>33</v>
      </c>
      <c r="H1561" t="str">
        <f>IF(AND(regexMatch(B1561,".*#[0-9]*$"),ISNUMBER(SEARCH("#",B1561))),CONCATENATE(TRIM(F1561)," #",G1561),B1561)</f>
        <v>Chain Link Fence #33</v>
      </c>
    </row>
    <row r="1562" spans="1:8" ht="15.75" thickBot="1" x14ac:dyDescent="0.3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>IF(ISNUMBER(SEARCH("#",B1562)), LEFT(B1562,FIND("#",B1562)-1), B1562)</f>
        <v xml:space="preserve">Chain Link Fence </v>
      </c>
      <c r="G1562" s="26">
        <f>G1561+1</f>
        <v>34</v>
      </c>
      <c r="H1562" t="str">
        <f>IF(AND(regexMatch(B1562,".*#[0-9]*$"),ISNUMBER(SEARCH("#",B1562))),CONCATENATE(TRIM(F1562)," #",G1562),B1562)</f>
        <v>Chain Link Fence #34</v>
      </c>
    </row>
    <row r="1563" spans="1:8" ht="15.75" thickBot="1" x14ac:dyDescent="0.3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>IF(ISNUMBER(SEARCH("#",B1563)), LEFT(B1563,FIND("#",B1563)-1), B1563)</f>
        <v xml:space="preserve">Chain Link Fence </v>
      </c>
      <c r="G1563" s="26">
        <f>G1562+1</f>
        <v>35</v>
      </c>
      <c r="H1563" t="str">
        <f>IF(AND(regexMatch(B1563,".*#[0-9]*$"),ISNUMBER(SEARCH("#",B1563))),CONCATENATE(TRIM(F1563)," #",G1563),B1563)</f>
        <v>Chain Link Fence #35</v>
      </c>
    </row>
    <row r="1564" spans="1:8" ht="15.75" thickBot="1" x14ac:dyDescent="0.3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>IF(ISNUMBER(SEARCH("#",B1564)), LEFT(B1564,FIND("#",B1564)-1), B1564)</f>
        <v xml:space="preserve">Chain Link Fence </v>
      </c>
      <c r="G1564" s="26">
        <f>G1563+1</f>
        <v>36</v>
      </c>
      <c r="H1564" t="str">
        <f>IF(AND(regexMatch(B1564,".*#[0-9]*$"),ISNUMBER(SEARCH("#",B1564))),CONCATENATE(TRIM(F1564)," #",G1564),B1564)</f>
        <v>Chain Link Fence #36</v>
      </c>
    </row>
    <row r="1565" spans="1:8" ht="15.75" thickBot="1" x14ac:dyDescent="0.3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>IF(ISNUMBER(SEARCH("#",B1565)), LEFT(B1565,FIND("#",B1565)-1), B1565)</f>
        <v xml:space="preserve">Chain Link Fence </v>
      </c>
      <c r="G1565" s="26">
        <f>G1564+1</f>
        <v>37</v>
      </c>
      <c r="H1565" t="str">
        <f>IF(AND(regexMatch(B1565,".*#[0-9]*$"),ISNUMBER(SEARCH("#",B1565))),CONCATENATE(TRIM(F1565)," #",G1565),B1565)</f>
        <v>Chain Link Fence #37</v>
      </c>
    </row>
    <row r="1566" spans="1:8" ht="15.75" thickBot="1" x14ac:dyDescent="0.3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>IF(ISNUMBER(SEARCH("#",B1566)), LEFT(B1566,FIND("#",B1566)-1), B1566)</f>
        <v xml:space="preserve">Chain Link Fence </v>
      </c>
      <c r="G1566" s="26">
        <f>G1565+1</f>
        <v>38</v>
      </c>
      <c r="H1566" t="str">
        <f>IF(AND(regexMatch(B1566,".*#[0-9]*$"),ISNUMBER(SEARCH("#",B1566))),CONCATENATE(TRIM(F1566)," #",G1566),B1566)</f>
        <v>Chain Link Fence #38</v>
      </c>
    </row>
    <row r="1567" spans="1:8" ht="15.75" thickBot="1" x14ac:dyDescent="0.3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>IF(ISNUMBER(SEARCH("#",B1567)), LEFT(B1567,FIND("#",B1567)-1), B1567)</f>
        <v xml:space="preserve">Chain Link Fence </v>
      </c>
      <c r="G1567" s="26">
        <f>G1566+1</f>
        <v>39</v>
      </c>
      <c r="H1567" t="str">
        <f>IF(AND(regexMatch(B1567,".*#[0-9]*$"),ISNUMBER(SEARCH("#",B1567))),CONCATENATE(TRIM(F1567)," #",G1567),B1567)</f>
        <v>Chain Link Fence #39</v>
      </c>
    </row>
    <row r="1568" spans="1:8" ht="15.75" thickBot="1" x14ac:dyDescent="0.3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>IF(ISNUMBER(SEARCH("#",B1568)), LEFT(B1568,FIND("#",B1568)-1), B1568)</f>
        <v xml:space="preserve">Chain Link Fence </v>
      </c>
      <c r="G1568" s="26">
        <f>G1567+1</f>
        <v>40</v>
      </c>
      <c r="H1568" t="str">
        <f>IF(AND(regexMatch(B1568,".*#[0-9]*$"),ISNUMBER(SEARCH("#",B1568))),CONCATENATE(TRIM(F1568)," #",G1568),B1568)</f>
        <v>Chain Link Fence #40</v>
      </c>
    </row>
    <row r="1569" spans="1:8" ht="15.75" thickBot="1" x14ac:dyDescent="0.3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>IF(ISNUMBER(SEARCH("#",B1569)), LEFT(B1569,FIND("#",B1569)-1), B1569)</f>
        <v xml:space="preserve">Chain Link Fence </v>
      </c>
      <c r="G1569" s="26">
        <f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.75" thickBot="1" x14ac:dyDescent="0.3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>IF(ISNUMBER(SEARCH("#",B1570)), LEFT(B1570,FIND("#",B1570)-1), B1570)</f>
        <v xml:space="preserve">Chain Link Fence </v>
      </c>
      <c r="G1570" s="26">
        <f>G1569+1</f>
        <v>42</v>
      </c>
      <c r="H1570" t="str">
        <f>IF(AND(regexMatch(B1570,".*#[0-9]*$"),ISNUMBER(SEARCH("#",B1570))),CONCATENATE(TRIM(F1570)," #",G1570),B1570)</f>
        <v>Chain Link Fence #42</v>
      </c>
    </row>
    <row r="1571" spans="1:8" ht="15.75" thickBot="1" x14ac:dyDescent="0.3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>IF(ISNUMBER(SEARCH("#",B1571)), LEFT(B1571,FIND("#",B1571)-1), B1571)</f>
        <v xml:space="preserve">Chain Link Fence </v>
      </c>
      <c r="G1571" s="26">
        <f>G1570+1</f>
        <v>43</v>
      </c>
      <c r="H1571" t="str">
        <f>IF(AND(regexMatch(B1571,".*#[0-9]*$"),ISNUMBER(SEARCH("#",B1571))),CONCATENATE(TRIM(F1571)," #",G1571),B1571)</f>
        <v>Chain Link Fence #43</v>
      </c>
    </row>
    <row r="1572" spans="1:8" ht="15.75" thickBot="1" x14ac:dyDescent="0.3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>IF(ISNUMBER(SEARCH("#",B1572)), LEFT(B1572,FIND("#",B1572)-1), B1572)</f>
        <v xml:space="preserve">Chain Link Fence </v>
      </c>
      <c r="G1572" s="26">
        <f>G1571+1</f>
        <v>44</v>
      </c>
      <c r="H1572" t="str">
        <f>IF(AND(regexMatch(B1572,".*#[0-9]*$"),ISNUMBER(SEARCH("#",B1572))),CONCATENATE(TRIM(F1572)," #",G1572),B1572)</f>
        <v>Chain Link Fence #44</v>
      </c>
    </row>
    <row r="1573" spans="1:8" ht="15.75" thickBot="1" x14ac:dyDescent="0.3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>IF(ISNUMBER(SEARCH("#",B1573)), LEFT(B1573,FIND("#",B1573)-1), B1573)</f>
        <v xml:space="preserve">Chain Link Fence </v>
      </c>
      <c r="G1573" s="26">
        <f>G1572+1</f>
        <v>45</v>
      </c>
      <c r="H1573" t="str">
        <f>IF(AND(regexMatch(B1573,".*#[0-9]*$"),ISNUMBER(SEARCH("#",B1573))),CONCATENATE(TRIM(F1573)," #",G1573),B1573)</f>
        <v>Chain Link Fence #45</v>
      </c>
    </row>
    <row r="1574" spans="1:8" ht="15.75" thickBot="1" x14ac:dyDescent="0.3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>IF(ISNUMBER(SEARCH("#",B1574)), LEFT(B1574,FIND("#",B1574)-1), B1574)</f>
        <v xml:space="preserve">Chain Link Fence </v>
      </c>
      <c r="G1574" s="26">
        <f>G1573+1</f>
        <v>46</v>
      </c>
      <c r="H1574" t="str">
        <f>IF(AND(regexMatch(B1574,".*#[0-9]*$"),ISNUMBER(SEARCH("#",B1574))),CONCATENATE(TRIM(F1574)," #",G1574),B1574)</f>
        <v>Chain Link Fence #46</v>
      </c>
    </row>
    <row r="1575" spans="1:8" ht="15.75" thickBot="1" x14ac:dyDescent="0.3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>IF(ISNUMBER(SEARCH("#",B1575)), LEFT(B1575,FIND("#",B1575)-1), B1575)</f>
        <v xml:space="preserve">Chain Link Fence </v>
      </c>
      <c r="G1575" s="26">
        <f>G1574+1</f>
        <v>47</v>
      </c>
      <c r="H1575" t="str">
        <f>IF(AND(regexMatch(B1575,".*#[0-9]*$"),ISNUMBER(SEARCH("#",B1575))),CONCATENATE(TRIM(F1575)," #",G1575),B1575)</f>
        <v>Chain Link Fence #47</v>
      </c>
    </row>
    <row r="1576" spans="1:8" ht="15.75" thickBot="1" x14ac:dyDescent="0.3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>IF(ISNUMBER(SEARCH("#",B1576)), LEFT(B1576,FIND("#",B1576)-1), B1576)</f>
        <v xml:space="preserve">Chain Link Fence </v>
      </c>
      <c r="G1576" s="26">
        <f>G1575+1</f>
        <v>48</v>
      </c>
      <c r="H1576" t="str">
        <f>IF(AND(regexMatch(B1576,".*#[0-9]*$"),ISNUMBER(SEARCH("#",B1576))),CONCATENATE(TRIM(F1576)," #",G1576),B1576)</f>
        <v>Chain Link Fence #48</v>
      </c>
    </row>
    <row r="1577" spans="1:8" ht="15.75" thickBot="1" x14ac:dyDescent="0.3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>IF(ISNUMBER(SEARCH("#",B1577)), LEFT(B1577,FIND("#",B1577)-1), B1577)</f>
        <v xml:space="preserve">Chain Link Fence </v>
      </c>
      <c r="G1577" s="26">
        <f>G1576+1</f>
        <v>49</v>
      </c>
      <c r="H1577" t="str">
        <f>IF(AND(regexMatch(B1577,".*#[0-9]*$"),ISNUMBER(SEARCH("#",B1577))),CONCATENATE(TRIM(F1577)," #",G1577),B1577)</f>
        <v>Chain Link Fence #49</v>
      </c>
    </row>
    <row r="1578" spans="1:8" ht="15.75" thickBot="1" x14ac:dyDescent="0.3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>IF(ISNUMBER(SEARCH("#",B1578)), LEFT(B1578,FIND("#",B1578)-1), B1578)</f>
        <v xml:space="preserve">Chain Link Fence </v>
      </c>
      <c r="G1578" s="26">
        <f>G1577+1</f>
        <v>50</v>
      </c>
      <c r="H1578" t="str">
        <f>IF(AND(regexMatch(B1578,".*#[0-9]*$"),ISNUMBER(SEARCH("#",B1578))),CONCATENATE(TRIM(F1578)," #",G1578),B1578)</f>
        <v>Chain Link Fence #50</v>
      </c>
    </row>
    <row r="1579" spans="1:8" ht="15.75" thickBot="1" x14ac:dyDescent="0.3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>IF(ISNUMBER(SEARCH("#",B1579)), LEFT(B1579,FIND("#",B1579)-1), B1579)</f>
        <v xml:space="preserve">Chain Link Fence </v>
      </c>
      <c r="G1579" s="26">
        <f>G1578+1</f>
        <v>51</v>
      </c>
      <c r="H1579" t="str">
        <f>IF(AND(regexMatch(B1579,".*#[0-9]*$"),ISNUMBER(SEARCH("#",B1579))),CONCATENATE(TRIM(F1579)," #",G1579),B1579)</f>
        <v>Chain Link Fence #51</v>
      </c>
    </row>
    <row r="1580" spans="1:8" ht="15.75" thickBot="1" x14ac:dyDescent="0.3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>IF(ISNUMBER(SEARCH("#",B1580)), LEFT(B1580,FIND("#",B1580)-1), B1580)</f>
        <v xml:space="preserve">Chain Link Fence </v>
      </c>
      <c r="G1580" s="26">
        <f>G1579+1</f>
        <v>52</v>
      </c>
      <c r="H1580" t="str">
        <f>IF(AND(regexMatch(B1580,".*#[0-9]*$"),ISNUMBER(SEARCH("#",B1580))),CONCATENATE(TRIM(F1580)," #",G1580),B1580)</f>
        <v>Chain Link Fence #52</v>
      </c>
    </row>
    <row r="1581" spans="1:8" ht="15.75" thickBot="1" x14ac:dyDescent="0.3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>IF(ISNUMBER(SEARCH("#",B1581)), LEFT(B1581,FIND("#",B1581)-1), B1581)</f>
        <v xml:space="preserve">Chain Link Fence </v>
      </c>
      <c r="G1581" s="26">
        <f>G1580+1</f>
        <v>53</v>
      </c>
      <c r="H1581" t="str">
        <f>IF(AND(regexMatch(B1581,".*#[0-9]*$"),ISNUMBER(SEARCH("#",B1581))),CONCATENATE(TRIM(F1581)," #",G1581),B1581)</f>
        <v>Chain Link Fence #53</v>
      </c>
    </row>
    <row r="1582" spans="1:8" ht="15.75" thickBot="1" x14ac:dyDescent="0.3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>IF(ISNUMBER(SEARCH("#",B1582)), LEFT(B1582,FIND("#",B1582)-1), B1582)</f>
        <v xml:space="preserve">Chain Link Fence </v>
      </c>
      <c r="G1582" s="26">
        <f>G1581+1</f>
        <v>54</v>
      </c>
      <c r="H1582" t="str">
        <f>IF(AND(regexMatch(B1582,".*#[0-9]*$"),ISNUMBER(SEARCH("#",B1582))),CONCATENATE(TRIM(F1582)," #",G1582),B1582)</f>
        <v>Chain Link Fence #54</v>
      </c>
    </row>
    <row r="1583" spans="1:8" ht="15.75" thickBot="1" x14ac:dyDescent="0.3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>IF(ISNUMBER(SEARCH("#",B1583)), LEFT(B1583,FIND("#",B1583)-1), B1583)</f>
        <v xml:space="preserve">Chain Link Fence </v>
      </c>
      <c r="G1583" s="26">
        <f>G1582+1</f>
        <v>55</v>
      </c>
      <c r="H1583" t="str">
        <f>IF(AND(regexMatch(B1583,".*#[0-9]*$"),ISNUMBER(SEARCH("#",B1583))),CONCATENATE(TRIM(F1583)," #",G1583),B1583)</f>
        <v>Chain Link Fence #55</v>
      </c>
    </row>
    <row r="1584" spans="1:8" ht="15.75" thickBot="1" x14ac:dyDescent="0.3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>IF(ISNUMBER(SEARCH("#",B1584)), LEFT(B1584,FIND("#",B1584)-1), B1584)</f>
        <v xml:space="preserve">Chain Link Fence </v>
      </c>
      <c r="G1584" s="26">
        <f>G1583+1</f>
        <v>56</v>
      </c>
      <c r="H1584" t="str">
        <f>IF(AND(regexMatch(B1584,".*#[0-9]*$"),ISNUMBER(SEARCH("#",B1584))),CONCATENATE(TRIM(F1584)," #",G1584),B1584)</f>
        <v>Chain Link Fence #56</v>
      </c>
    </row>
    <row r="1585" spans="1:8" ht="15.75" thickBot="1" x14ac:dyDescent="0.3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>IF(ISNUMBER(SEARCH("#",B1585)), LEFT(B1585,FIND("#",B1585)-1), B1585)</f>
        <v xml:space="preserve">Chain Link Fence </v>
      </c>
      <c r="G1585" s="26">
        <f>G1584+1</f>
        <v>57</v>
      </c>
      <c r="H1585" t="str">
        <f>IF(AND(regexMatch(B1585,".*#[0-9]*$"),ISNUMBER(SEARCH("#",B1585))),CONCATENATE(TRIM(F1585)," #",G1585),B1585)</f>
        <v>Chain Link Fence #57</v>
      </c>
    </row>
    <row r="1586" spans="1:8" ht="15.75" thickBot="1" x14ac:dyDescent="0.3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>IF(ISNUMBER(SEARCH("#",B1586)), LEFT(B1586,FIND("#",B1586)-1), B1586)</f>
        <v xml:space="preserve">Chain Link Fence </v>
      </c>
      <c r="G1586" s="26">
        <f>G1585+1</f>
        <v>58</v>
      </c>
      <c r="H1586" t="str">
        <f>IF(AND(regexMatch(B1586,".*#[0-9]*$"),ISNUMBER(SEARCH("#",B1586))),CONCATENATE(TRIM(F1586)," #",G1586),B1586)</f>
        <v>Chain Link Fence #58</v>
      </c>
    </row>
    <row r="1587" spans="1:8" ht="15.75" thickBot="1" x14ac:dyDescent="0.3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>IF(ISNUMBER(SEARCH("#",B1587)), LEFT(B1587,FIND("#",B1587)-1), B1587)</f>
        <v xml:space="preserve">Chain Link Fence </v>
      </c>
      <c r="G1587" s="26">
        <f>G1586+1</f>
        <v>59</v>
      </c>
      <c r="H1587" t="str">
        <f>IF(AND(regexMatch(B1587,".*#[0-9]*$"),ISNUMBER(SEARCH("#",B1587))),CONCATENATE(TRIM(F1587)," #",G1587),B1587)</f>
        <v>Chain Link Fence #59</v>
      </c>
    </row>
    <row r="1588" spans="1:8" ht="15.75" thickBot="1" x14ac:dyDescent="0.3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>IF(ISNUMBER(SEARCH("#",B1588)), LEFT(B1588,FIND("#",B1588)-1), B1588)</f>
        <v xml:space="preserve">Chain Link Fence </v>
      </c>
      <c r="G1588" s="26">
        <f>G1587+1</f>
        <v>60</v>
      </c>
      <c r="H1588" t="str">
        <f>IF(AND(regexMatch(B1588,".*#[0-9]*$"),ISNUMBER(SEARCH("#",B1588))),CONCATENATE(TRIM(F1588)," #",G1588),B1588)</f>
        <v>Chain Link Fence #60</v>
      </c>
    </row>
    <row r="1589" spans="1:8" ht="15.75" thickBot="1" x14ac:dyDescent="0.3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>IF(ISNUMBER(SEARCH("#",B1589)), LEFT(B1589,FIND("#",B1589)-1), B1589)</f>
        <v xml:space="preserve">Chain Link Fence </v>
      </c>
      <c r="G1589" s="26">
        <f>G1588+1</f>
        <v>61</v>
      </c>
      <c r="H1589" t="str">
        <f>IF(AND(regexMatch(B1589,".*#[0-9]*$"),ISNUMBER(SEARCH("#",B1589))),CONCATENATE(TRIM(F1589)," #",G1589),B1589)</f>
        <v>Chain Link Fence #61</v>
      </c>
    </row>
    <row r="1590" spans="1:8" ht="15.75" thickBot="1" x14ac:dyDescent="0.3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>IF(ISNUMBER(SEARCH("#",B1590)), LEFT(B1590,FIND("#",B1590)-1), B1590)</f>
        <v xml:space="preserve">Chain Link Fence </v>
      </c>
      <c r="G1590" s="26">
        <f>G1589+1</f>
        <v>62</v>
      </c>
      <c r="H1590" t="str">
        <f>IF(AND(regexMatch(B1590,".*#[0-9]*$"),ISNUMBER(SEARCH("#",B1590))),CONCATENATE(TRIM(F1590)," #",G1590),B1590)</f>
        <v>Chain Link Fence #62</v>
      </c>
    </row>
    <row r="1591" spans="1:8" ht="15.75" thickBot="1" x14ac:dyDescent="0.3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>IF(ISNUMBER(SEARCH("#",B1591)), LEFT(B1591,FIND("#",B1591)-1), B1591)</f>
        <v xml:space="preserve">Chain Link Fence </v>
      </c>
      <c r="G1591" s="26">
        <f>G1590+1</f>
        <v>63</v>
      </c>
      <c r="H1591" t="str">
        <f>IF(AND(regexMatch(B1591,".*#[0-9]*$"),ISNUMBER(SEARCH("#",B1591))),CONCATENATE(TRIM(F1591)," #",G1591),B1591)</f>
        <v>Chain Link Fence #63</v>
      </c>
    </row>
    <row r="1592" spans="1:8" ht="15.75" thickBot="1" x14ac:dyDescent="0.3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>IF(ISNUMBER(SEARCH("#",B1592)), LEFT(B1592,FIND("#",B1592)-1), B1592)</f>
        <v xml:space="preserve">Chain Link Fence </v>
      </c>
      <c r="G1592" s="26">
        <f>G1591+1</f>
        <v>64</v>
      </c>
      <c r="H1592" t="str">
        <f>IF(AND(regexMatch(B1592,".*#[0-9]*$"),ISNUMBER(SEARCH("#",B1592))),CONCATENATE(TRIM(F1592)," #",G1592),B1592)</f>
        <v>Chain Link Fence #64</v>
      </c>
    </row>
    <row r="1593" spans="1:8" ht="15.75" thickBot="1" x14ac:dyDescent="0.3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>IF(ISNUMBER(SEARCH("#",B1593)), LEFT(B1593,FIND("#",B1593)-1), B1593)</f>
        <v xml:space="preserve">Chain Link Fence </v>
      </c>
      <c r="G1593" s="26">
        <f>G1592+1</f>
        <v>65</v>
      </c>
      <c r="H1593" t="str">
        <f>IF(AND(regexMatch(B1593,".*#[0-9]*$"),ISNUMBER(SEARCH("#",B1593))),CONCATENATE(TRIM(F1593)," #",G1593),B1593)</f>
        <v>Chain Link Fence #65</v>
      </c>
    </row>
    <row r="1594" spans="1:8" ht="15.75" thickBot="1" x14ac:dyDescent="0.3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>IF(ISNUMBER(SEARCH("#",B1594)), LEFT(B1594,FIND("#",B1594)-1), B1594)</f>
        <v xml:space="preserve">Chain Link Fence Corner </v>
      </c>
      <c r="G1594" s="26">
        <f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.75" thickBot="1" x14ac:dyDescent="0.3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>IF(ISNUMBER(SEARCH("#",B1595)), LEFT(B1595,FIND("#",B1595)-1), B1595)</f>
        <v xml:space="preserve">Chain Link Fence Corner </v>
      </c>
      <c r="G1595" s="26">
        <f>IF(ISNUMBER(SEARCH("#",B1595)),VALUE(MID(B1595,FIND("#",B1595)+1,1000)),1)</f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.75" thickBot="1" x14ac:dyDescent="0.3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>IF(ISNUMBER(SEARCH("#",B1596)), LEFT(B1596,FIND("#",B1596)-1), B1596)</f>
        <v>Chain Link Fence Frame</v>
      </c>
      <c r="G1596" s="26">
        <f>IF(ISNUMBER(SEARCH("#",B1596)),VALUE(MID(B1596,FIND("#",B1596)+1,1000)),1)</f>
        <v>1</v>
      </c>
      <c r="H1596" t="str">
        <f>IF(AND(regexMatch(B1596,".*#[0-9]*$"),ISNUMBER(SEARCH("#",B1596))),CONCATENATE(TRIM(F1596)," #",G1596),B1596)</f>
        <v>Chain Link Fence Frame</v>
      </c>
    </row>
    <row r="1597" spans="1:8" ht="15.75" thickBot="1" x14ac:dyDescent="0.3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>IF(ISNUMBER(SEARCH("#",B1597)), LEFT(B1597,FIND("#",B1597)-1), B1597)</f>
        <v>Chain Link Fence Pole</v>
      </c>
      <c r="G1597" s="26">
        <f>IF(ISNUMBER(SEARCH("#",B1597)),VALUE(MID(B1597,FIND("#",B1597)+1,1000)),1)</f>
        <v>1</v>
      </c>
      <c r="H1597" t="str">
        <f>IF(AND(regexMatch(B1597,".*#[0-9]*$"),ISNUMBER(SEARCH("#",B1597))),CONCATENATE(TRIM(F1597)," #",G1597),B1597)</f>
        <v>Chain Link Fence Pole</v>
      </c>
    </row>
    <row r="1598" spans="1:8" ht="15.75" thickBot="1" x14ac:dyDescent="0.3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>IF(ISNUMBER(SEARCH("#",B1598)), LEFT(B1598,FIND("#",B1598)-1), B1598)</f>
        <v>Chain Link Fence Post</v>
      </c>
      <c r="G1598" s="26">
        <f>IF(ISNUMBER(SEARCH("#",B1598)),VALUE(MID(B1598,FIND("#",B1598)+1,1000)),1)</f>
        <v>1</v>
      </c>
      <c r="H1598" t="str">
        <f>IF(AND(regexMatch(B1598,".*#[0-9]*$"),ISNUMBER(SEARCH("#",B1598))),CONCATENATE(TRIM(F1598)," #",G1598),B1598)</f>
        <v>Chain Link Fence Post</v>
      </c>
    </row>
    <row r="1599" spans="1:8" ht="15.75" thickBot="1" x14ac:dyDescent="0.3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>IF(ISNUMBER(SEARCH("#",B1599)), LEFT(B1599,FIND("#",B1599)-1), B1599)</f>
        <v>Construction Fence</v>
      </c>
      <c r="G1599" s="26">
        <f>IF(ISNUMBER(SEARCH("#",B1599)),VALUE(MID(B1599,FIND("#",B1599)+1,1000)),1)</f>
        <v>1</v>
      </c>
      <c r="H1599" t="str">
        <f>IF(AND(regexMatch(B1599,".*#[0-9]*$"),ISNUMBER(SEARCH("#",B1599))),CONCATENATE(TRIM(F1599)," #",G1599),B1599)</f>
        <v>Construction Fence</v>
      </c>
    </row>
    <row r="1600" spans="1:8" ht="15.75" thickBot="1" x14ac:dyDescent="0.3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>IF(ISNUMBER(SEARCH("#",B1600)), LEFT(B1600,FIND("#",B1600)-1), B1600)</f>
        <v xml:space="preserve">Corrugated Fence </v>
      </c>
      <c r="G1600" s="26">
        <f>IF(ISNUMBER(SEARCH("#",B1600)),VALUE(MID(B1600,FIND("#",B1600)+1,1000)),1)</f>
        <v>1</v>
      </c>
      <c r="H1600" t="str">
        <f>IF(AND(regexMatch(B1600,".*#[0-9]*$"),ISNUMBER(SEARCH("#",B1600))),CONCATENATE(TRIM(F1600)," #",G1600),B1600)</f>
        <v>Corrugated Fence #1</v>
      </c>
    </row>
    <row r="1601" spans="1:8" ht="15.75" thickBot="1" x14ac:dyDescent="0.3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>IF(ISNUMBER(SEARCH("#",B1601)), LEFT(B1601,FIND("#",B1601)-1), B1601)</f>
        <v xml:space="preserve">Corrugated Fence </v>
      </c>
      <c r="G1601" s="26">
        <f>IF(ISNUMBER(SEARCH("#",B1601)),VALUE(MID(B1601,FIND("#",B1601)+1,1000)),1)</f>
        <v>2</v>
      </c>
      <c r="H1601" t="str">
        <f>IF(AND(regexMatch(B1601,".*#[0-9]*$"),ISNUMBER(SEARCH("#",B1601))),CONCATENATE(TRIM(F1601)," #",G1601),B1601)</f>
        <v>Corrugated Fence #2</v>
      </c>
    </row>
    <row r="1602" spans="1:8" ht="15.75" thickBot="1" x14ac:dyDescent="0.3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>IF(ISNUMBER(SEARCH("#",B1602)), LEFT(B1602,FIND("#",B1602)-1), B1602)</f>
        <v xml:space="preserve">Corrugated Fence </v>
      </c>
      <c r="G1602" s="26">
        <f>IF(ISNUMBER(SEARCH("#",B1602)),VALUE(MID(B1602,FIND("#",B1602)+1,1000)),1)</f>
        <v>3</v>
      </c>
      <c r="H1602" t="str">
        <f>IF(AND(regexMatch(B1602,".*#[0-9]*$"),ISNUMBER(SEARCH("#",B1602))),CONCATENATE(TRIM(F1602)," #",G1602),B1602)</f>
        <v>Corrugated Fence #3</v>
      </c>
    </row>
    <row r="1603" spans="1:8" ht="15.75" thickBot="1" x14ac:dyDescent="0.3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>IF(ISNUMBER(SEARCH("#",B1603)), LEFT(B1603,FIND("#",B1603)-1), B1603)</f>
        <v xml:space="preserve">Corrugated Fence </v>
      </c>
      <c r="G1603" s="26">
        <f>IF(ISNUMBER(SEARCH("#",B1603)),VALUE(MID(B1603,FIND("#",B1603)+1,1000)),1)</f>
        <v>4</v>
      </c>
      <c r="H1603" t="str">
        <f>IF(AND(regexMatch(B1603,".*#[0-9]*$"),ISNUMBER(SEARCH("#",B1603))),CONCATENATE(TRIM(F1603)," #",G1603),B1603)</f>
        <v>Corrugated Fence #4</v>
      </c>
    </row>
    <row r="1604" spans="1:8" ht="15.75" thickBot="1" x14ac:dyDescent="0.3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>IF(ISNUMBER(SEARCH("#",B1604)), LEFT(B1604,FIND("#",B1604)-1), B1604)</f>
        <v xml:space="preserve">Corrugated Fence </v>
      </c>
      <c r="G1604" s="26">
        <f>IF(ISNUMBER(SEARCH("#",B1604)),VALUE(MID(B1604,FIND("#",B1604)+1,1000)),1)</f>
        <v>5</v>
      </c>
      <c r="H1604" t="str">
        <f>IF(AND(regexMatch(B1604,".*#[0-9]*$"),ISNUMBER(SEARCH("#",B1604))),CONCATENATE(TRIM(F1604)," #",G1604),B1604)</f>
        <v>Corrugated Fence #5</v>
      </c>
    </row>
    <row r="1605" spans="1:8" ht="15.75" thickBot="1" x14ac:dyDescent="0.3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>IF(ISNUMBER(SEARCH("#",B1605)), LEFT(B1605,FIND("#",B1605)-1), B1605)</f>
        <v xml:space="preserve">Corrugated Fence </v>
      </c>
      <c r="G1605" s="26">
        <f>IF(ISNUMBER(SEARCH("#",B1605)),VALUE(MID(B1605,FIND("#",B1605)+1,1000)),1)</f>
        <v>6</v>
      </c>
      <c r="H1605" t="str">
        <f>IF(AND(regexMatch(B1605,".*#[0-9]*$"),ISNUMBER(SEARCH("#",B1605))),CONCATENATE(TRIM(F1605)," #",G1605),B1605)</f>
        <v>Corrugated Fence #6</v>
      </c>
    </row>
    <row r="1606" spans="1:8" ht="15.75" thickBot="1" x14ac:dyDescent="0.3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>IF(ISNUMBER(SEARCH("#",B1606)), LEFT(B1606,FIND("#",B1606)-1), B1606)</f>
        <v xml:space="preserve">Corrugated Fence </v>
      </c>
      <c r="G1606" s="26">
        <f>IF(ISNUMBER(SEARCH("#",B1606)),VALUE(MID(B1606,FIND("#",B1606)+1,1000)),1)</f>
        <v>7</v>
      </c>
      <c r="H1606" t="str">
        <f>IF(AND(regexMatch(B1606,".*#[0-9]*$"),ISNUMBER(SEARCH("#",B1606))),CONCATENATE(TRIM(F1606)," #",G1606),B1606)</f>
        <v>Corrugated Fence #7</v>
      </c>
    </row>
    <row r="1607" spans="1:8" ht="15.75" thickBot="1" x14ac:dyDescent="0.3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>IF(ISNUMBER(SEARCH("#",B1607)), LEFT(B1607,FIND("#",B1607)-1), B1607)</f>
        <v xml:space="preserve">Corrugated Fence </v>
      </c>
      <c r="G1607" s="26">
        <f>IF(ISNUMBER(SEARCH("#",B1607)),VALUE(MID(B1607,FIND("#",B1607)+1,1000)),1)</f>
        <v>8</v>
      </c>
      <c r="H1607" t="str">
        <f>IF(AND(regexMatch(B1607,".*#[0-9]*$"),ISNUMBER(SEARCH("#",B1607))),CONCATENATE(TRIM(F1607)," #",G1607),B1607)</f>
        <v>Corrugated Fence #8</v>
      </c>
    </row>
    <row r="1608" spans="1:8" ht="15.75" thickBot="1" x14ac:dyDescent="0.3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>IF(ISNUMBER(SEARCH("#",B1608)), LEFT(B1608,FIND("#",B1608)-1), B1608)</f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.75" thickBot="1" x14ac:dyDescent="0.3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>IF(ISNUMBER(SEARCH("#",B1609)), LEFT(B1609,FIND("#",B1609)-1), B1609)</f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.75" thickBot="1" x14ac:dyDescent="0.3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>IF(ISNUMBER(SEARCH("#",B1610)), LEFT(B1610,FIND("#",B1610)-1), B1610)</f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.75" thickBot="1" x14ac:dyDescent="0.3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>IF(ISNUMBER(SEARCH("#",B1611)), LEFT(B1611,FIND("#",B1611)-1), B1611)</f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.75" thickBot="1" x14ac:dyDescent="0.3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>IF(ISNUMBER(SEARCH("#",B1612)), LEFT(B1612,FIND("#",B1612)-1), B1612)</f>
        <v>Corrugated Fence Pole</v>
      </c>
      <c r="G1612" s="26">
        <f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.75" thickBot="1" x14ac:dyDescent="0.3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>IF(ISNUMBER(SEARCH("#",B1613)), LEFT(B1613,FIND("#",B1613)-1), B1613)</f>
        <v xml:space="preserve">Farm Fence </v>
      </c>
      <c r="G1613" s="26">
        <f>IF(ISNUMBER(SEARCH("#",B1613)),VALUE(MID(B1613,FIND("#",B1613)+1,1000)),1)</f>
        <v>2</v>
      </c>
      <c r="H1613" t="str">
        <f>IF(AND(regexMatch(B1613,".*#[0-9]*$"),ISNUMBER(SEARCH("#",B1613))),CONCATENATE(TRIM(F1613)," #",G1613),B1613)</f>
        <v>Farm Fence #2</v>
      </c>
    </row>
    <row r="1614" spans="1:8" ht="15.75" thickBot="1" x14ac:dyDescent="0.3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>IF(ISNUMBER(SEARCH("#",B1614)), LEFT(B1614,FIND("#",B1614)-1), B1614)</f>
        <v xml:space="preserve">Farm Fence </v>
      </c>
      <c r="G1614" s="26">
        <f>IF(ISNUMBER(SEARCH("#",B1614)),VALUE(MID(B1614,FIND("#",B1614)+1,1000)),1)</f>
        <v>3</v>
      </c>
      <c r="H1614" t="str">
        <f>IF(AND(regexMatch(B1614,".*#[0-9]*$"),ISNUMBER(SEARCH("#",B1614))),CONCATENATE(TRIM(F1614)," #",G1614),B1614)</f>
        <v>Farm Fence #3</v>
      </c>
    </row>
    <row r="1615" spans="1:8" ht="15.75" thickBot="1" x14ac:dyDescent="0.3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>IF(ISNUMBER(SEARCH("#",B1615)), LEFT(B1615,FIND("#",B1615)-1), B1615)</f>
        <v xml:space="preserve">Farm Fence </v>
      </c>
      <c r="G1615" s="26">
        <f>IF(ISNUMBER(SEARCH("#",B1615)),VALUE(MID(B1615,FIND("#",B1615)+1,1000)),1)</f>
        <v>4</v>
      </c>
      <c r="H1615" t="str">
        <f>IF(AND(regexMatch(B1615,".*#[0-9]*$"),ISNUMBER(SEARCH("#",B1615))),CONCATENATE(TRIM(F1615)," #",G1615),B1615)</f>
        <v>Farm Fence #4</v>
      </c>
    </row>
    <row r="1616" spans="1:8" ht="15.75" thickBot="1" x14ac:dyDescent="0.3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>IF(ISNUMBER(SEARCH("#",B1616)), LEFT(B1616,FIND("#",B1616)-1), B1616)</f>
        <v xml:space="preserve">Farm Fence </v>
      </c>
      <c r="G1616" s="26">
        <f>IF(ISNUMBER(SEARCH("#",B1616)),VALUE(MID(B1616,FIND("#",B1616)+1,1000)),1)</f>
        <v>5</v>
      </c>
      <c r="H1616" t="str">
        <f>IF(AND(regexMatch(B1616,".*#[0-9]*$"),ISNUMBER(SEARCH("#",B1616))),CONCATENATE(TRIM(F1616)," #",G1616),B1616)</f>
        <v>Farm Fence #5</v>
      </c>
    </row>
    <row r="1617" spans="1:8" ht="15.75" thickBot="1" x14ac:dyDescent="0.3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>IF(ISNUMBER(SEARCH("#",B1617)), LEFT(B1617,FIND("#",B1617)-1), B1617)</f>
        <v xml:space="preserve">Farm Fence </v>
      </c>
      <c r="G1617" s="26">
        <f>IF(ISNUMBER(SEARCH("#",B1617)),VALUE(MID(B1617,FIND("#",B1617)+1,1000)),1)</f>
        <v>6</v>
      </c>
      <c r="H1617" t="str">
        <f>IF(AND(regexMatch(B1617,".*#[0-9]*$"),ISNUMBER(SEARCH("#",B1617))),CONCATENATE(TRIM(F1617)," #",G1617),B1617)</f>
        <v>Farm Fence #6</v>
      </c>
    </row>
    <row r="1618" spans="1:8" ht="15.75" thickBot="1" x14ac:dyDescent="0.3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>IF(ISNUMBER(SEARCH("#",B1618)), LEFT(B1618,FIND("#",B1618)-1), B1618)</f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.75" thickBot="1" x14ac:dyDescent="0.3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>IF(ISNUMBER(SEARCH("#",B1619)), LEFT(B1619,FIND("#",B1619)-1), B1619)</f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.75" thickBot="1" x14ac:dyDescent="0.3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>IF(ISNUMBER(SEARCH("#",B1620)), LEFT(B1620,FIND("#",B1620)-1), B1620)</f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.75" thickBot="1" x14ac:dyDescent="0.3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>IF(ISNUMBER(SEARCH("#",B1621)), LEFT(B1621,FIND("#",B1621)-1), B1621)</f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.75" thickBot="1" x14ac:dyDescent="0.3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>IF(ISNUMBER(SEARCH("#",B1622)), LEFT(B1622,FIND("#",B1622)-1), B1622)</f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.75" thickBot="1" x14ac:dyDescent="0.3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>IF(ISNUMBER(SEARCH("#",B1623)), LEFT(B1623,FIND("#",B1623)-1), B1623)</f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.75" thickBot="1" x14ac:dyDescent="0.3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>IF(ISNUMBER(SEARCH("#",B1624)), LEFT(B1624,FIND("#",B1624)-1), B1624)</f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.75" thickBot="1" x14ac:dyDescent="0.3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>IF(ISNUMBER(SEARCH("#",B1625)), LEFT(B1625,FIND("#",B1625)-1), B1625)</f>
        <v xml:space="preserve">Log Fence </v>
      </c>
      <c r="G1625" s="26">
        <f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.75" thickBot="1" x14ac:dyDescent="0.3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>IF(ISNUMBER(SEARCH("#",B1626)), LEFT(B1626,FIND("#",B1626)-1), B1626)</f>
        <v xml:space="preserve">Log Fence </v>
      </c>
      <c r="G1626" s="26">
        <f>IF(ISNUMBER(SEARCH("#",B1626)),VALUE(MID(B1626,FIND("#",B1626)+1,1000)),1)</f>
        <v>2</v>
      </c>
      <c r="H1626" t="str">
        <f>IF(AND(regexMatch(B1626,".*#[0-9]*$"),ISNUMBER(SEARCH("#",B1626))),CONCATENATE(TRIM(F1626)," #",G1626),B1626)</f>
        <v>Log Fence #2</v>
      </c>
    </row>
    <row r="1627" spans="1:8" ht="15.75" thickBot="1" x14ac:dyDescent="0.3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>IF(ISNUMBER(SEARCH("#",B1627)), LEFT(B1627,FIND("#",B1627)-1), B1627)</f>
        <v xml:space="preserve">Log Fence </v>
      </c>
      <c r="G1627" s="26">
        <f>IF(ISNUMBER(SEARCH("#",B1627)),VALUE(MID(B1627,FIND("#",B1627)+1,1000)),1)</f>
        <v>3</v>
      </c>
      <c r="H1627" t="str">
        <f>IF(AND(regexMatch(B1627,".*#[0-9]*$"),ISNUMBER(SEARCH("#",B1627))),CONCATENATE(TRIM(F1627)," #",G1627),B1627)</f>
        <v>Log Fence #3</v>
      </c>
    </row>
    <row r="1628" spans="1:8" ht="15.75" thickBot="1" x14ac:dyDescent="0.3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>IF(ISNUMBER(SEARCH("#",B1628)), LEFT(B1628,FIND("#",B1628)-1), B1628)</f>
        <v xml:space="preserve">Log Fence </v>
      </c>
      <c r="G1628" s="26">
        <f>IF(ISNUMBER(SEARCH("#",B1628)),VALUE(MID(B1628,FIND("#",B1628)+1,1000)),1)</f>
        <v>4</v>
      </c>
      <c r="H1628" t="str">
        <f>IF(AND(regexMatch(B1628,".*#[0-9]*$"),ISNUMBER(SEARCH("#",B1628))),CONCATENATE(TRIM(F1628)," #",G1628),B1628)</f>
        <v>Log Fence #4</v>
      </c>
    </row>
    <row r="1629" spans="1:8" ht="15.75" thickBot="1" x14ac:dyDescent="0.3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>IF(ISNUMBER(SEARCH("#",B1629)), LEFT(B1629,FIND("#",B1629)-1), B1629)</f>
        <v xml:space="preserve">Movie Premiere Fence </v>
      </c>
      <c r="G1629" s="26">
        <f>IF(ISNUMBER(SEARCH("#",B1629)),VALUE(MID(B1629,FIND("#",B1629)+1,1000)),1)</f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.75" thickBot="1" x14ac:dyDescent="0.3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>IF(ISNUMBER(SEARCH("#",B1630)), LEFT(B1630,FIND("#",B1630)-1), B1630)</f>
        <v xml:space="preserve">Movie Premiere Fence </v>
      </c>
      <c r="G1630" s="26">
        <f>IF(ISNUMBER(SEARCH("#",B1630)),VALUE(MID(B1630,FIND("#",B1630)+1,1000)),1)</f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.75" thickBot="1" x14ac:dyDescent="0.3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>IF(ISNUMBER(SEARCH("#",B1631)), LEFT(B1631,FIND("#",B1631)-1), B1631)</f>
        <v xml:space="preserve">Orange Mesh Fence </v>
      </c>
      <c r="G1631" s="26">
        <f>IF(ISNUMBER(SEARCH("#",B1631)),VALUE(MID(B1631,FIND("#",B1631)+1,1000)),1)</f>
        <v>1</v>
      </c>
      <c r="H1631" t="str">
        <f>IF(AND(regexMatch(B1631,".*#[0-9]*$"),ISNUMBER(SEARCH("#",B1631))),CONCATENATE(TRIM(F1631)," #",G1631),B1631)</f>
        <v>Orange Mesh Fence #1</v>
      </c>
    </row>
    <row r="1632" spans="1:8" ht="15.75" thickBot="1" x14ac:dyDescent="0.3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>IF(ISNUMBER(SEARCH("#",B1632)), LEFT(B1632,FIND("#",B1632)-1), B1632)</f>
        <v xml:space="preserve">Orange Mesh Fence </v>
      </c>
      <c r="G1632" s="26">
        <f>IF(ISNUMBER(SEARCH("#",B1632)),VALUE(MID(B1632,FIND("#",B1632)+1,1000)),1)</f>
        <v>2</v>
      </c>
      <c r="H1632" t="str">
        <f>IF(AND(regexMatch(B1632,".*#[0-9]*$"),ISNUMBER(SEARCH("#",B1632))),CONCATENATE(TRIM(F1632)," #",G1632),B1632)</f>
        <v>Orange Mesh Fence #2</v>
      </c>
    </row>
    <row r="1633" spans="1:8" ht="15.75" thickBot="1" x14ac:dyDescent="0.3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>IF(ISNUMBER(SEARCH("#",B1633)), LEFT(B1633,FIND("#",B1633)-1), B1633)</f>
        <v xml:space="preserve">Orange Mesh Fence </v>
      </c>
      <c r="G1633" s="26">
        <f>IF(ISNUMBER(SEARCH("#",B1633)),VALUE(MID(B1633,FIND("#",B1633)+1,1000)),1)</f>
        <v>3</v>
      </c>
      <c r="H1633" t="str">
        <f>IF(AND(regexMatch(B1633,".*#[0-9]*$"),ISNUMBER(SEARCH("#",B1633))),CONCATENATE(TRIM(F1633)," #",G1633),B1633)</f>
        <v>Orange Mesh Fence #3</v>
      </c>
    </row>
    <row r="1634" spans="1:8" ht="15.75" thickBot="1" x14ac:dyDescent="0.3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>IF(ISNUMBER(SEARCH("#",B1634)), LEFT(B1634,FIND("#",B1634)-1), B1634)</f>
        <v>P Fnclink Dtest</v>
      </c>
      <c r="G1634" s="26">
        <f>IF(ISNUMBER(SEARCH("#",B1634)),VALUE(MID(B1634,FIND("#",B1634)+1,1000)),1)</f>
        <v>1</v>
      </c>
      <c r="H1634" t="str">
        <f>IF(AND(regexMatch(B1634,".*#[0-9]*$"),ISNUMBER(SEARCH("#",B1634))),CONCATENATE(TRIM(F1634)," #",G1634),B1634)</f>
        <v>P Fnclink Dtest</v>
      </c>
    </row>
    <row r="1635" spans="1:8" ht="15.75" thickBot="1" x14ac:dyDescent="0.3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>IF(ISNUMBER(SEARCH("#",B1635)), LEFT(B1635,FIND("#",B1635)-1), B1635)</f>
        <v>Picket Fence</v>
      </c>
      <c r="G1635" s="26">
        <f>IF(ISNUMBER(SEARCH("#",B1635)),VALUE(MID(B1635,FIND("#",B1635)+1,1000)),1)</f>
        <v>1</v>
      </c>
      <c r="H1635" t="str">
        <f>IF(AND(regexMatch(B1635,".*#[0-9]*$"),ISNUMBER(SEARCH("#",B1635))),CONCATENATE(TRIM(F1635)," #",G1635),B1635)</f>
        <v>Picket Fence</v>
      </c>
    </row>
    <row r="1636" spans="1:8" ht="15.75" thickBot="1" x14ac:dyDescent="0.3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>IF(ISNUMBER(SEARCH("#",B1636)), LEFT(B1636,FIND("#",B1636)-1), B1636)</f>
        <v xml:space="preserve">Plywood Fence </v>
      </c>
      <c r="G1636" s="26">
        <f>IF(ISNUMBER(SEARCH("#",B1636)),VALUE(MID(B1636,FIND("#",B1636)+1,1000)),1)</f>
        <v>1</v>
      </c>
      <c r="H1636" t="str">
        <f>IF(AND(regexMatch(B1636,".*#[0-9]*$"),ISNUMBER(SEARCH("#",B1636))),CONCATENATE(TRIM(F1636)," #",G1636),B1636)</f>
        <v>Plywood Fence #1</v>
      </c>
    </row>
    <row r="1637" spans="1:8" ht="15.75" thickBot="1" x14ac:dyDescent="0.3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>IF(ISNUMBER(SEARCH("#",B1637)), LEFT(B1637,FIND("#",B1637)-1), B1637)</f>
        <v xml:space="preserve">Plywood Fence </v>
      </c>
      <c r="G1637" s="26">
        <f>IF(ISNUMBER(SEARCH("#",B1637)),VALUE(MID(B1637,FIND("#",B1637)+1,1000)),1)</f>
        <v>2</v>
      </c>
      <c r="H1637" t="str">
        <f>IF(AND(regexMatch(B1637,".*#[0-9]*$"),ISNUMBER(SEARCH("#",B1637))),CONCATENATE(TRIM(F1637)," #",G1637),B1637)</f>
        <v>Plywood Fence #2</v>
      </c>
    </row>
    <row r="1638" spans="1:8" ht="15.75" thickBot="1" x14ac:dyDescent="0.3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>IF(ISNUMBER(SEARCH("#",B1638)), LEFT(B1638,FIND("#",B1638)-1), B1638)</f>
        <v>Plywood Fence Gate</v>
      </c>
      <c r="G1638" s="26">
        <f>IF(ISNUMBER(SEARCH("#",B1638)),VALUE(MID(B1638,FIND("#",B1638)+1,1000)),1)</f>
        <v>1</v>
      </c>
      <c r="H1638" t="str">
        <f>IF(AND(regexMatch(B1638,".*#[0-9]*$"),ISNUMBER(SEARCH("#",B1638))),CONCATENATE(TRIM(F1638)," #",G1638),B1638)</f>
        <v>Plywood Fence Gate</v>
      </c>
    </row>
    <row r="1639" spans="1:8" ht="15.75" thickBot="1" x14ac:dyDescent="0.3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>IF(ISNUMBER(SEARCH("#",B1639)), LEFT(B1639,FIND("#",B1639)-1), B1639)</f>
        <v>Plywood Fence Post</v>
      </c>
      <c r="G1639" s="26">
        <f>IF(ISNUMBER(SEARCH("#",B1639)),VALUE(MID(B1639,FIND("#",B1639)+1,1000)),1)</f>
        <v>1</v>
      </c>
      <c r="H1639" t="str">
        <f>IF(AND(regexMatch(B1639,".*#[0-9]*$"),ISNUMBER(SEARCH("#",B1639))),CONCATENATE(TRIM(F1639)," #",G1639),B1639)</f>
        <v>Plywood Fence Post</v>
      </c>
    </row>
    <row r="1640" spans="1:8" ht="15.75" thickBot="1" x14ac:dyDescent="0.3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>IF(ISNUMBER(SEARCH("#",B1640)), LEFT(B1640,FIND("#",B1640)-1), B1640)</f>
        <v>Railings</v>
      </c>
      <c r="G1640" s="26">
        <f>IF(ISNUMBER(SEARCH("#",B1640)),VALUE(MID(B1640,FIND("#",B1640)+1,1000)),1)</f>
        <v>1</v>
      </c>
      <c r="H1640" t="str">
        <f>IF(AND(regexMatch(B1640,".*#[0-9]*$"),ISNUMBER(SEARCH("#",B1640))),CONCATENATE(TRIM(F1640)," #",G1640),B1640)</f>
        <v>Railings</v>
      </c>
    </row>
    <row r="1641" spans="1:8" ht="15.75" thickBot="1" x14ac:dyDescent="0.3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>IF(ISNUMBER(SEARCH("#",B1641)), LEFT(B1641,FIND("#",B1641)-1), B1641)</f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.75" thickBot="1" x14ac:dyDescent="0.3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>IF(ISNUMBER(SEARCH("#",B1642)), LEFT(B1642,FIND("#",B1642)-1), B1642)</f>
        <v xml:space="preserve">Residential Fence </v>
      </c>
      <c r="G1642" s="26">
        <f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.75" thickBot="1" x14ac:dyDescent="0.3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>IF(ISNUMBER(SEARCH("#",B1643)), LEFT(B1643,FIND("#",B1643)-1), B1643)</f>
        <v xml:space="preserve">Residential Fence </v>
      </c>
      <c r="G1643" s="26">
        <f>G1642+1</f>
        <v>3</v>
      </c>
      <c r="H1643" t="str">
        <f>IF(AND(regexMatch(B1643,".*#[0-9]*$"),ISNUMBER(SEARCH("#",B1643))),CONCATENATE(TRIM(F1643)," #",G1643),B1643)</f>
        <v>Residential Fence #3</v>
      </c>
    </row>
    <row r="1644" spans="1:8" ht="15.75" thickBot="1" x14ac:dyDescent="0.3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>IF(ISNUMBER(SEARCH("#",B1644)), LEFT(B1644,FIND("#",B1644)-1), B1644)</f>
        <v xml:space="preserve">Residential Fence </v>
      </c>
      <c r="G1644" s="26">
        <f>G1643+1</f>
        <v>4</v>
      </c>
      <c r="H1644" t="str">
        <f>IF(AND(regexMatch(B1644,".*#[0-9]*$"),ISNUMBER(SEARCH("#",B1644))),CONCATENATE(TRIM(F1644)," #",G1644),B1644)</f>
        <v>Residential Fence #4</v>
      </c>
    </row>
    <row r="1645" spans="1:8" ht="15.75" thickBot="1" x14ac:dyDescent="0.3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>IF(ISNUMBER(SEARCH("#",B1645)), LEFT(B1645,FIND("#",B1645)-1), B1645)</f>
        <v xml:space="preserve">Residential Fence </v>
      </c>
      <c r="G1645" s="26">
        <f>G1644+1</f>
        <v>5</v>
      </c>
      <c r="H1645" t="str">
        <f>IF(AND(regexMatch(B1645,".*#[0-9]*$"),ISNUMBER(SEARCH("#",B1645))),CONCATENATE(TRIM(F1645)," #",G1645),B1645)</f>
        <v>Residential Fence #5</v>
      </c>
    </row>
    <row r="1646" spans="1:8" ht="15.75" thickBot="1" x14ac:dyDescent="0.3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>IF(ISNUMBER(SEARCH("#",B1646)), LEFT(B1646,FIND("#",B1646)-1), B1646)</f>
        <v xml:space="preserve">Residential Fence </v>
      </c>
      <c r="G1646" s="26">
        <f>G1645+1</f>
        <v>6</v>
      </c>
      <c r="H1646" t="str">
        <f>IF(AND(regexMatch(B1646,".*#[0-9]*$"),ISNUMBER(SEARCH("#",B1646))),CONCATENATE(TRIM(F1646)," #",G1646),B1646)</f>
        <v>Residential Fence #6</v>
      </c>
    </row>
    <row r="1647" spans="1:8" ht="15.75" thickBot="1" x14ac:dyDescent="0.3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>IF(ISNUMBER(SEARCH("#",B1647)), LEFT(B1647,FIND("#",B1647)-1), B1647)</f>
        <v xml:space="preserve">Residential Fence </v>
      </c>
      <c r="G1647" s="26">
        <f>G1646+1</f>
        <v>7</v>
      </c>
      <c r="H1647" t="str">
        <f>IF(AND(regexMatch(B1647,".*#[0-9]*$"),ISNUMBER(SEARCH("#",B1647))),CONCATENATE(TRIM(F1647)," #",G1647),B1647)</f>
        <v>Residential Fence #7</v>
      </c>
    </row>
    <row r="1648" spans="1:8" ht="15.75" thickBot="1" x14ac:dyDescent="0.3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>IF(ISNUMBER(SEARCH("#",B1648)), LEFT(B1648,FIND("#",B1648)-1), B1648)</f>
        <v xml:space="preserve">Residential Fence </v>
      </c>
      <c r="G1648" s="26">
        <f>G1647+1</f>
        <v>8</v>
      </c>
      <c r="H1648" t="str">
        <f>IF(AND(regexMatch(B1648,".*#[0-9]*$"),ISNUMBER(SEARCH("#",B1648))),CONCATENATE(TRIM(F1648)," #",G1648),B1648)</f>
        <v>Residential Fence #8</v>
      </c>
    </row>
    <row r="1649" spans="1:8" ht="15.75" thickBot="1" x14ac:dyDescent="0.3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>IF(ISNUMBER(SEARCH("#",B1649)), LEFT(B1649,FIND("#",B1649)-1), B1649)</f>
        <v xml:space="preserve">Residential Fence </v>
      </c>
      <c r="G1649" s="26">
        <f>G1648+1</f>
        <v>9</v>
      </c>
      <c r="H1649" t="str">
        <f>IF(AND(regexMatch(B1649,".*#[0-9]*$"),ISNUMBER(SEARCH("#",B1649))),CONCATENATE(TRIM(F1649)," #",G1649),B1649)</f>
        <v>Residential Fence #9</v>
      </c>
    </row>
    <row r="1650" spans="1:8" ht="15.75" thickBot="1" x14ac:dyDescent="0.3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>IF(ISNUMBER(SEARCH("#",B1650)), LEFT(B1650,FIND("#",B1650)-1), B1650)</f>
        <v xml:space="preserve">Residential Fence </v>
      </c>
      <c r="G1650" s="26">
        <f>G1649+1</f>
        <v>10</v>
      </c>
      <c r="H1650" t="str">
        <f>IF(AND(regexMatch(B1650,".*#[0-9]*$"),ISNUMBER(SEARCH("#",B1650))),CONCATENATE(TRIM(F1650)," #",G1650),B1650)</f>
        <v>Residential Fence #10</v>
      </c>
    </row>
    <row r="1651" spans="1:8" ht="15.75" thickBot="1" x14ac:dyDescent="0.3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>IF(ISNUMBER(SEARCH("#",B1651)), LEFT(B1651,FIND("#",B1651)-1), B1651)</f>
        <v xml:space="preserve">Residential Fence </v>
      </c>
      <c r="G1651" s="26">
        <f>G1650+1</f>
        <v>11</v>
      </c>
      <c r="H1651" t="str">
        <f>IF(AND(regexMatch(B1651,".*#[0-9]*$"),ISNUMBER(SEARCH("#",B1651))),CONCATENATE(TRIM(F1651)," #",G1651),B1651)</f>
        <v>Residential Fence #11</v>
      </c>
    </row>
    <row r="1652" spans="1:8" ht="15.75" thickBot="1" x14ac:dyDescent="0.3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>IF(ISNUMBER(SEARCH("#",B1652)), LEFT(B1652,FIND("#",B1652)-1), B1652)</f>
        <v xml:space="preserve">Residential Fence </v>
      </c>
      <c r="G1652" s="26">
        <f>G1651+1</f>
        <v>12</v>
      </c>
      <c r="H1652" t="str">
        <f>IF(AND(regexMatch(B1652,".*#[0-9]*$"),ISNUMBER(SEARCH("#",B1652))),CONCATENATE(TRIM(F1652)," #",G1652),B1652)</f>
        <v>Residential Fence #12</v>
      </c>
    </row>
    <row r="1653" spans="1:8" ht="15.75" thickBot="1" x14ac:dyDescent="0.3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>IF(ISNUMBER(SEARCH("#",B1653)), LEFT(B1653,FIND("#",B1653)-1), B1653)</f>
        <v xml:space="preserve">Residential Fence </v>
      </c>
      <c r="G1653" s="26">
        <f>G1652+1</f>
        <v>13</v>
      </c>
      <c r="H1653" t="str">
        <f>IF(AND(regexMatch(B1653,".*#[0-9]*$"),ISNUMBER(SEARCH("#",B1653))),CONCATENATE(TRIM(F1653)," #",G1653),B1653)</f>
        <v>Residential Fence #13</v>
      </c>
    </row>
    <row r="1654" spans="1:8" ht="15.75" thickBot="1" x14ac:dyDescent="0.3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>IF(ISNUMBER(SEARCH("#",B1654)), LEFT(B1654,FIND("#",B1654)-1), B1654)</f>
        <v xml:space="preserve">Residential Fence </v>
      </c>
      <c r="G1654" s="26">
        <f>G1653+1</f>
        <v>14</v>
      </c>
      <c r="H1654" t="str">
        <f>IF(AND(regexMatch(B1654,".*#[0-9]*$"),ISNUMBER(SEARCH("#",B1654))),CONCATENATE(TRIM(F1654)," #",G1654),B1654)</f>
        <v>Residential Fence #14</v>
      </c>
    </row>
    <row r="1655" spans="1:8" ht="15.75" thickBot="1" x14ac:dyDescent="0.3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>IF(ISNUMBER(SEARCH("#",B1655)), LEFT(B1655,FIND("#",B1655)-1), B1655)</f>
        <v xml:space="preserve">Residential Fence </v>
      </c>
      <c r="G1655" s="26">
        <f>G1654+1</f>
        <v>15</v>
      </c>
      <c r="H1655" t="str">
        <f>IF(AND(regexMatch(B1655,".*#[0-9]*$"),ISNUMBER(SEARCH("#",B1655))),CONCATENATE(TRIM(F1655)," #",G1655),B1655)</f>
        <v>Residential Fence #15</v>
      </c>
    </row>
    <row r="1656" spans="1:8" ht="15.75" thickBot="1" x14ac:dyDescent="0.3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>IF(ISNUMBER(SEARCH("#",B1656)), LEFT(B1656,FIND("#",B1656)-1), B1656)</f>
        <v xml:space="preserve">Residential Fence </v>
      </c>
      <c r="G1656" s="26">
        <f>G1655+1</f>
        <v>16</v>
      </c>
      <c r="H1656" t="str">
        <f>IF(AND(regexMatch(B1656,".*#[0-9]*$"),ISNUMBER(SEARCH("#",B1656))),CONCATENATE(TRIM(F1656)," #",G1656),B1656)</f>
        <v>Residential Fence #16</v>
      </c>
    </row>
    <row r="1657" spans="1:8" ht="15.75" thickBot="1" x14ac:dyDescent="0.3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>IF(ISNUMBER(SEARCH("#",B1657)), LEFT(B1657,FIND("#",B1657)-1), B1657)</f>
        <v xml:space="preserve">Residential Fence </v>
      </c>
      <c r="G1657" s="26">
        <f>G1656+1</f>
        <v>17</v>
      </c>
      <c r="H1657" t="str">
        <f>IF(AND(regexMatch(B1657,".*#[0-9]*$"),ISNUMBER(SEARCH("#",B1657))),CONCATENATE(TRIM(F1657)," #",G1657),B1657)</f>
        <v>Residential Fence #17</v>
      </c>
    </row>
    <row r="1658" spans="1:8" ht="15.75" thickBot="1" x14ac:dyDescent="0.3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>IF(ISNUMBER(SEARCH("#",B1658)), LEFT(B1658,FIND("#",B1658)-1), B1658)</f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.75" thickBot="1" x14ac:dyDescent="0.3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>IF(ISNUMBER(SEARCH("#",B1659)), LEFT(B1659,FIND("#",B1659)-1), B1659)</f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.75" thickBot="1" x14ac:dyDescent="0.3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>IF(ISNUMBER(SEARCH("#",B1660)), LEFT(B1660,FIND("#",B1660)-1), B1660)</f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.75" thickBot="1" x14ac:dyDescent="0.3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>IF(ISNUMBER(SEARCH("#",B1661)), LEFT(B1661,FIND("#",B1661)-1), B1661)</f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.75" thickBot="1" x14ac:dyDescent="0.3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>IF(ISNUMBER(SEARCH("#",B1662)), LEFT(B1662,FIND("#",B1662)-1), B1662)</f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.75" thickBot="1" x14ac:dyDescent="0.3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>IF(ISNUMBER(SEARCH("#",B1663)), LEFT(B1663,FIND("#",B1663)-1), B1663)</f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.75" thickBot="1" x14ac:dyDescent="0.3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>IF(ISNUMBER(SEARCH("#",B1664)), LEFT(B1664,FIND("#",B1664)-1), B1664)</f>
        <v>Union Depository Fence</v>
      </c>
      <c r="G1664" s="26">
        <f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.75" thickBot="1" x14ac:dyDescent="0.3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>IF(ISNUMBER(SEARCH("#",B1665)), LEFT(B1665,FIND("#",B1665)-1), B1665)</f>
        <v>Wooden Construction Fence</v>
      </c>
      <c r="G1665" s="26">
        <f>IF(ISNUMBER(SEARCH("#",B1665)),VALUE(MID(B1665,FIND("#",B1665)+1,1000)),1)</f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.75" thickBot="1" x14ac:dyDescent="0.3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>IF(ISNUMBER(SEARCH("#",B1666)), LEFT(B1666,FIND("#",B1666)-1), B1666)</f>
        <v xml:space="preserve">Wooden Fence </v>
      </c>
      <c r="G1666" s="26">
        <f>IF(ISNUMBER(SEARCH("#",B1666)),VALUE(MID(B1666,FIND("#",B1666)+1,1000)),1)</f>
        <v>1</v>
      </c>
      <c r="H1666" t="str">
        <f>IF(AND(regexMatch(B1666,".*#[0-9]*$"),ISNUMBER(SEARCH("#",B1666))),CONCATENATE(TRIM(F1666)," #",G1666),B1666)</f>
        <v>Wooden Fence #1</v>
      </c>
    </row>
    <row r="1667" spans="1:8" ht="15.75" thickBot="1" x14ac:dyDescent="0.3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>IF(ISNUMBER(SEARCH("#",B1667)), LEFT(B1667,FIND("#",B1667)-1), B1667)</f>
        <v xml:space="preserve">Wooden Fence </v>
      </c>
      <c r="G1667" s="26">
        <f>IF(ISNUMBER(SEARCH("#",B1667)),VALUE(MID(B1667,FIND("#",B1667)+1,1000)),1)</f>
        <v>2</v>
      </c>
      <c r="H1667" t="str">
        <f>IF(AND(regexMatch(B1667,".*#[0-9]*$"),ISNUMBER(SEARCH("#",B1667))),CONCATENATE(TRIM(F1667)," #",G1667),B1667)</f>
        <v>Wooden Fence #2</v>
      </c>
    </row>
    <row r="1668" spans="1:8" ht="15.75" thickBot="1" x14ac:dyDescent="0.3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>IF(ISNUMBER(SEARCH("#",B1668)), LEFT(B1668,FIND("#",B1668)-1), B1668)</f>
        <v xml:space="preserve">Wooden Fence </v>
      </c>
      <c r="G1668" s="26">
        <f>IF(ISNUMBER(SEARCH("#",B1668)),VALUE(MID(B1668,FIND("#",B1668)+1,1000)),1)</f>
        <v>3</v>
      </c>
      <c r="H1668" t="str">
        <f>IF(AND(regexMatch(B1668,".*#[0-9]*$"),ISNUMBER(SEARCH("#",B1668))),CONCATENATE(TRIM(F1668)," #",G1668),B1668)</f>
        <v>Wooden Fence #3</v>
      </c>
    </row>
    <row r="1669" spans="1:8" ht="15.75" thickBot="1" x14ac:dyDescent="0.3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>IF(ISNUMBER(SEARCH("#",B1669)), LEFT(B1669,FIND("#",B1669)-1), B1669)</f>
        <v xml:space="preserve">Wooden Fence </v>
      </c>
      <c r="G1669" s="26">
        <f>IF(ISNUMBER(SEARCH("#",B1669)),VALUE(MID(B1669,FIND("#",B1669)+1,1000)),1)</f>
        <v>4</v>
      </c>
      <c r="H1669" t="str">
        <f>IF(AND(regexMatch(B1669,".*#[0-9]*$"),ISNUMBER(SEARCH("#",B1669))),CONCATENATE(TRIM(F1669)," #",G1669),B1669)</f>
        <v>Wooden Fence #4</v>
      </c>
    </row>
    <row r="1670" spans="1:8" ht="15.75" thickBot="1" x14ac:dyDescent="0.3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>IF(ISNUMBER(SEARCH("#",B1670)), LEFT(B1670,FIND("#",B1670)-1), B1670)</f>
        <v xml:space="preserve">Wooden Fence </v>
      </c>
      <c r="G1670" s="26">
        <f>IF(ISNUMBER(SEARCH("#",B1670)),VALUE(MID(B1670,FIND("#",B1670)+1,1000)),1)</f>
        <v>5</v>
      </c>
      <c r="H1670" t="str">
        <f>IF(AND(regexMatch(B1670,".*#[0-9]*$"),ISNUMBER(SEARCH("#",B1670))),CONCATENATE(TRIM(F1670)," #",G1670),B1670)</f>
        <v>Wooden Fence #5</v>
      </c>
    </row>
    <row r="1671" spans="1:8" ht="15.75" thickBot="1" x14ac:dyDescent="0.3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>IF(ISNUMBER(SEARCH("#",B1671)), LEFT(B1671,FIND("#",B1671)-1), B1671)</f>
        <v xml:space="preserve">Wooden Fence </v>
      </c>
      <c r="G1671" s="26">
        <f>IF(ISNUMBER(SEARCH("#",B1671)),VALUE(MID(B1671,FIND("#",B1671)+1,1000)),1)</f>
        <v>6</v>
      </c>
      <c r="H1671" t="str">
        <f>IF(AND(regexMatch(B1671,".*#[0-9]*$"),ISNUMBER(SEARCH("#",B1671))),CONCATENATE(TRIM(F1671)," #",G1671),B1671)</f>
        <v>Wooden Fence #6</v>
      </c>
    </row>
    <row r="1672" spans="1:8" ht="15.75" thickBot="1" x14ac:dyDescent="0.3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>IF(ISNUMBER(SEARCH("#",B1672)), LEFT(B1672,FIND("#",B1672)-1), B1672)</f>
        <v xml:space="preserve">Wooden Fence </v>
      </c>
      <c r="G1672" s="26">
        <f>IF(ISNUMBER(SEARCH("#",B1672)),VALUE(MID(B1672,FIND("#",B1672)+1,1000)),1)</f>
        <v>7</v>
      </c>
      <c r="H1672" t="str">
        <f>IF(AND(regexMatch(B1672,".*#[0-9]*$"),ISNUMBER(SEARCH("#",B1672))),CONCATENATE(TRIM(F1672)," #",G1672),B1672)</f>
        <v>Wooden Fence #7</v>
      </c>
    </row>
    <row r="1673" spans="1:8" ht="15.75" thickBot="1" x14ac:dyDescent="0.3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>IF(ISNUMBER(SEARCH("#",B1673)), LEFT(B1673,FIND("#",B1673)-1), B1673)</f>
        <v xml:space="preserve">Wooden Fence </v>
      </c>
      <c r="G1673" s="26">
        <f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.75" thickBot="1" x14ac:dyDescent="0.3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>IF(ISNUMBER(SEARCH("#",B1674)), LEFT(B1674,FIND("#",B1674)-1), B1674)</f>
        <v xml:space="preserve">Wooden Fence </v>
      </c>
      <c r="G1674" s="26">
        <f>G1673+1</f>
        <v>9</v>
      </c>
      <c r="H1674" t="str">
        <f>IF(AND(regexMatch(B1674,".*#[0-9]*$"),ISNUMBER(SEARCH("#",B1674))),CONCATENATE(TRIM(F1674)," #",G1674),B1674)</f>
        <v>Wooden Fence #9</v>
      </c>
    </row>
    <row r="1675" spans="1:8" ht="15.75" thickBot="1" x14ac:dyDescent="0.3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>IF(ISNUMBER(SEARCH("#",B1675)), LEFT(B1675,FIND("#",B1675)-1), B1675)</f>
        <v xml:space="preserve">Wooden Fence </v>
      </c>
      <c r="G1675" s="26">
        <f>G1674+1</f>
        <v>10</v>
      </c>
      <c r="H1675" t="str">
        <f>IF(AND(regexMatch(B1675,".*#[0-9]*$"),ISNUMBER(SEARCH("#",B1675))),CONCATENATE(TRIM(F1675)," #",G1675),B1675)</f>
        <v>Wooden Fence #10</v>
      </c>
    </row>
    <row r="1676" spans="1:8" ht="15.75" thickBot="1" x14ac:dyDescent="0.3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>IF(ISNUMBER(SEARCH("#",B1676)), LEFT(B1676,FIND("#",B1676)-1), B1676)</f>
        <v xml:space="preserve">Wooden Fence </v>
      </c>
      <c r="G1676" s="26">
        <f>G1675+1</f>
        <v>11</v>
      </c>
      <c r="H1676" t="str">
        <f>IF(AND(regexMatch(B1676,".*#[0-9]*$"),ISNUMBER(SEARCH("#",B1676))),CONCATENATE(TRIM(F1676)," #",G1676),B1676)</f>
        <v>Wooden Fence #11</v>
      </c>
    </row>
    <row r="1677" spans="1:8" ht="15.75" thickBot="1" x14ac:dyDescent="0.3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>IF(ISNUMBER(SEARCH("#",B1677)), LEFT(B1677,FIND("#",B1677)-1), B1677)</f>
        <v xml:space="preserve">Wooden Fence </v>
      </c>
      <c r="G1677" s="26">
        <f>G1676+1</f>
        <v>12</v>
      </c>
      <c r="H1677" t="str">
        <f>IF(AND(regexMatch(B1677,".*#[0-9]*$"),ISNUMBER(SEARCH("#",B1677))),CONCATENATE(TRIM(F1677)," #",G1677),B1677)</f>
        <v>Wooden Fence #12</v>
      </c>
    </row>
    <row r="1678" spans="1:8" ht="15.75" thickBot="1" x14ac:dyDescent="0.3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>IF(ISNUMBER(SEARCH("#",B1678)), LEFT(B1678,FIND("#",B1678)-1), B1678)</f>
        <v xml:space="preserve">Wooden Fence </v>
      </c>
      <c r="G1678" s="26">
        <f>G1677+1</f>
        <v>13</v>
      </c>
      <c r="H1678" t="str">
        <f>IF(AND(regexMatch(B1678,".*#[0-9]*$"),ISNUMBER(SEARCH("#",B1678))),CONCATENATE(TRIM(F1678)," #",G1678),B1678)</f>
        <v>Wooden Fence #13</v>
      </c>
    </row>
    <row r="1679" spans="1:8" ht="15.75" thickBot="1" x14ac:dyDescent="0.3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>IF(ISNUMBER(SEARCH("#",B1679)), LEFT(B1679,FIND("#",B1679)-1), B1679)</f>
        <v xml:space="preserve">Wooden Fence </v>
      </c>
      <c r="G1679" s="26">
        <f>G1678+1</f>
        <v>14</v>
      </c>
      <c r="H1679" t="str">
        <f>IF(AND(regexMatch(B1679,".*#[0-9]*$"),ISNUMBER(SEARCH("#",B1679))),CONCATENATE(TRIM(F1679)," #",G1679),B1679)</f>
        <v>Wooden Fence #14</v>
      </c>
    </row>
    <row r="1680" spans="1:8" ht="15.75" thickBot="1" x14ac:dyDescent="0.3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>IF(ISNUMBER(SEARCH("#",B1680)), LEFT(B1680,FIND("#",B1680)-1), B1680)</f>
        <v xml:space="preserve">Wooden Fence </v>
      </c>
      <c r="G1680" s="26">
        <f>G1679+1</f>
        <v>15</v>
      </c>
      <c r="H1680" t="str">
        <f>IF(AND(regexMatch(B1680,".*#[0-9]*$"),ISNUMBER(SEARCH("#",B1680))),CONCATENATE(TRIM(F1680)," #",G1680),B1680)</f>
        <v>Wooden Fence #15</v>
      </c>
    </row>
    <row r="1681" spans="1:8" ht="15.75" thickBot="1" x14ac:dyDescent="0.3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>IF(ISNUMBER(SEARCH("#",B1681)), LEFT(B1681,FIND("#",B1681)-1), B1681)</f>
        <v xml:space="preserve">Wooden Fence </v>
      </c>
      <c r="G1681" s="26">
        <f>G1680+1</f>
        <v>16</v>
      </c>
      <c r="H1681" t="str">
        <f>IF(AND(regexMatch(B1681,".*#[0-9]*$"),ISNUMBER(SEARCH("#",B1681))),CONCATENATE(TRIM(F1681)," #",G1681),B1681)</f>
        <v>Wooden Fence #16</v>
      </c>
    </row>
    <row r="1682" spans="1:8" ht="15.75" thickBot="1" x14ac:dyDescent="0.3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>IF(ISNUMBER(SEARCH("#",B1682)), LEFT(B1682,FIND("#",B1682)-1), B1682)</f>
        <v xml:space="preserve">Wooden Fence </v>
      </c>
      <c r="G1682" s="26">
        <f>G1681+1</f>
        <v>17</v>
      </c>
      <c r="H1682" t="str">
        <f>IF(AND(regexMatch(B1682,".*#[0-9]*$"),ISNUMBER(SEARCH("#",B1682))),CONCATENATE(TRIM(F1682)," #",G1682),B1682)</f>
        <v>Wooden Fence #17</v>
      </c>
    </row>
    <row r="1683" spans="1:8" ht="15.75" thickBot="1" x14ac:dyDescent="0.3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>IF(ISNUMBER(SEARCH("#",B1683)), LEFT(B1683,FIND("#",B1683)-1), B1683)</f>
        <v xml:space="preserve">Wooden Fence </v>
      </c>
      <c r="G1683" s="26">
        <f>G1682+1</f>
        <v>18</v>
      </c>
      <c r="H1683" t="str">
        <f>IF(AND(regexMatch(B1683,".*#[0-9]*$"),ISNUMBER(SEARCH("#",B1683))),CONCATENATE(TRIM(F1683)," #",G1683),B1683)</f>
        <v>Wooden Fence #18</v>
      </c>
    </row>
    <row r="1684" spans="1:8" ht="15.75" thickBot="1" x14ac:dyDescent="0.3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>IF(ISNUMBER(SEARCH("#",B1684)), LEFT(B1684,FIND("#",B1684)-1), B1684)</f>
        <v xml:space="preserve">Wooden Fence </v>
      </c>
      <c r="G1684" s="26">
        <f>G1683+1</f>
        <v>19</v>
      </c>
      <c r="H1684" t="str">
        <f>IF(AND(regexMatch(B1684,".*#[0-9]*$"),ISNUMBER(SEARCH("#",B1684))),CONCATENATE(TRIM(F1684)," #",G1684),B1684)</f>
        <v>Wooden Fence #19</v>
      </c>
    </row>
    <row r="1685" spans="1:8" ht="15.75" thickBot="1" x14ac:dyDescent="0.3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>IF(ISNUMBER(SEARCH("#",B1685)), LEFT(B1685,FIND("#",B1685)-1), B1685)</f>
        <v xml:space="preserve">Wooden Fence </v>
      </c>
      <c r="G1685" s="26">
        <f>G1684+1</f>
        <v>20</v>
      </c>
      <c r="H1685" t="str">
        <f>IF(AND(regexMatch(B1685,".*#[0-9]*$"),ISNUMBER(SEARCH("#",B1685))),CONCATENATE(TRIM(F1685)," #",G1685),B1685)</f>
        <v>Wooden Fence #20</v>
      </c>
    </row>
    <row r="1686" spans="1:8" ht="15.75" thickBot="1" x14ac:dyDescent="0.3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>IF(ISNUMBER(SEARCH("#",B1686)), LEFT(B1686,FIND("#",B1686)-1), B1686)</f>
        <v xml:space="preserve">Wooden Fence </v>
      </c>
      <c r="G1686" s="26">
        <f>G1685+1</f>
        <v>21</v>
      </c>
      <c r="H1686" t="str">
        <f>IF(AND(regexMatch(B1686,".*#[0-9]*$"),ISNUMBER(SEARCH("#",B1686))),CONCATENATE(TRIM(F1686)," #",G1686),B1686)</f>
        <v>Wooden Fence #21</v>
      </c>
    </row>
    <row r="1687" spans="1:8" ht="15.75" thickBot="1" x14ac:dyDescent="0.3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>IF(ISNUMBER(SEARCH("#",B1687)), LEFT(B1687,FIND("#",B1687)-1), B1687)</f>
        <v xml:space="preserve">Wooden Fence </v>
      </c>
      <c r="G1687" s="26">
        <f>G1686+1</f>
        <v>22</v>
      </c>
      <c r="H1687" t="str">
        <f>IF(AND(regexMatch(B1687,".*#[0-9]*$"),ISNUMBER(SEARCH("#",B1687))),CONCATENATE(TRIM(F1687)," #",G1687),B1687)</f>
        <v>Wooden Fence #22</v>
      </c>
    </row>
    <row r="1688" spans="1:8" ht="15.75" thickBot="1" x14ac:dyDescent="0.3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>IF(ISNUMBER(SEARCH("#",B1688)), LEFT(B1688,FIND("#",B1688)-1), B1688)</f>
        <v xml:space="preserve">Wooden Fence </v>
      </c>
      <c r="G1688" s="26">
        <f>G1687+1</f>
        <v>23</v>
      </c>
      <c r="H1688" t="str">
        <f>IF(AND(regexMatch(B1688,".*#[0-9]*$"),ISNUMBER(SEARCH("#",B1688))),CONCATENATE(TRIM(F1688)," #",G1688),B1688)</f>
        <v>Wooden Fence #23</v>
      </c>
    </row>
    <row r="1689" spans="1:8" ht="15.75" thickBot="1" x14ac:dyDescent="0.3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>IF(ISNUMBER(SEARCH("#",B1689)), LEFT(B1689,FIND("#",B1689)-1), B1689)</f>
        <v xml:space="preserve">Wooden Fence </v>
      </c>
      <c r="G1689" s="26">
        <f>G1688+1</f>
        <v>24</v>
      </c>
      <c r="H1689" t="str">
        <f>IF(AND(regexMatch(B1689,".*#[0-9]*$"),ISNUMBER(SEARCH("#",B1689))),CONCATENATE(TRIM(F1689)," #",G1689),B1689)</f>
        <v>Wooden Fence #24</v>
      </c>
    </row>
    <row r="1690" spans="1:8" ht="15.75" thickBot="1" x14ac:dyDescent="0.3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>IF(ISNUMBER(SEARCH("#",B1690)), LEFT(B1690,FIND("#",B1690)-1), B1690)</f>
        <v xml:space="preserve">Wooden Fence </v>
      </c>
      <c r="G1690" s="26">
        <f>G1689+1</f>
        <v>25</v>
      </c>
      <c r="H1690" t="str">
        <f>IF(AND(regexMatch(B1690,".*#[0-9]*$"),ISNUMBER(SEARCH("#",B1690))),CONCATENATE(TRIM(F1690)," #",G1690),B1690)</f>
        <v>Wooden Fence #25</v>
      </c>
    </row>
    <row r="1691" spans="1:8" ht="15.75" thickBot="1" x14ac:dyDescent="0.3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>IF(ISNUMBER(SEARCH("#",B1691)), LEFT(B1691,FIND("#",B1691)-1), B1691)</f>
        <v xml:space="preserve">Wooden Fence </v>
      </c>
      <c r="G1691" s="26">
        <f>G1690+1</f>
        <v>26</v>
      </c>
      <c r="H1691" t="str">
        <f>IF(AND(regexMatch(B1691,".*#[0-9]*$"),ISNUMBER(SEARCH("#",B1691))),CONCATENATE(TRIM(F1691)," #",G1691),B1691)</f>
        <v>Wooden Fence #26</v>
      </c>
    </row>
    <row r="1692" spans="1:8" ht="15.75" thickBot="1" x14ac:dyDescent="0.3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>IF(ISNUMBER(SEARCH("#",B1692)), LEFT(B1692,FIND("#",B1692)-1), B1692)</f>
        <v xml:space="preserve">Wooden Fence </v>
      </c>
      <c r="G1692" s="26">
        <f>G1691+1</f>
        <v>27</v>
      </c>
      <c r="H1692" t="str">
        <f>IF(AND(regexMatch(B1692,".*#[0-9]*$"),ISNUMBER(SEARCH("#",B1692))),CONCATENATE(TRIM(F1692)," #",G1692),B1692)</f>
        <v>Wooden Fence #27</v>
      </c>
    </row>
    <row r="1693" spans="1:8" ht="15.75" thickBot="1" x14ac:dyDescent="0.3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>IF(ISNUMBER(SEARCH("#",B1693)), LEFT(B1693,FIND("#",B1693)-1), B1693)</f>
        <v xml:space="preserve">Wooden Fence </v>
      </c>
      <c r="G1693" s="26">
        <f>G1692+1</f>
        <v>28</v>
      </c>
      <c r="H1693" t="str">
        <f>IF(AND(regexMatch(B1693,".*#[0-9]*$"),ISNUMBER(SEARCH("#",B1693))),CONCATENATE(TRIM(F1693)," #",G1693),B1693)</f>
        <v>Wooden Fence #28</v>
      </c>
    </row>
    <row r="1694" spans="1:8" ht="15.75" thickBot="1" x14ac:dyDescent="0.3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>IF(ISNUMBER(SEARCH("#",B1694)), LEFT(B1694,FIND("#",B1694)-1), B1694)</f>
        <v xml:space="preserve">Wooden Fence </v>
      </c>
      <c r="G1694" s="26">
        <f>G1693+1</f>
        <v>29</v>
      </c>
      <c r="H1694" t="str">
        <f>IF(AND(regexMatch(B1694,".*#[0-9]*$"),ISNUMBER(SEARCH("#",B1694))),CONCATENATE(TRIM(F1694)," #",G1694),B1694)</f>
        <v>Wooden Fence #29</v>
      </c>
    </row>
    <row r="1695" spans="1:8" ht="15.75" thickBot="1" x14ac:dyDescent="0.3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>IF(ISNUMBER(SEARCH("#",B1695)), LEFT(B1695,FIND("#",B1695)-1), B1695)</f>
        <v xml:space="preserve">Wooden Fence </v>
      </c>
      <c r="G1695" s="26">
        <f>G1694+1</f>
        <v>30</v>
      </c>
      <c r="H1695" t="str">
        <f>IF(AND(regexMatch(B1695,".*#[0-9]*$"),ISNUMBER(SEARCH("#",B1695))),CONCATENATE(TRIM(F1695)," #",G1695),B1695)</f>
        <v>Wooden Fence #30</v>
      </c>
    </row>
    <row r="1696" spans="1:8" ht="15.75" thickBot="1" x14ac:dyDescent="0.3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>IF(ISNUMBER(SEARCH("#",B1696)), LEFT(B1696,FIND("#",B1696)-1), B1696)</f>
        <v xml:space="preserve">Wooden Fence </v>
      </c>
      <c r="G1696" s="26">
        <f>G1695+1</f>
        <v>31</v>
      </c>
      <c r="H1696" t="str">
        <f>IF(AND(regexMatch(B1696,".*#[0-9]*$"),ISNUMBER(SEARCH("#",B1696))),CONCATENATE(TRIM(F1696)," #",G1696),B1696)</f>
        <v>Wooden Fence #31</v>
      </c>
    </row>
    <row r="1697" spans="1:8" ht="15.75" thickBot="1" x14ac:dyDescent="0.3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>IF(ISNUMBER(SEARCH("#",B1697)), LEFT(B1697,FIND("#",B1697)-1), B1697)</f>
        <v xml:space="preserve">Wooden Fence </v>
      </c>
      <c r="G1697" s="26">
        <f>G1696+1</f>
        <v>32</v>
      </c>
      <c r="H1697" t="str">
        <f>IF(AND(regexMatch(B1697,".*#[0-9]*$"),ISNUMBER(SEARCH("#",B1697))),CONCATENATE(TRIM(F1697)," #",G1697),B1697)</f>
        <v>Wooden Fence #32</v>
      </c>
    </row>
    <row r="1698" spans="1:8" ht="15.75" thickBot="1" x14ac:dyDescent="0.3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>IF(ISNUMBER(SEARCH("#",B1698)), LEFT(B1698,FIND("#",B1698)-1), B1698)</f>
        <v xml:space="preserve">Wooden Fence </v>
      </c>
      <c r="G1698" s="26">
        <f>G1697+1</f>
        <v>33</v>
      </c>
      <c r="H1698" t="str">
        <f>IF(AND(regexMatch(B1698,".*#[0-9]*$"),ISNUMBER(SEARCH("#",B1698))),CONCATENATE(TRIM(F1698)," #",G1698),B1698)</f>
        <v>Wooden Fence #33</v>
      </c>
    </row>
    <row r="1699" spans="1:8" ht="15.75" thickBot="1" x14ac:dyDescent="0.3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>IF(ISNUMBER(SEARCH("#",B1699)), LEFT(B1699,FIND("#",B1699)-1), B1699)</f>
        <v xml:space="preserve">Wooden Fence </v>
      </c>
      <c r="G1699" s="26">
        <f>G1698+1</f>
        <v>34</v>
      </c>
      <c r="H1699" t="str">
        <f>IF(AND(regexMatch(B1699,".*#[0-9]*$"),ISNUMBER(SEARCH("#",B1699))),CONCATENATE(TRIM(F1699)," #",G1699),B1699)</f>
        <v>Wooden Fence #34</v>
      </c>
    </row>
    <row r="1700" spans="1:8" ht="15.75" thickBot="1" x14ac:dyDescent="0.3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>IF(ISNUMBER(SEARCH("#",B1700)), LEFT(B1700,FIND("#",B1700)-1), B1700)</f>
        <v xml:space="preserve">Wooden Fence </v>
      </c>
      <c r="G1700" s="26">
        <f>G1699+1</f>
        <v>35</v>
      </c>
      <c r="H1700" t="str">
        <f>IF(AND(regexMatch(B1700,".*#[0-9]*$"),ISNUMBER(SEARCH("#",B1700))),CONCATENATE(TRIM(F1700)," #",G1700),B1700)</f>
        <v>Wooden Fence #35</v>
      </c>
    </row>
    <row r="1701" spans="1:8" ht="15.75" thickBot="1" x14ac:dyDescent="0.3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>IF(ISNUMBER(SEARCH("#",B1701)), LEFT(B1701,FIND("#",B1701)-1), B1701)</f>
        <v xml:space="preserve">Wooden Fence </v>
      </c>
      <c r="G1701" s="26">
        <f>G1700+1</f>
        <v>36</v>
      </c>
      <c r="H1701" t="str">
        <f>IF(AND(regexMatch(B1701,".*#[0-9]*$"),ISNUMBER(SEARCH("#",B1701))),CONCATENATE(TRIM(F1701)," #",G1701),B1701)</f>
        <v>Wooden Fence #36</v>
      </c>
    </row>
    <row r="1702" spans="1:8" ht="15.75" thickBot="1" x14ac:dyDescent="0.3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>IF(ISNUMBER(SEARCH("#",B1702)), LEFT(B1702,FIND("#",B1702)-1), B1702)</f>
        <v xml:space="preserve">Wooden Fence </v>
      </c>
      <c r="G1702" s="26">
        <f>G1701+1</f>
        <v>37</v>
      </c>
      <c r="H1702" t="str">
        <f>IF(AND(regexMatch(B1702,".*#[0-9]*$"),ISNUMBER(SEARCH("#",B1702))),CONCATENATE(TRIM(F1702)," #",G1702),B1702)</f>
        <v>Wooden Fence #37</v>
      </c>
    </row>
    <row r="1703" spans="1:8" ht="15.75" thickBot="1" x14ac:dyDescent="0.3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>IF(ISNUMBER(SEARCH("#",B1703)), LEFT(B1703,FIND("#",B1703)-1), B1703)</f>
        <v xml:space="preserve">Wooden Fence </v>
      </c>
      <c r="G1703" s="26">
        <f>G1702+1</f>
        <v>38</v>
      </c>
      <c r="H1703" t="str">
        <f>IF(AND(regexMatch(B1703,".*#[0-9]*$"),ISNUMBER(SEARCH("#",B1703))),CONCATENATE(TRIM(F1703)," #",G1703),B1703)</f>
        <v>Wooden Fence #38</v>
      </c>
    </row>
    <row r="1704" spans="1:8" ht="15.75" thickBot="1" x14ac:dyDescent="0.3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>IF(ISNUMBER(SEARCH("#",B1704)), LEFT(B1704,FIND("#",B1704)-1), B1704)</f>
        <v xml:space="preserve">Wooden Fence </v>
      </c>
      <c r="G1704" s="26">
        <f>G1703+1</f>
        <v>39</v>
      </c>
      <c r="H1704" t="str">
        <f>IF(AND(regexMatch(B1704,".*#[0-9]*$"),ISNUMBER(SEARCH("#",B1704))),CONCATENATE(TRIM(F1704)," #",G1704),B1704)</f>
        <v>Wooden Fence #39</v>
      </c>
    </row>
    <row r="1705" spans="1:8" ht="15.75" thickBot="1" x14ac:dyDescent="0.3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>IF(ISNUMBER(SEARCH("#",B1705)), LEFT(B1705,FIND("#",B1705)-1), B1705)</f>
        <v xml:space="preserve">Wooden Fence </v>
      </c>
      <c r="G1705" s="26">
        <f>G1704+1</f>
        <v>40</v>
      </c>
      <c r="H1705" t="str">
        <f>IF(AND(regexMatch(B1705,".*#[0-9]*$"),ISNUMBER(SEARCH("#",B1705))),CONCATENATE(TRIM(F1705)," #",G1705),B1705)</f>
        <v>Wooden Fence #40</v>
      </c>
    </row>
    <row r="1706" spans="1:8" ht="15.75" thickBot="1" x14ac:dyDescent="0.3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>IF(ISNUMBER(SEARCH("#",B1706)), LEFT(B1706,FIND("#",B1706)-1), B1706)</f>
        <v xml:space="preserve">Wooden Fence </v>
      </c>
      <c r="G1706" s="26">
        <f>G1705+1</f>
        <v>41</v>
      </c>
      <c r="H1706" t="str">
        <f>IF(AND(regexMatch(B1706,".*#[0-9]*$"),ISNUMBER(SEARCH("#",B1706))),CONCATENATE(TRIM(F1706)," #",G1706),B1706)</f>
        <v>Wooden Fence #41</v>
      </c>
    </row>
    <row r="1707" spans="1:8" ht="15.75" thickBot="1" x14ac:dyDescent="0.3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>IF(ISNUMBER(SEARCH("#",B1707)), LEFT(B1707,FIND("#",B1707)-1), B1707)</f>
        <v xml:space="preserve">Wooden Fence </v>
      </c>
      <c r="G1707" s="26">
        <f>G1706+1</f>
        <v>42</v>
      </c>
      <c r="H1707" t="str">
        <f>IF(AND(regexMatch(B1707,".*#[0-9]*$"),ISNUMBER(SEARCH("#",B1707))),CONCATENATE(TRIM(F1707)," #",G1707),B1707)</f>
        <v>Wooden Fence #42</v>
      </c>
    </row>
    <row r="1708" spans="1:8" ht="15.75" thickBot="1" x14ac:dyDescent="0.3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>IF(ISNUMBER(SEARCH("#",B1708)), LEFT(B1708,FIND("#",B1708)-1), B1708)</f>
        <v>Wooden Fence End</v>
      </c>
      <c r="G1708" s="26">
        <f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.75" thickBot="1" x14ac:dyDescent="0.3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>IF(ISNUMBER(SEARCH("#",B1709)), LEFT(B1709,FIND("#",B1709)-1), B1709)</f>
        <v>Boom Mike</v>
      </c>
      <c r="G1709" s="26">
        <f>IF(ISNUMBER(SEARCH("#",B1709)),VALUE(MID(B1709,FIND("#",B1709)+1,1000)),1)</f>
        <v>1</v>
      </c>
      <c r="H1709" t="str">
        <f>IF(AND(regexMatch(B1709,".*#[0-9]*$"),ISNUMBER(SEARCH("#",B1709))),CONCATENATE(TRIM(F1709)," #",G1709),B1709)</f>
        <v>Boom Mike</v>
      </c>
    </row>
    <row r="1710" spans="1:8" ht="15.75" thickBot="1" x14ac:dyDescent="0.3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>IF(ISNUMBER(SEARCH("#",B1710)), LEFT(B1710,FIND("#",B1710)-1), B1710)</f>
        <v>Clapper Board</v>
      </c>
      <c r="G1710" s="26">
        <f>IF(ISNUMBER(SEARCH("#",B1710)),VALUE(MID(B1710,FIND("#",B1710)+1,1000)),1)</f>
        <v>1</v>
      </c>
      <c r="H1710" t="str">
        <f>IF(AND(regexMatch(B1710,".*#[0-9]*$"),ISNUMBER(SEARCH("#",B1710))),CONCATENATE(TRIM(F1710)," #",G1710),B1710)</f>
        <v>Clapper Board</v>
      </c>
    </row>
    <row r="1711" spans="1:8" ht="15.75" thickBot="1" x14ac:dyDescent="0.3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>IF(ISNUMBER(SEARCH("#",B1711)), LEFT(B1711,FIND("#",B1711)-1), B1711)</f>
        <v>Film Reel</v>
      </c>
      <c r="G1711" s="26">
        <f>IF(ISNUMBER(SEARCH("#",B1711)),VALUE(MID(B1711,FIND("#",B1711)+1,1000)),1)</f>
        <v>1</v>
      </c>
      <c r="H1711" t="str">
        <f>IF(AND(regexMatch(B1711,".*#[0-9]*$"),ISNUMBER(SEARCH("#",B1711))),CONCATENATE(TRIM(F1711)," #",G1711),B1711)</f>
        <v>Film Reel</v>
      </c>
    </row>
    <row r="1712" spans="1:8" ht="15.75" thickBot="1" x14ac:dyDescent="0.3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>IF(ISNUMBER(SEARCH("#",B1712)), LEFT(B1712,FIND("#",B1712)-1), B1712)</f>
        <v>Film Set Generator</v>
      </c>
      <c r="G1712" s="26">
        <f>IF(ISNUMBER(SEARCH("#",B1712)),VALUE(MID(B1712,FIND("#",B1712)+1,1000)),1)</f>
        <v>1</v>
      </c>
      <c r="H1712" t="str">
        <f>IF(AND(regexMatch(B1712,".*#[0-9]*$"),ISNUMBER(SEARCH("#",B1712))),CONCATENATE(TRIM(F1712)," #",G1712),B1712)</f>
        <v>Film Set Generator</v>
      </c>
    </row>
    <row r="1713" spans="1:8" ht="15.75" thickBot="1" x14ac:dyDescent="0.3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>IF(ISNUMBER(SEARCH("#",B1713)), LEFT(B1713,FIND("#",B1713)-1), B1713)</f>
        <v>Green Screen</v>
      </c>
      <c r="G1713" s="26">
        <f>IF(ISNUMBER(SEARCH("#",B1713)),VALUE(MID(B1713,FIND("#",B1713)+1,1000)),1)</f>
        <v>1</v>
      </c>
      <c r="H1713" t="str">
        <f>IF(AND(regexMatch(B1713,".*#[0-9]*$"),ISNUMBER(SEARCH("#",B1713))),CONCATENATE(TRIM(F1713)," #",G1713),B1713)</f>
        <v>Green Screen</v>
      </c>
    </row>
    <row r="1714" spans="1:8" ht="15.75" thickBot="1" x14ac:dyDescent="0.3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>IF(ISNUMBER(SEARCH("#",B1714)), LEFT(B1714,FIND("#",B1714)-1), B1714)</f>
        <v xml:space="preserve">Huge Display </v>
      </c>
      <c r="G1714" s="26">
        <f>IF(ISNUMBER(SEARCH("#",B1714)),VALUE(MID(B1714,FIND("#",B1714)+1,1000)),1)</f>
        <v>1</v>
      </c>
      <c r="H1714" t="str">
        <f>IF(AND(regexMatch(B1714,".*#[0-9]*$"),ISNUMBER(SEARCH("#",B1714))),CONCATENATE(TRIM(F1714)," #",G1714),B1714)</f>
        <v>Huge Display #1</v>
      </c>
    </row>
    <row r="1715" spans="1:8" ht="15.75" thickBot="1" x14ac:dyDescent="0.3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>IF(ISNUMBER(SEARCH("#",B1715)), LEFT(B1715,FIND("#",B1715)-1), B1715)</f>
        <v xml:space="preserve">Huge Display </v>
      </c>
      <c r="G1715" s="26">
        <f>IF(ISNUMBER(SEARCH("#",B1715)),VALUE(MID(B1715,FIND("#",B1715)+1,1000)),1)</f>
        <v>2</v>
      </c>
      <c r="H1715" t="str">
        <f>IF(AND(regexMatch(B1715,".*#[0-9]*$"),ISNUMBER(SEARCH("#",B1715))),CONCATENATE(TRIM(F1715)," #",G1715),B1715)</f>
        <v>Huge Display #2</v>
      </c>
    </row>
    <row r="1716" spans="1:8" ht="15.75" thickBot="1" x14ac:dyDescent="0.3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>IF(ISNUMBER(SEARCH("#",B1716)), LEFT(B1716,FIND("#",B1716)-1), B1716)</f>
        <v>Kino Light</v>
      </c>
      <c r="G1716" s="26">
        <f>IF(ISNUMBER(SEARCH("#",B1716)),VALUE(MID(B1716,FIND("#",B1716)+1,1000)),1)</f>
        <v>1</v>
      </c>
      <c r="H1716" t="str">
        <f>IF(AND(regexMatch(B1716,".*#[0-9]*$"),ISNUMBER(SEARCH("#",B1716))),CONCATENATE(TRIM(F1716)," #",G1716),B1716)</f>
        <v>Kino Light</v>
      </c>
    </row>
    <row r="1717" spans="1:8" ht="15.75" thickBot="1" x14ac:dyDescent="0.3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>IF(ISNUMBER(SEARCH("#",B1717)), LEFT(B1717,FIND("#",B1717)-1), B1717)</f>
        <v xml:space="preserve">Kino Light </v>
      </c>
      <c r="G1717" s="26">
        <f>IF(ISNUMBER(SEARCH("#",B1717)),VALUE(MID(B1717,FIND("#",B1717)+1,1000)),1)</f>
        <v>2</v>
      </c>
      <c r="H1717" t="str">
        <f>IF(AND(regexMatch(B1717,".*#[0-9]*$"),ISNUMBER(SEARCH("#",B1717))),CONCATENATE(TRIM(F1717)," #",G1717),B1717)</f>
        <v>Kino Light #2</v>
      </c>
    </row>
    <row r="1718" spans="1:8" ht="15.75" thickBot="1" x14ac:dyDescent="0.3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>IF(ISNUMBER(SEARCH("#",B1718)), LEFT(B1718,FIND("#",B1718)-1), B1718)</f>
        <v xml:space="preserve">Makeup Trailer </v>
      </c>
      <c r="G1718" s="26">
        <f>IF(ISNUMBER(SEARCH("#",B1718)),VALUE(MID(B1718,FIND("#",B1718)+1,1000)),1)</f>
        <v>1</v>
      </c>
      <c r="H1718" t="str">
        <f>IF(AND(regexMatch(B1718,".*#[0-9]*$"),ISNUMBER(SEARCH("#",B1718))),CONCATENATE(TRIM(F1718)," #",G1718),B1718)</f>
        <v>Makeup Trailer #1</v>
      </c>
    </row>
    <row r="1719" spans="1:8" ht="15.75" thickBot="1" x14ac:dyDescent="0.3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>IF(ISNUMBER(SEARCH("#",B1719)), LEFT(B1719,FIND("#",B1719)-1), B1719)</f>
        <v xml:space="preserve">Makeup Trailer </v>
      </c>
      <c r="G1719" s="26">
        <f>IF(ISNUMBER(SEARCH("#",B1719)),VALUE(MID(B1719,FIND("#",B1719)+1,1000)),1)</f>
        <v>2</v>
      </c>
      <c r="H1719" t="str">
        <f>IF(AND(regexMatch(B1719,".*#[0-9]*$"),ISNUMBER(SEARCH("#",B1719))),CONCATENATE(TRIM(F1719)," #",G1719),B1719)</f>
        <v>Makeup Trailer #2</v>
      </c>
    </row>
    <row r="1720" spans="1:8" ht="15.75" thickBot="1" x14ac:dyDescent="0.3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>IF(ISNUMBER(SEARCH("#",B1720)), LEFT(B1720,FIND("#",B1720)-1), B1720)</f>
        <v>Movie Set Rack</v>
      </c>
      <c r="G1720" s="26">
        <f>IF(ISNUMBER(SEARCH("#",B1720)),VALUE(MID(B1720,FIND("#",B1720)+1,1000)),1)</f>
        <v>1</v>
      </c>
      <c r="H1720" t="str">
        <f>IF(AND(regexMatch(B1720,".*#[0-9]*$"),ISNUMBER(SEARCH("#",B1720))),CONCATENATE(TRIM(F1720)," #",G1720),B1720)</f>
        <v>Movie Set Rack</v>
      </c>
    </row>
    <row r="1721" spans="1:8" ht="15.75" thickBot="1" x14ac:dyDescent="0.3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>IF(ISNUMBER(SEARCH("#",B1721)), LEFT(B1721,FIND("#",B1721)-1), B1721)</f>
        <v>Scrim</v>
      </c>
      <c r="G1721" s="26">
        <f>IF(ISNUMBER(SEARCH("#",B1721)),VALUE(MID(B1721,FIND("#",B1721)+1,1000)),1)</f>
        <v>1</v>
      </c>
      <c r="H1721" t="str">
        <f>IF(AND(regexMatch(B1721,".*#[0-9]*$"),ISNUMBER(SEARCH("#",B1721))),CONCATENATE(TRIM(F1721)," #",G1721),B1721)</f>
        <v>Scrim</v>
      </c>
    </row>
    <row r="1722" spans="1:8" ht="15.75" thickBot="1" x14ac:dyDescent="0.3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>IF(ISNUMBER(SEARCH("#",B1722)), LEFT(B1722,FIND("#",B1722)-1), B1722)</f>
        <v>Spotlight</v>
      </c>
      <c r="G1722" s="26">
        <f>IF(ISNUMBER(SEARCH("#",B1722)),VALUE(MID(B1722,FIND("#",B1722)+1,1000)),1)</f>
        <v>1</v>
      </c>
      <c r="H1722" t="str">
        <f>IF(AND(regexMatch(B1722,".*#[0-9]*$"),ISNUMBER(SEARCH("#",B1722))),CONCATENATE(TRIM(F1722)," #",G1722),B1722)</f>
        <v>Spotlight</v>
      </c>
    </row>
    <row r="1723" spans="1:8" ht="15.75" thickBot="1" x14ac:dyDescent="0.3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>IF(ISNUMBER(SEARCH("#",B1723)), LEFT(B1723,FIND("#",B1723)-1), B1723)</f>
        <v>Spotlight Clamp</v>
      </c>
      <c r="G1723" s="26">
        <f>IF(ISNUMBER(SEARCH("#",B1723)),VALUE(MID(B1723,FIND("#",B1723)+1,1000)),1)</f>
        <v>1</v>
      </c>
      <c r="H1723" t="str">
        <f>IF(AND(regexMatch(B1723,".*#[0-9]*$"),ISNUMBER(SEARCH("#",B1723))),CONCATENATE(TRIM(F1723)," #",G1723),B1723)</f>
        <v>Spotlight Clamp</v>
      </c>
    </row>
    <row r="1724" spans="1:8" ht="15.75" thickBot="1" x14ac:dyDescent="0.3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>IF(ISNUMBER(SEARCH("#",B1724)), LEFT(B1724,FIND("#",B1724)-1), B1724)</f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.75" thickBot="1" x14ac:dyDescent="0.3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>IF(ISNUMBER(SEARCH("#",B1725)), LEFT(B1725,FIND("#",B1725)-1), B1725)</f>
        <v xml:space="preserve">Studio Light </v>
      </c>
      <c r="G1725" s="26">
        <f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.75" thickBot="1" x14ac:dyDescent="0.3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>IF(ISNUMBER(SEARCH("#",B1726)), LEFT(B1726,FIND("#",B1726)-1), B1726)</f>
        <v xml:space="preserve">Studio Light </v>
      </c>
      <c r="G1726" s="26">
        <f>IF(ISNUMBER(SEARCH("#",B1726)),VALUE(MID(B1726,FIND("#",B1726)+1,1000)),1)</f>
        <v>2</v>
      </c>
      <c r="H1726" t="str">
        <f>IF(AND(regexMatch(B1726,".*#[0-9]*$"),ISNUMBER(SEARCH("#",B1726))),CONCATENATE(TRIM(F1726)," #",G1726),B1726)</f>
        <v>Studio Light #2</v>
      </c>
    </row>
    <row r="1727" spans="1:8" ht="15.75" thickBot="1" x14ac:dyDescent="0.3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>IF(ISNUMBER(SEARCH("#",B1727)), LEFT(B1727,FIND("#",B1727)-1), B1727)</f>
        <v>TV Studio Camera</v>
      </c>
      <c r="G1727" s="26">
        <f>IF(ISNUMBER(SEARCH("#",B1727)),VALUE(MID(B1727,FIND("#",B1727)+1,1000)),1)</f>
        <v>1</v>
      </c>
      <c r="H1727" t="str">
        <f>IF(AND(regexMatch(B1727,".*#[0-9]*$"),ISNUMBER(SEARCH("#",B1727))),CONCATENATE(TRIM(F1727)," #",G1727),B1727)</f>
        <v>TV Studio Camera</v>
      </c>
    </row>
    <row r="1728" spans="1:8" ht="15.75" thickBot="1" x14ac:dyDescent="0.3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>IF(ISNUMBER(SEARCH("#",B1728)), LEFT(B1728,FIND("#",B1728)-1), B1728)</f>
        <v>Vintage Film Can</v>
      </c>
      <c r="G1728" s="26">
        <f>IF(ISNUMBER(SEARCH("#",B1728)),VALUE(MID(B1728,FIND("#",B1728)+1,1000)),1)</f>
        <v>1</v>
      </c>
      <c r="H1728" t="str">
        <f>IF(AND(regexMatch(B1728,".*#[0-9]*$"),ISNUMBER(SEARCH("#",B1728))),CONCATENATE(TRIM(F1728)," #",G1728),B1728)</f>
        <v>Vintage Film Can</v>
      </c>
    </row>
    <row r="1729" spans="1:8" ht="15.75" thickBot="1" x14ac:dyDescent="0.3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>IF(ISNUMBER(SEARCH("#",B1729)), LEFT(B1729,FIND("#",B1729)-1), B1729)</f>
        <v xml:space="preserve">Firing Range Target </v>
      </c>
      <c r="G1729" s="26">
        <f>IF(ISNUMBER(SEARCH("#",B1729)),VALUE(MID(B1729,FIND("#",B1729)+1,1000)),1)</f>
        <v>1</v>
      </c>
      <c r="H1729" t="str">
        <f>IF(AND(regexMatch(B1729,".*#[0-9]*$"),ISNUMBER(SEARCH("#",B1729))),CONCATENATE(TRIM(F1729)," #",G1729),B1729)</f>
        <v>Firing Range Target #1</v>
      </c>
    </row>
    <row r="1730" spans="1:8" ht="15.75" thickBot="1" x14ac:dyDescent="0.3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>IF(ISNUMBER(SEARCH("#",B1730)), LEFT(B1730,FIND("#",B1730)-1), B1730)</f>
        <v xml:space="preserve">Firing Range Target </v>
      </c>
      <c r="G1730" s="26">
        <f>IF(ISNUMBER(SEARCH("#",B1730)),VALUE(MID(B1730,FIND("#",B1730)+1,1000)),1)</f>
        <v>2</v>
      </c>
      <c r="H1730" t="str">
        <f>IF(AND(regexMatch(B1730,".*#[0-9]*$"),ISNUMBER(SEARCH("#",B1730))),CONCATENATE(TRIM(F1730)," #",G1730),B1730)</f>
        <v>Firing Range Target #2</v>
      </c>
    </row>
    <row r="1731" spans="1:8" ht="15.75" thickBot="1" x14ac:dyDescent="0.3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>IF(ISNUMBER(SEARCH("#",B1731)), LEFT(B1731,FIND("#",B1731)-1), B1731)</f>
        <v xml:space="preserve">Firing Range Target </v>
      </c>
      <c r="G1731" s="26">
        <f>IF(ISNUMBER(SEARCH("#",B1731)),VALUE(MID(B1731,FIND("#",B1731)+1,1000)),1)</f>
        <v>3</v>
      </c>
      <c r="H1731" t="str">
        <f>IF(AND(regexMatch(B1731,".*#[0-9]*$"),ISNUMBER(SEARCH("#",B1731))),CONCATENATE(TRIM(F1731)," #",G1731),B1731)</f>
        <v>Firing Range Target #3</v>
      </c>
    </row>
    <row r="1732" spans="1:8" ht="15.75" thickBot="1" x14ac:dyDescent="0.3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>IF(ISNUMBER(SEARCH("#",B1732)), LEFT(B1732,FIND("#",B1732)-1), B1732)</f>
        <v>Target Frag Board</v>
      </c>
      <c r="G1732" s="26">
        <f>IF(ISNUMBER(SEARCH("#",B1732)),VALUE(MID(B1732,FIND("#",B1732)+1,1000)),1)</f>
        <v>1</v>
      </c>
      <c r="H1732" t="str">
        <f>IF(AND(regexMatch(B1732,".*#[0-9]*$"),ISNUMBER(SEARCH("#",B1732))),CONCATENATE(TRIM(F1732)," #",G1732),B1732)</f>
        <v>Target Frag Board</v>
      </c>
    </row>
    <row r="1733" spans="1:8" ht="15.75" thickBot="1" x14ac:dyDescent="0.3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>IF(ISNUMBER(SEARCH("#",B1733)), LEFT(B1733,FIND("#",B1733)-1), B1733)</f>
        <v>Target: Arm</v>
      </c>
      <c r="G1733" s="26">
        <f>IF(ISNUMBER(SEARCH("#",B1733)),VALUE(MID(B1733,FIND("#",B1733)+1,1000)),1)</f>
        <v>1</v>
      </c>
      <c r="H1733" t="str">
        <f>IF(AND(regexMatch(B1733,".*#[0-9]*$"),ISNUMBER(SEARCH("#",B1733))),CONCATENATE(TRIM(F1733)," #",G1733),B1733)</f>
        <v>Target: Arm</v>
      </c>
    </row>
    <row r="1734" spans="1:8" ht="15.75" thickBot="1" x14ac:dyDescent="0.3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>IF(ISNUMBER(SEARCH("#",B1734)), LEFT(B1734,FIND("#",B1734)-1), B1734)</f>
        <v>Target: Arm B</v>
      </c>
      <c r="G1734" s="26">
        <f>IF(ISNUMBER(SEARCH("#",B1734)),VALUE(MID(B1734,FIND("#",B1734)+1,1000)),1)</f>
        <v>1</v>
      </c>
      <c r="H1734" t="str">
        <f>IF(AND(regexMatch(B1734,".*#[0-9]*$"),ISNUMBER(SEARCH("#",B1734))),CONCATENATE(TRIM(F1734)," #",G1734),B1734)</f>
        <v>Target: Arm B</v>
      </c>
    </row>
    <row r="1735" spans="1:8" ht="15.75" thickBot="1" x14ac:dyDescent="0.3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>IF(ISNUMBER(SEARCH("#",B1735)), LEFT(B1735,FIND("#",B1735)-1), B1735)</f>
        <v>Target: Arm Long</v>
      </c>
      <c r="G1735" s="26">
        <f>IF(ISNUMBER(SEARCH("#",B1735)),VALUE(MID(B1735,FIND("#",B1735)+1,1000)),1)</f>
        <v>1</v>
      </c>
      <c r="H1735" t="str">
        <f>IF(AND(regexMatch(B1735,".*#[0-9]*$"),ISNUMBER(SEARCH("#",B1735))),CONCATENATE(TRIM(F1735)," #",G1735),B1735)</f>
        <v>Target: Arm Long</v>
      </c>
    </row>
    <row r="1736" spans="1:8" ht="15.75" thickBot="1" x14ac:dyDescent="0.3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>IF(ISNUMBER(SEARCH("#",B1736)), LEFT(B1736,FIND("#",B1736)-1), B1736)</f>
        <v>Target: Arm Small</v>
      </c>
      <c r="G1736" s="26">
        <f>IF(ISNUMBER(SEARCH("#",B1736)),VALUE(MID(B1736,FIND("#",B1736)+1,1000)),1)</f>
        <v>1</v>
      </c>
      <c r="H1736" t="str">
        <f>IF(AND(regexMatch(B1736,".*#[0-9]*$"),ISNUMBER(SEARCH("#",B1736))),CONCATENATE(TRIM(F1736)," #",G1736),B1736)</f>
        <v>Target: Arm Small</v>
      </c>
    </row>
    <row r="1737" spans="1:8" ht="15.75" thickBot="1" x14ac:dyDescent="0.3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>IF(ISNUMBER(SEARCH("#",B1737)), LEFT(B1737,FIND("#",B1737)-1), B1737)</f>
        <v>Target: Backboard</v>
      </c>
      <c r="G1737" s="26">
        <f>IF(ISNUMBER(SEARCH("#",B1737)),VALUE(MID(B1737,FIND("#",B1737)+1,1000)),1)</f>
        <v>1</v>
      </c>
      <c r="H1737" t="str">
        <f>IF(AND(regexMatch(B1737,".*#[0-9]*$"),ISNUMBER(SEARCH("#",B1737))),CONCATENATE(TRIM(F1737)," #",G1737),B1737)</f>
        <v>Target: Backboard</v>
      </c>
    </row>
    <row r="1738" spans="1:8" ht="15.75" thickBot="1" x14ac:dyDescent="0.3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>IF(ISNUMBER(SEARCH("#",B1738)), LEFT(B1738,FIND("#",B1738)-1), B1738)</f>
        <v>Target: Backboard B</v>
      </c>
      <c r="G1738" s="26">
        <f>IF(ISNUMBER(SEARCH("#",B1738)),VALUE(MID(B1738,FIND("#",B1738)+1,1000)),1)</f>
        <v>1</v>
      </c>
      <c r="H1738" t="str">
        <f>IF(AND(regexMatch(B1738,".*#[0-9]*$"),ISNUMBER(SEARCH("#",B1738))),CONCATENATE(TRIM(F1738)," #",G1738),B1738)</f>
        <v>Target: Backboard B</v>
      </c>
    </row>
    <row r="1739" spans="1:8" ht="15.75" thickBot="1" x14ac:dyDescent="0.3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>IF(ISNUMBER(SEARCH("#",B1739)), LEFT(B1739,FIND("#",B1739)-1), B1739)</f>
        <v>Target: Blue</v>
      </c>
      <c r="G1739" s="26">
        <f>IF(ISNUMBER(SEARCH("#",B1739)),VALUE(MID(B1739,FIND("#",B1739)+1,1000)),1)</f>
        <v>1</v>
      </c>
      <c r="H1739" t="str">
        <f>IF(AND(regexMatch(B1739,".*#[0-9]*$"),ISNUMBER(SEARCH("#",B1739))),CONCATENATE(TRIM(F1739)," #",G1739),B1739)</f>
        <v>Target: Blue</v>
      </c>
    </row>
    <row r="1740" spans="1:8" ht="15.75" thickBot="1" x14ac:dyDescent="0.3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>IF(ISNUMBER(SEARCH("#",B1740)), LEFT(B1740,FIND("#",B1740)-1), B1740)</f>
        <v>Target: Blue Arrow</v>
      </c>
      <c r="G1740" s="26">
        <f>IF(ISNUMBER(SEARCH("#",B1740)),VALUE(MID(B1740,FIND("#",B1740)+1,1000)),1)</f>
        <v>1</v>
      </c>
      <c r="H1740" t="str">
        <f>IF(AND(regexMatch(B1740,".*#[0-9]*$"),ISNUMBER(SEARCH("#",B1740))),CONCATENATE(TRIM(F1740)," #",G1740),B1740)</f>
        <v>Target: Blue Arrow</v>
      </c>
    </row>
    <row r="1741" spans="1:8" ht="15.75" thickBot="1" x14ac:dyDescent="0.3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>IF(ISNUMBER(SEARCH("#",B1741)), LEFT(B1741,FIND("#",B1741)-1), B1741)</f>
        <v>Target: Blue Rings</v>
      </c>
      <c r="G1741" s="26">
        <f>IF(ISNUMBER(SEARCH("#",B1741)),VALUE(MID(B1741,FIND("#",B1741)+1,1000)),1)</f>
        <v>1</v>
      </c>
      <c r="H1741" t="str">
        <f>IF(AND(regexMatch(B1741,".*#[0-9]*$"),ISNUMBER(SEARCH("#",B1741))),CONCATENATE(TRIM(F1741)," #",G1741),B1741)</f>
        <v>Target: Blue Rings</v>
      </c>
    </row>
    <row r="1742" spans="1:8" ht="15.75" thickBot="1" x14ac:dyDescent="0.3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>IF(ISNUMBER(SEARCH("#",B1742)), LEFT(B1742,FIND("#",B1742)-1), B1742)</f>
        <v>Target: Bullseye</v>
      </c>
      <c r="G1742" s="26">
        <f>IF(ISNUMBER(SEARCH("#",B1742)),VALUE(MID(B1742,FIND("#",B1742)+1,1000)),1)</f>
        <v>1</v>
      </c>
      <c r="H1742" t="str">
        <f>IF(AND(regexMatch(B1742,".*#[0-9]*$"),ISNUMBER(SEARCH("#",B1742))),CONCATENATE(TRIM(F1742)," #",G1742),B1742)</f>
        <v>Target: Bullseye</v>
      </c>
    </row>
    <row r="1743" spans="1:8" ht="15.75" thickBot="1" x14ac:dyDescent="0.3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>IF(ISNUMBER(SEARCH("#",B1743)), LEFT(B1743,FIND("#",B1743)-1), B1743)</f>
        <v>Target: Bullseye B</v>
      </c>
      <c r="G1743" s="26">
        <f>IF(ISNUMBER(SEARCH("#",B1743)),VALUE(MID(B1743,FIND("#",B1743)+1,1000)),1)</f>
        <v>1</v>
      </c>
      <c r="H1743" t="str">
        <f>IF(AND(regexMatch(B1743,".*#[0-9]*$"),ISNUMBER(SEARCH("#",B1743))),CONCATENATE(TRIM(F1743)," #",G1743),B1743)</f>
        <v>Target: Bullseye B</v>
      </c>
    </row>
    <row r="1744" spans="1:8" ht="15.75" thickBot="1" x14ac:dyDescent="0.3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>IF(ISNUMBER(SEARCH("#",B1744)), LEFT(B1744,FIND("#",B1744)-1), B1744)</f>
        <v>Target: Composite Metal</v>
      </c>
      <c r="G1744" s="26">
        <f>IF(ISNUMBER(SEARCH("#",B1744)),VALUE(MID(B1744,FIND("#",B1744)+1,1000)),1)</f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.75" thickBot="1" x14ac:dyDescent="0.3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>IF(ISNUMBER(SEARCH("#",B1745)), LEFT(B1745,FIND("#",B1745)-1), B1745)</f>
        <v>Target: Composite Wood</v>
      </c>
      <c r="G1745" s="26">
        <f>IF(ISNUMBER(SEARCH("#",B1745)),VALUE(MID(B1745,FIND("#",B1745)+1,1000)),1)</f>
        <v>1</v>
      </c>
      <c r="H1745" t="str">
        <f>IF(AND(regexMatch(B1745,".*#[0-9]*$"),ISNUMBER(SEARCH("#",B1745))),CONCATENATE(TRIM(F1745)," #",G1745),B1745)</f>
        <v>Target: Composite Wood</v>
      </c>
    </row>
    <row r="1746" spans="1:8" ht="15.75" thickBot="1" x14ac:dyDescent="0.3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>IF(ISNUMBER(SEARCH("#",B1746)), LEFT(B1746,FIND("#",B1746)-1), B1746)</f>
        <v>Target: Frame</v>
      </c>
      <c r="G1746" s="26">
        <f>IF(ISNUMBER(SEARCH("#",B1746)),VALUE(MID(B1746,FIND("#",B1746)+1,1000)),1)</f>
        <v>1</v>
      </c>
      <c r="H1746" t="str">
        <f>IF(AND(regexMatch(B1746,".*#[0-9]*$"),ISNUMBER(SEARCH("#",B1746))),CONCATENATE(TRIM(F1746)," #",G1746),B1746)</f>
        <v>Target: Frame</v>
      </c>
    </row>
    <row r="1747" spans="1:8" ht="15.75" thickBot="1" x14ac:dyDescent="0.3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>IF(ISNUMBER(SEARCH("#",B1747)), LEFT(B1747,FIND("#",B1747)-1), B1747)</f>
        <v>Target: Inner B</v>
      </c>
      <c r="G1747" s="26">
        <f>IF(ISNUMBER(SEARCH("#",B1747)),VALUE(MID(B1747,FIND("#",B1747)+1,1000)),1)</f>
        <v>1</v>
      </c>
      <c r="H1747" t="str">
        <f>IF(AND(regexMatch(B1747,".*#[0-9]*$"),ISNUMBER(SEARCH("#",B1747))),CONCATENATE(TRIM(F1747)," #",G1747),B1747)</f>
        <v>Target: Inner B</v>
      </c>
    </row>
    <row r="1748" spans="1:8" ht="15.75" thickBot="1" x14ac:dyDescent="0.3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>IF(ISNUMBER(SEARCH("#",B1748)), LEFT(B1748,FIND("#",B1748)-1), B1748)</f>
        <v xml:space="preserve">Target: Inner Ring </v>
      </c>
      <c r="G1748" s="26">
        <f>IF(ISNUMBER(SEARCH("#",B1748)),VALUE(MID(B1748,FIND("#",B1748)+1,1000)),1)</f>
        <v>1</v>
      </c>
      <c r="H1748" t="str">
        <f>IF(AND(regexMatch(B1748,".*#[0-9]*$"),ISNUMBER(SEARCH("#",B1748))),CONCATENATE(TRIM(F1748)," #",G1748),B1748)</f>
        <v>Target: Inner Ring #1</v>
      </c>
    </row>
    <row r="1749" spans="1:8" ht="15.75" thickBot="1" x14ac:dyDescent="0.3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>IF(ISNUMBER(SEARCH("#",B1749)), LEFT(B1749,FIND("#",B1749)-1), B1749)</f>
        <v xml:space="preserve">Target: Inner Ring </v>
      </c>
      <c r="G1749" s="26">
        <f>IF(ISNUMBER(SEARCH("#",B1749)),VALUE(MID(B1749,FIND("#",B1749)+1,1000)),1)</f>
        <v>2</v>
      </c>
      <c r="H1749" t="str">
        <f>IF(AND(regexMatch(B1749,".*#[0-9]*$"),ISNUMBER(SEARCH("#",B1749))),CONCATENATE(TRIM(F1749)," #",G1749),B1749)</f>
        <v>Target: Inner Ring #2</v>
      </c>
    </row>
    <row r="1750" spans="1:8" ht="15.75" thickBot="1" x14ac:dyDescent="0.3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>IF(ISNUMBER(SEARCH("#",B1750)), LEFT(B1750,FIND("#",B1750)-1), B1750)</f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.75" thickBot="1" x14ac:dyDescent="0.3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>IF(ISNUMBER(SEARCH("#",B1751)), LEFT(B1751,FIND("#",B1751)-1), B1751)</f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.75" thickBot="1" x14ac:dyDescent="0.3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>IF(ISNUMBER(SEARCH("#",B1752)), LEFT(B1752,FIND("#",B1752)-1), B1752)</f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.75" thickBot="1" x14ac:dyDescent="0.3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>IF(ISNUMBER(SEARCH("#",B1753)), LEFT(B1753,FIND("#",B1753)-1), B1753)</f>
        <v>Target: Orange Arrow</v>
      </c>
      <c r="G1753" s="26">
        <f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.75" thickBot="1" x14ac:dyDescent="0.3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>IF(ISNUMBER(SEARCH("#",B1754)), LEFT(B1754,FIND("#",B1754)-1), B1754)</f>
        <v>Target: Orange Cross</v>
      </c>
      <c r="G1754" s="26">
        <f>IF(ISNUMBER(SEARCH("#",B1754)),VALUE(MID(B1754,FIND("#",B1754)+1,1000)),1)</f>
        <v>1</v>
      </c>
      <c r="H1754" t="str">
        <f>IF(AND(regexMatch(B1754,".*#[0-9]*$"),ISNUMBER(SEARCH("#",B1754))),CONCATENATE(TRIM(F1754)," #",G1754),B1754)</f>
        <v>Target: Orange Cross</v>
      </c>
    </row>
    <row r="1755" spans="1:8" ht="15.75" thickBot="1" x14ac:dyDescent="0.3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>IF(ISNUMBER(SEARCH("#",B1755)), LEFT(B1755,FIND("#",B1755)-1), B1755)</f>
        <v>Target: Purple Arrow</v>
      </c>
      <c r="G1755" s="26">
        <f>IF(ISNUMBER(SEARCH("#",B1755)),VALUE(MID(B1755,FIND("#",B1755)+1,1000)),1)</f>
        <v>1</v>
      </c>
      <c r="H1755" t="str">
        <f>IF(AND(regexMatch(B1755,".*#[0-9]*$"),ISNUMBER(SEARCH("#",B1755))),CONCATENATE(TRIM(F1755)," #",G1755),B1755)</f>
        <v>Target: Purple Arrow</v>
      </c>
    </row>
    <row r="1756" spans="1:8" ht="15.75" thickBot="1" x14ac:dyDescent="0.3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>IF(ISNUMBER(SEARCH("#",B1756)), LEFT(B1756,FIND("#",B1756)-1), B1756)</f>
        <v>Target: Purple Cross</v>
      </c>
      <c r="G1756" s="26">
        <f>IF(ISNUMBER(SEARCH("#",B1756)),VALUE(MID(B1756,FIND("#",B1756)+1,1000)),1)</f>
        <v>1</v>
      </c>
      <c r="H1756" t="str">
        <f>IF(AND(regexMatch(B1756,".*#[0-9]*$"),ISNUMBER(SEARCH("#",B1756))),CONCATENATE(TRIM(F1756)," #",G1756),B1756)</f>
        <v>Target: Purple Cross</v>
      </c>
    </row>
    <row r="1757" spans="1:8" ht="15.75" thickBot="1" x14ac:dyDescent="0.3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>IF(ISNUMBER(SEARCH("#",B1757)), LEFT(B1757,FIND("#",B1757)-1), B1757)</f>
        <v>Target: Purple Rings</v>
      </c>
      <c r="G1757" s="26">
        <f>IF(ISNUMBER(SEARCH("#",B1757)),VALUE(MID(B1757,FIND("#",B1757)+1,1000)),1)</f>
        <v>1</v>
      </c>
      <c r="H1757" t="str">
        <f>IF(AND(regexMatch(B1757,".*#[0-9]*$"),ISNUMBER(SEARCH("#",B1757))),CONCATENATE(TRIM(F1757)," #",G1757),B1757)</f>
        <v>Target: Purple Rings</v>
      </c>
    </row>
    <row r="1758" spans="1:8" ht="15.75" thickBot="1" x14ac:dyDescent="0.3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>IF(ISNUMBER(SEARCH("#",B1758)), LEFT(B1758,FIND("#",B1758)-1), B1758)</f>
        <v>Target: Red</v>
      </c>
      <c r="G1758" s="26">
        <f>IF(ISNUMBER(SEARCH("#",B1758)),VALUE(MID(B1758,FIND("#",B1758)+1,1000)),1)</f>
        <v>1</v>
      </c>
      <c r="H1758" t="str">
        <f>IF(AND(regexMatch(B1758,".*#[0-9]*$"),ISNUMBER(SEARCH("#",B1758))),CONCATENATE(TRIM(F1758)," #",G1758),B1758)</f>
        <v>Target: Red</v>
      </c>
    </row>
    <row r="1759" spans="1:8" ht="15.75" thickBot="1" x14ac:dyDescent="0.3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>IF(ISNUMBER(SEARCH("#",B1759)), LEFT(B1759,FIND("#",B1759)-1), B1759)</f>
        <v>Target: Red Arrow</v>
      </c>
      <c r="G1759" s="26">
        <f>IF(ISNUMBER(SEARCH("#",B1759)),VALUE(MID(B1759,FIND("#",B1759)+1,1000)),1)</f>
        <v>1</v>
      </c>
      <c r="H1759" t="str">
        <f>IF(AND(regexMatch(B1759,".*#[0-9]*$"),ISNUMBER(SEARCH("#",B1759))),CONCATENATE(TRIM(F1759)," #",G1759),B1759)</f>
        <v>Target: Red Arrow</v>
      </c>
    </row>
    <row r="1760" spans="1:8" ht="15.75" thickBot="1" x14ac:dyDescent="0.3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>IF(ISNUMBER(SEARCH("#",B1760)), LEFT(B1760,FIND("#",B1760)-1), B1760)</f>
        <v>Target: Red Cross</v>
      </c>
      <c r="G1760" s="26">
        <f>IF(ISNUMBER(SEARCH("#",B1760)),VALUE(MID(B1760,FIND("#",B1760)+1,1000)),1)</f>
        <v>1</v>
      </c>
      <c r="H1760" t="str">
        <f>IF(AND(regexMatch(B1760,".*#[0-9]*$"),ISNUMBER(SEARCH("#",B1760))),CONCATENATE(TRIM(F1760)," #",G1760),B1760)</f>
        <v>Target: Red Cross</v>
      </c>
    </row>
    <row r="1761" spans="1:8" ht="15.75" thickBot="1" x14ac:dyDescent="0.3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>IF(ISNUMBER(SEARCH("#",B1761)), LEFT(B1761,FIND("#",B1761)-1), B1761)</f>
        <v xml:space="preserve">Beer Bottle </v>
      </c>
      <c r="G1761" s="26">
        <f>IF(ISNUMBER(SEARCH("#",B1761)),VALUE(MID(B1761,FIND("#",B1761)+1,1000)),1)</f>
        <v>4</v>
      </c>
      <c r="H1761" t="str">
        <f>IF(AND(regexMatch(B1761,".*#[0-9]*$"),ISNUMBER(SEARCH("#",B1761))),CONCATENATE(TRIM(F1761)," #",G1761),B1761)</f>
        <v>Beer Bottle #4</v>
      </c>
    </row>
    <row r="1762" spans="1:8" ht="15.75" thickBot="1" x14ac:dyDescent="0.3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>IF(ISNUMBER(SEARCH("#",B1762)), LEFT(B1762,FIND("#",B1762)-1), B1762)</f>
        <v xml:space="preserve">Beer Bottle </v>
      </c>
      <c r="G1762" s="26">
        <f>IF(ISNUMBER(SEARCH("#",B1762)),VALUE(MID(B1762,FIND("#",B1762)+1,1000)),1)</f>
        <v>5</v>
      </c>
      <c r="H1762" t="str">
        <f>IF(AND(regexMatch(B1762,".*#[0-9]*$"),ISNUMBER(SEARCH("#",B1762))),CONCATENATE(TRIM(F1762)," #",G1762),B1762)</f>
        <v>Beer Bottle #5</v>
      </c>
    </row>
    <row r="1763" spans="1:8" ht="15.75" thickBot="1" x14ac:dyDescent="0.3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>IF(ISNUMBER(SEARCH("#",B1763)), LEFT(B1763,FIND("#",B1763)-1), B1763)</f>
        <v xml:space="preserve">Beer Bottle </v>
      </c>
      <c r="G1763" s="26">
        <f>IF(ISNUMBER(SEARCH("#",B1763)),VALUE(MID(B1763,FIND("#",B1763)+1,1000)),1)</f>
        <v>6</v>
      </c>
      <c r="H1763" t="str">
        <f>IF(AND(regexMatch(B1763,".*#[0-9]*$"),ISNUMBER(SEARCH("#",B1763))),CONCATENATE(TRIM(F1763)," #",G1763),B1763)</f>
        <v>Beer Bottle #6</v>
      </c>
    </row>
    <row r="1764" spans="1:8" ht="15.75" thickBot="1" x14ac:dyDescent="0.3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>IF(ISNUMBER(SEARCH("#",B1764)), LEFT(B1764,FIND("#",B1764)-1), B1764)</f>
        <v xml:space="preserve">Beer Bottle </v>
      </c>
      <c r="G1764" s="26">
        <f>IF(ISNUMBER(SEARCH("#",B1764)),VALUE(MID(B1764,FIND("#",B1764)+1,1000)),1)</f>
        <v>7</v>
      </c>
      <c r="H1764" t="str">
        <f>IF(AND(regexMatch(B1764,".*#[0-9]*$"),ISNUMBER(SEARCH("#",B1764))),CONCATENATE(TRIM(F1764)," #",G1764),B1764)</f>
        <v>Beer Bottle #7</v>
      </c>
    </row>
    <row r="1765" spans="1:8" ht="15.75" thickBot="1" x14ac:dyDescent="0.3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>IF(ISNUMBER(SEARCH("#",B1765)), LEFT(B1765,FIND("#",B1765)-1), B1765)</f>
        <v xml:space="preserve">Beer Bottle </v>
      </c>
      <c r="G1765" s="26">
        <f>IF(ISNUMBER(SEARCH("#",B1765)),VALUE(MID(B1765,FIND("#",B1765)+1,1000)),1)</f>
        <v>8</v>
      </c>
      <c r="H1765" t="str">
        <f>IF(AND(regexMatch(B1765,".*#[0-9]*$"),ISNUMBER(SEARCH("#",B1765))),CONCATENATE(TRIM(F1765)," #",G1765),B1765)</f>
        <v>Beer Bottle #8</v>
      </c>
    </row>
    <row r="1766" spans="1:8" ht="15.75" thickBot="1" x14ac:dyDescent="0.3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>IF(ISNUMBER(SEARCH("#",B1766)), LEFT(B1766,FIND("#",B1766)-1), B1766)</f>
        <v>Beer Bottle Test</v>
      </c>
      <c r="G1766" s="26">
        <f>IF(ISNUMBER(SEARCH("#",B1766)),VALUE(MID(B1766,FIND("#",B1766)+1,1000)),1)</f>
        <v>1</v>
      </c>
      <c r="H1766" t="str">
        <f>IF(AND(regexMatch(B1766,".*#[0-9]*$"),ISNUMBER(SEARCH("#",B1766))),CONCATENATE(TRIM(F1766)," #",G1766),B1766)</f>
        <v>Beer Bottle Test</v>
      </c>
    </row>
    <row r="1767" spans="1:8" ht="15.75" thickBot="1" x14ac:dyDescent="0.3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>IF(ISNUMBER(SEARCH("#",B1767)), LEFT(B1767,FIND("#",B1767)-1), B1767)</f>
        <v>Beer Bottle: AM</v>
      </c>
      <c r="G1767" s="26">
        <f>IF(ISNUMBER(SEARCH("#",B1767)),VALUE(MID(B1767,FIND("#",B1767)+1,1000)),1)</f>
        <v>1</v>
      </c>
      <c r="H1767" t="str">
        <f>IF(AND(regexMatch(B1767,".*#[0-9]*$"),ISNUMBER(SEARCH("#",B1767))),CONCATENATE(TRIM(F1767)," #",G1767),B1767)</f>
        <v>Beer Bottle: AM</v>
      </c>
    </row>
    <row r="1768" spans="1:8" ht="15.75" thickBot="1" x14ac:dyDescent="0.3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>IF(ISNUMBER(SEARCH("#",B1768)), LEFT(B1768,FIND("#",B1768)-1), B1768)</f>
        <v>Beer Bottle: AM Open</v>
      </c>
      <c r="G1768" s="26">
        <f>IF(ISNUMBER(SEARCH("#",B1768)),VALUE(MID(B1768,FIND("#",B1768)+1,1000)),1)</f>
        <v>1</v>
      </c>
      <c r="H1768" t="str">
        <f>IF(AND(regexMatch(B1768,".*#[0-9]*$"),ISNUMBER(SEARCH("#",B1768))),CONCATENATE(TRIM(F1768)," #",G1768),B1768)</f>
        <v>Beer Bottle: AM Open</v>
      </c>
    </row>
    <row r="1769" spans="1:8" ht="15.75" thickBot="1" x14ac:dyDescent="0.3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>IF(ISNUMBER(SEARCH("#",B1769)), LEFT(B1769,FIND("#",B1769)-1), B1769)</f>
        <v>Beer Bottle: Barracho</v>
      </c>
      <c r="G1769" s="26">
        <f>IF(ISNUMBER(SEARCH("#",B1769)),VALUE(MID(B1769,FIND("#",B1769)+1,1000)),1)</f>
        <v>1</v>
      </c>
      <c r="H1769" t="str">
        <f>IF(AND(regexMatch(B1769,".*#[0-9]*$"),ISNUMBER(SEARCH("#",B1769))),CONCATENATE(TRIM(F1769)," #",G1769),B1769)</f>
        <v>Beer Bottle: Barracho</v>
      </c>
    </row>
    <row r="1770" spans="1:8" ht="15.75" thickBot="1" x14ac:dyDescent="0.3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>IF(ISNUMBER(SEARCH("#",B1770)), LEFT(B1770,FIND("#",B1770)-1), B1770)</f>
        <v>Beer Bottle: Barracho</v>
      </c>
      <c r="G1770" s="26">
        <f>IF(ISNUMBER(SEARCH("#",B1770)),VALUE(MID(B1770,FIND("#",B1770)+1,1000)),1)</f>
        <v>1</v>
      </c>
      <c r="H1770" t="str">
        <f>IF(AND(regexMatch(B1770,".*#[0-9]*$"),ISNUMBER(SEARCH("#",B1770))),CONCATENATE(TRIM(F1770)," #",G1770),B1770)</f>
        <v>Beer Bottle: Barracho</v>
      </c>
    </row>
    <row r="1771" spans="1:8" ht="15.75" thickBot="1" x14ac:dyDescent="0.3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>IF(ISNUMBER(SEARCH("#",B1771)), LEFT(B1771,FIND("#",B1771)-1), B1771)</f>
        <v>Beer Bottle: Bison</v>
      </c>
      <c r="G1771" s="26">
        <f>IF(ISNUMBER(SEARCH("#",B1771)),VALUE(MID(B1771,FIND("#",B1771)+1,1000)),1)</f>
        <v>1</v>
      </c>
      <c r="H1771" t="str">
        <f>IF(AND(regexMatch(B1771,".*#[0-9]*$"),ISNUMBER(SEARCH("#",B1771))),CONCATENATE(TRIM(F1771)," #",G1771),B1771)</f>
        <v>Beer Bottle: Bison</v>
      </c>
    </row>
    <row r="1772" spans="1:8" ht="15.75" thickBot="1" x14ac:dyDescent="0.3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>IF(ISNUMBER(SEARCH("#",B1772)), LEFT(B1772,FIND("#",B1772)-1), B1772)</f>
        <v>Beer Bottle: Blarneys</v>
      </c>
      <c r="G1772" s="26">
        <f>IF(ISNUMBER(SEARCH("#",B1772)),VALUE(MID(B1772,FIND("#",B1772)+1,1000)),1)</f>
        <v>1</v>
      </c>
      <c r="H1772" t="str">
        <f>IF(AND(regexMatch(B1772,".*#[0-9]*$"),ISNUMBER(SEARCH("#",B1772))),CONCATENATE(TRIM(F1772)," #",G1772),B1772)</f>
        <v>Beer Bottle: Blarneys</v>
      </c>
    </row>
    <row r="1773" spans="1:8" ht="15.75" thickBot="1" x14ac:dyDescent="0.3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>IF(ISNUMBER(SEARCH("#",B1773)), LEFT(B1773,FIND("#",B1773)-1), B1773)</f>
        <v>Beer Bottle: Dusche</v>
      </c>
      <c r="G1773" s="26">
        <f>IF(ISNUMBER(SEARCH("#",B1773)),VALUE(MID(B1773,FIND("#",B1773)+1,1000)),1)</f>
        <v>1</v>
      </c>
      <c r="H1773" t="str">
        <f>IF(AND(regexMatch(B1773,".*#[0-9]*$"),ISNUMBER(SEARCH("#",B1773))),CONCATENATE(TRIM(F1773)," #",G1773),B1773)</f>
        <v>Beer Bottle: Dusche</v>
      </c>
    </row>
    <row r="1774" spans="1:8" ht="15.75" thickBot="1" x14ac:dyDescent="0.3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>IF(ISNUMBER(SEARCH("#",B1774)), LEFT(B1774,FIND("#",B1774)-1), B1774)</f>
        <v>Beer Bottle: Jakeys</v>
      </c>
      <c r="G1774" s="26">
        <f>IF(ISNUMBER(SEARCH("#",B1774)),VALUE(MID(B1774,FIND("#",B1774)+1,1000)),1)</f>
        <v>1</v>
      </c>
      <c r="H1774" t="str">
        <f>IF(AND(regexMatch(B1774,".*#[0-9]*$"),ISNUMBER(SEARCH("#",B1774))),CONCATENATE(TRIM(F1774)," #",G1774),B1774)</f>
        <v>Beer Bottle: Jakeys</v>
      </c>
    </row>
    <row r="1775" spans="1:8" ht="15.75" thickBot="1" x14ac:dyDescent="0.3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>IF(ISNUMBER(SEARCH("#",B1775)), LEFT(B1775,FIND("#",B1775)-1), B1775)</f>
        <v>Beer Bottle: Logger</v>
      </c>
      <c r="G1775" s="26">
        <f>IF(ISNUMBER(SEARCH("#",B1775)),VALUE(MID(B1775,FIND("#",B1775)+1,1000)),1)</f>
        <v>1</v>
      </c>
      <c r="H1775" t="str">
        <f>IF(AND(regexMatch(B1775,".*#[0-9]*$"),ISNUMBER(SEARCH("#",B1775))),CONCATENATE(TRIM(F1775)," #",G1775),B1775)</f>
        <v>Beer Bottle: Logger</v>
      </c>
    </row>
    <row r="1776" spans="1:8" ht="15.75" thickBot="1" x14ac:dyDescent="0.3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>IF(ISNUMBER(SEARCH("#",B1776)), LEFT(B1776,FIND("#",B1776)-1), B1776)</f>
        <v>Beer Bottle: Logger Open</v>
      </c>
      <c r="G1776" s="26">
        <f>IF(ISNUMBER(SEARCH("#",B1776)),VALUE(MID(B1776,FIND("#",B1776)+1,1000)),1)</f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.75" thickBot="1" x14ac:dyDescent="0.3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>IF(ISNUMBER(SEARCH("#",B1777)), LEFT(B1777,FIND("#",B1777)-1), B1777)</f>
        <v>Beer Bottle: Patriot</v>
      </c>
      <c r="G1777" s="26">
        <f>IF(ISNUMBER(SEARCH("#",B1777)),VALUE(MID(B1777,FIND("#",B1777)+1,1000)),1)</f>
        <v>1</v>
      </c>
      <c r="H1777" t="str">
        <f>IF(AND(regexMatch(B1777,".*#[0-9]*$"),ISNUMBER(SEARCH("#",B1777))),CONCATENATE(TRIM(F1777)," #",G1777),B1777)</f>
        <v>Beer Bottle: Patriot</v>
      </c>
    </row>
    <row r="1778" spans="1:8" ht="15.75" thickBot="1" x14ac:dyDescent="0.3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>IF(ISNUMBER(SEARCH("#",B1778)), LEFT(B1778,FIND("#",B1778)-1), B1778)</f>
        <v>Beer Bottle: Pisswasser</v>
      </c>
      <c r="G1778" s="26">
        <f>IF(ISNUMBER(SEARCH("#",B1778)),VALUE(MID(B1778,FIND("#",B1778)+1,1000)),1)</f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.75" thickBot="1" x14ac:dyDescent="0.3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>IF(ISNUMBER(SEARCH("#",B1779)), LEFT(B1779,FIND("#",B1779)-1), B1779)</f>
        <v>Beer Bottle: Pisswasser</v>
      </c>
      <c r="G1779" s="26">
        <f>IF(ISNUMBER(SEARCH("#",B1779)),VALUE(MID(B1779,FIND("#",B1779)+1,1000)),1)</f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.75" thickBot="1" x14ac:dyDescent="0.3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>IF(ISNUMBER(SEARCH("#",B1780)), LEFT(B1780,FIND("#",B1780)-1), B1780)</f>
        <v>Beer Bottle: Pride</v>
      </c>
      <c r="G1780" s="26">
        <f>IF(ISNUMBER(SEARCH("#",B1780)),VALUE(MID(B1780,FIND("#",B1780)+1,1000)),1)</f>
        <v>1</v>
      </c>
      <c r="H1780" t="str">
        <f>IF(AND(regexMatch(B1780,".*#[0-9]*$"),ISNUMBER(SEARCH("#",B1780))),CONCATENATE(TRIM(F1780)," #",G1780),B1780)</f>
        <v>Beer Bottle: Pride</v>
      </c>
    </row>
    <row r="1781" spans="1:8" ht="15.75" thickBot="1" x14ac:dyDescent="0.3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>IF(ISNUMBER(SEARCH("#",B1781)), LEFT(B1781,FIND("#",B1781)-1), B1781)</f>
        <v>Beer Bottle: Stronzo</v>
      </c>
      <c r="G1781" s="26">
        <f>IF(ISNUMBER(SEARCH("#",B1781)),VALUE(MID(B1781,FIND("#",B1781)+1,1000)),1)</f>
        <v>1</v>
      </c>
      <c r="H1781" t="str">
        <f>IF(AND(regexMatch(B1781,".*#[0-9]*$"),ISNUMBER(SEARCH("#",B1781))),CONCATENATE(TRIM(F1781)," #",G1781),B1781)</f>
        <v>Beer Bottle: Stronzo</v>
      </c>
    </row>
    <row r="1782" spans="1:8" ht="15.75" thickBot="1" x14ac:dyDescent="0.3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>IF(ISNUMBER(SEARCH("#",B1782)), LEFT(B1782,FIND("#",B1782)-1), B1782)</f>
        <v>Beer Bottle: Stronzo Open</v>
      </c>
      <c r="G1782" s="26">
        <f>IF(ISNUMBER(SEARCH("#",B1782)),VALUE(MID(B1782,FIND("#",B1782)+1,1000)),1)</f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.75" thickBot="1" x14ac:dyDescent="0.3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>IF(ISNUMBER(SEARCH("#",B1783)), LEFT(B1783,FIND("#",B1783)-1), B1783)</f>
        <v xml:space="preserve">Beer Box </v>
      </c>
      <c r="G1783" s="26">
        <f>IF(ISNUMBER(SEARCH("#",B1783)),VALUE(MID(B1783,FIND("#",B1783)+1,1000)),1)</f>
        <v>1</v>
      </c>
      <c r="H1783" t="str">
        <f>IF(AND(regexMatch(B1783,".*#[0-9]*$"),ISNUMBER(SEARCH("#",B1783))),CONCATENATE(TRIM(F1783)," #",G1783),B1783)</f>
        <v>Beer Box #1</v>
      </c>
    </row>
    <row r="1784" spans="1:8" ht="15.75" thickBot="1" x14ac:dyDescent="0.3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>IF(ISNUMBER(SEARCH("#",B1784)), LEFT(B1784,FIND("#",B1784)-1), B1784)</f>
        <v xml:space="preserve">Beer Crate: Benedict </v>
      </c>
      <c r="G1784" s="26">
        <f>IF(ISNUMBER(SEARCH("#",B1784)),VALUE(MID(B1784,FIND("#",B1784)+1,1000)),1)</f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.75" thickBot="1" x14ac:dyDescent="0.3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>IF(ISNUMBER(SEARCH("#",B1785)), LEFT(B1785,FIND("#",B1785)-1), B1785)</f>
        <v xml:space="preserve">Beer Crate: Benedict </v>
      </c>
      <c r="G1785" s="26">
        <f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.75" thickBot="1" x14ac:dyDescent="0.3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>IF(ISNUMBER(SEARCH("#",B1786)), LEFT(B1786,FIND("#",B1786)-1), B1786)</f>
        <v xml:space="preserve">Beer Crate: Blarneys </v>
      </c>
      <c r="G1786" s="26">
        <f>IF(ISNUMBER(SEARCH("#",B1786)),VALUE(MID(B1786,FIND("#",B1786)+1,1000)),1)</f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.75" thickBot="1" x14ac:dyDescent="0.3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>IF(ISNUMBER(SEARCH("#",B1787)), LEFT(B1787,FIND("#",B1787)-1), B1787)</f>
        <v xml:space="preserve">Beer Crate: Blarneys </v>
      </c>
      <c r="G1787" s="26">
        <f>IF(ISNUMBER(SEARCH("#",B1787)),VALUE(MID(B1787,FIND("#",B1787)+1,1000)),1)</f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.75" thickBot="1" x14ac:dyDescent="0.3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>IF(ISNUMBER(SEARCH("#",B1788)), LEFT(B1788,FIND("#",B1788)-1), B1788)</f>
        <v>Beer Crate: Half Empty</v>
      </c>
      <c r="G1788" s="26">
        <f>IF(ISNUMBER(SEARCH("#",B1788)),VALUE(MID(B1788,FIND("#",B1788)+1,1000)),1)</f>
        <v>1</v>
      </c>
      <c r="H1788" t="str">
        <f>IF(AND(regexMatch(B1788,".*#[0-9]*$"),ISNUMBER(SEARCH("#",B1788))),CONCATENATE(TRIM(F1788)," #",G1788),B1788)</f>
        <v>Beer Crate: Half Empty</v>
      </c>
    </row>
    <row r="1789" spans="1:8" ht="15.75" thickBot="1" x14ac:dyDescent="0.3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>IF(ISNUMBER(SEARCH("#",B1789)), LEFT(B1789,FIND("#",B1789)-1), B1789)</f>
        <v xml:space="preserve">Beer Crate: Jakeys </v>
      </c>
      <c r="G1789" s="26">
        <f>IF(ISNUMBER(SEARCH("#",B1789)),VALUE(MID(B1789,FIND("#",B1789)+1,1000)),1)</f>
        <v>1</v>
      </c>
      <c r="H1789" t="str">
        <f>IF(AND(regexMatch(B1789,".*#[0-9]*$"),ISNUMBER(SEARCH("#",B1789))),CONCATENATE(TRIM(F1789)," #",G1789),B1789)</f>
        <v>Beer Crate: Jakeys #1</v>
      </c>
    </row>
    <row r="1790" spans="1:8" ht="15.75" thickBot="1" x14ac:dyDescent="0.3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>IF(ISNUMBER(SEARCH("#",B1790)), LEFT(B1790,FIND("#",B1790)-1), B1790)</f>
        <v xml:space="preserve">Beer Crate: Jakeys </v>
      </c>
      <c r="G1790" s="26">
        <f>IF(ISNUMBER(SEARCH("#",B1790)),VALUE(MID(B1790,FIND("#",B1790)+1,1000)),1)</f>
        <v>2</v>
      </c>
      <c r="H1790" t="str">
        <f>IF(AND(regexMatch(B1790,".*#[0-9]*$"),ISNUMBER(SEARCH("#",B1790))),CONCATENATE(TRIM(F1790)," #",G1790),B1790)</f>
        <v>Beer Crate: Jakeys #2</v>
      </c>
    </row>
    <row r="1791" spans="1:8" ht="15.75" thickBot="1" x14ac:dyDescent="0.3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>IF(ISNUMBER(SEARCH("#",B1791)), LEFT(B1791,FIND("#",B1791)-1), B1791)</f>
        <v xml:space="preserve">Beer Crate: Logger </v>
      </c>
      <c r="G1791" s="26">
        <f>IF(ISNUMBER(SEARCH("#",B1791)),VALUE(MID(B1791,FIND("#",B1791)+1,1000)),1)</f>
        <v>1</v>
      </c>
      <c r="H1791" t="str">
        <f>IF(AND(regexMatch(B1791,".*#[0-9]*$"),ISNUMBER(SEARCH("#",B1791))),CONCATENATE(TRIM(F1791)," #",G1791),B1791)</f>
        <v>Beer Crate: Logger #1</v>
      </c>
    </row>
    <row r="1792" spans="1:8" ht="15.75" thickBot="1" x14ac:dyDescent="0.3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>IF(ISNUMBER(SEARCH("#",B1792)), LEFT(B1792,FIND("#",B1792)-1), B1792)</f>
        <v xml:space="preserve">Beer Crate: Logger </v>
      </c>
      <c r="G1792" s="26">
        <f>IF(ISNUMBER(SEARCH("#",B1792)),VALUE(MID(B1792,FIND("#",B1792)+1,1000)),1)</f>
        <v>2</v>
      </c>
      <c r="H1792" t="str">
        <f>IF(AND(regexMatch(B1792,".*#[0-9]*$"),ISNUMBER(SEARCH("#",B1792))),CONCATENATE(TRIM(F1792)," #",G1792),B1792)</f>
        <v>Beer Crate: Logger #2</v>
      </c>
    </row>
    <row r="1793" spans="1:8" ht="15.75" thickBot="1" x14ac:dyDescent="0.3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>IF(ISNUMBER(SEARCH("#",B1793)), LEFT(B1793,FIND("#",B1793)-1), B1793)</f>
        <v xml:space="preserve">Beer Crate: Patriot </v>
      </c>
      <c r="G1793" s="26">
        <f>IF(ISNUMBER(SEARCH("#",B1793)),VALUE(MID(B1793,FIND("#",B1793)+1,1000)),1)</f>
        <v>1</v>
      </c>
      <c r="H1793" t="str">
        <f>IF(AND(regexMatch(B1793,".*#[0-9]*$"),ISNUMBER(SEARCH("#",B1793))),CONCATENATE(TRIM(F1793)," #",G1793),B1793)</f>
        <v>Beer Crate: Patriot #1</v>
      </c>
    </row>
    <row r="1794" spans="1:8" ht="15.75" thickBot="1" x14ac:dyDescent="0.3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>IF(ISNUMBER(SEARCH("#",B1794)), LEFT(B1794,FIND("#",B1794)-1), B1794)</f>
        <v xml:space="preserve">Beer Crate: Patriot </v>
      </c>
      <c r="G1794" s="26">
        <f>IF(ISNUMBER(SEARCH("#",B1794)),VALUE(MID(B1794,FIND("#",B1794)+1,1000)),1)</f>
        <v>2</v>
      </c>
      <c r="H1794" t="str">
        <f>IF(AND(regexMatch(B1794,".*#[0-9]*$"),ISNUMBER(SEARCH("#",B1794))),CONCATENATE(TRIM(F1794)," #",G1794),B1794)</f>
        <v>Beer Crate: Patriot #2</v>
      </c>
    </row>
    <row r="1795" spans="1:8" ht="15.75" thickBot="1" x14ac:dyDescent="0.3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>IF(ISNUMBER(SEARCH("#",B1795)), LEFT(B1795,FIND("#",B1795)-1), B1795)</f>
        <v xml:space="preserve">Beer Crate: Pisswasser </v>
      </c>
      <c r="G1795" s="26">
        <f>IF(ISNUMBER(SEARCH("#",B1795)),VALUE(MID(B1795,FIND("#",B1795)+1,1000)),1)</f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.75" thickBot="1" x14ac:dyDescent="0.3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>IF(ISNUMBER(SEARCH("#",B1796)), LEFT(B1796,FIND("#",B1796)-1), B1796)</f>
        <v xml:space="preserve">Beer Crate: Pisswasser </v>
      </c>
      <c r="G1796" s="26">
        <f>IF(ISNUMBER(SEARCH("#",B1796)),VALUE(MID(B1796,FIND("#",B1796)+1,1000)),1)</f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.75" thickBot="1" x14ac:dyDescent="0.3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>IF(ISNUMBER(SEARCH("#",B1797)), LEFT(B1797,FIND("#",B1797)-1), B1797)</f>
        <v>Beer Still</v>
      </c>
      <c r="G1797" s="26">
        <f>IF(ISNUMBER(SEARCH("#",B1797)),VALUE(MID(B1797,FIND("#",B1797)+1,1000)),1)</f>
        <v>1</v>
      </c>
      <c r="H1797" t="str">
        <f>IF(AND(regexMatch(B1797,".*#[0-9]*$"),ISNUMBER(SEARCH("#",B1797))),CONCATENATE(TRIM(F1797)," #",G1797),B1797)</f>
        <v>Beer Still</v>
      </c>
    </row>
    <row r="1798" spans="1:8" ht="15.75" thickBot="1" x14ac:dyDescent="0.3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>IF(ISNUMBER(SEARCH("#",B1798)), LEFT(B1798,FIND("#",B1798)-1), B1798)</f>
        <v xml:space="preserve">Bottle </v>
      </c>
      <c r="G1798" s="26">
        <f>IF(ISNUMBER(SEARCH("#",B1798)),VALUE(MID(B1798,FIND("#",B1798)+1,1000)),1)</f>
        <v>1</v>
      </c>
      <c r="H1798" t="str">
        <f>IF(AND(regexMatch(B1798,".*#[0-9]*$"),ISNUMBER(SEARCH("#",B1798))),CONCATENATE(TRIM(F1798)," #",G1798),B1798)</f>
        <v>Bottle #1</v>
      </c>
    </row>
    <row r="1799" spans="1:8" ht="15.75" thickBot="1" x14ac:dyDescent="0.3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>IF(ISNUMBER(SEARCH("#",B1799)), LEFT(B1799,FIND("#",B1799)-1), B1799)</f>
        <v xml:space="preserve">Bottle </v>
      </c>
      <c r="G1799" s="26">
        <f>IF(ISNUMBER(SEARCH("#",B1799)),VALUE(MID(B1799,FIND("#",B1799)+1,1000)),1)</f>
        <v>2</v>
      </c>
      <c r="H1799" t="str">
        <f>IF(AND(regexMatch(B1799,".*#[0-9]*$"),ISNUMBER(SEARCH("#",B1799))),CONCATENATE(TRIM(F1799)," #",G1799),B1799)</f>
        <v>Bottle #2</v>
      </c>
    </row>
    <row r="1800" spans="1:8" ht="15.75" thickBot="1" x14ac:dyDescent="0.3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>IF(ISNUMBER(SEARCH("#",B1800)), LEFT(B1800,FIND("#",B1800)-1), B1800)</f>
        <v>Bottle Cap</v>
      </c>
      <c r="G1800" s="26">
        <f>IF(ISNUMBER(SEARCH("#",B1800)),VALUE(MID(B1800,FIND("#",B1800)+1,1000)),1)</f>
        <v>1</v>
      </c>
      <c r="H1800" t="str">
        <f>IF(AND(regexMatch(B1800,".*#[0-9]*$"),ISNUMBER(SEARCH("#",B1800))),CONCATENATE(TRIM(F1800)," #",G1800),B1800)</f>
        <v>Bottle Cap</v>
      </c>
    </row>
    <row r="1801" spans="1:8" ht="15.75" thickBot="1" x14ac:dyDescent="0.3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>IF(ISNUMBER(SEARCH("#",B1801)), LEFT(B1801,FIND("#",B1801)-1), B1801)</f>
        <v>Bottle Wrapped</v>
      </c>
      <c r="G1801" s="26">
        <f>IF(ISNUMBER(SEARCH("#",B1801)),VALUE(MID(B1801,FIND("#",B1801)+1,1000)),1)</f>
        <v>1</v>
      </c>
      <c r="H1801" t="str">
        <f>IF(AND(regexMatch(B1801,".*#[0-9]*$"),ISNUMBER(SEARCH("#",B1801))),CONCATENATE(TRIM(F1801)," #",G1801),B1801)</f>
        <v>Bottle Wrapped</v>
      </c>
    </row>
    <row r="1802" spans="1:8" ht="15.75" thickBot="1" x14ac:dyDescent="0.3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>IF(ISNUMBER(SEARCH("#",B1802)), LEFT(B1802,FIND("#",B1802)-1), B1802)</f>
        <v>Bowl Of Crisps</v>
      </c>
      <c r="G1802" s="26">
        <f>IF(ISNUMBER(SEARCH("#",B1802)),VALUE(MID(B1802,FIND("#",B1802)+1,1000)),1)</f>
        <v>1</v>
      </c>
      <c r="H1802" t="str">
        <f>IF(AND(regexMatch(B1802,".*#[0-9]*$"),ISNUMBER(SEARCH("#",B1802))),CONCATENATE(TRIM(F1802)," #",G1802),B1802)</f>
        <v>Bowl Of Crisps</v>
      </c>
    </row>
    <row r="1803" spans="1:8" ht="15.75" thickBot="1" x14ac:dyDescent="0.3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>IF(ISNUMBER(SEARCH("#",B1803)), LEFT(B1803,FIND("#",B1803)-1), B1803)</f>
        <v>Burger</v>
      </c>
      <c r="G1803" s="26">
        <f>IF(ISNUMBER(SEARCH("#",B1803)),VALUE(MID(B1803,FIND("#",B1803)+1,1000)),1)</f>
        <v>1</v>
      </c>
      <c r="H1803" t="str">
        <f>IF(AND(regexMatch(B1803,".*#[0-9]*$"),ISNUMBER(SEARCH("#",B1803))),CONCATENATE(TRIM(F1803)," #",G1803),B1803)</f>
        <v>Burger</v>
      </c>
    </row>
    <row r="1804" spans="1:8" ht="15.75" thickBot="1" x14ac:dyDescent="0.3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>IF(ISNUMBER(SEARCH("#",B1804)), LEFT(B1804,FIND("#",B1804)-1), B1804)</f>
        <v>Burger Shot Burger In Box</v>
      </c>
      <c r="G1804" s="26">
        <f>IF(ISNUMBER(SEARCH("#",B1804)),VALUE(MID(B1804,FIND("#",B1804)+1,1000)),1)</f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.75" thickBot="1" x14ac:dyDescent="0.3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>IF(ISNUMBER(SEARCH("#",B1805)), LEFT(B1805,FIND("#",B1805)-1), B1805)</f>
        <v>Burger Shot Cup</v>
      </c>
      <c r="G1805" s="26">
        <f>IF(ISNUMBER(SEARCH("#",B1805)),VALUE(MID(B1805,FIND("#",B1805)+1,1000)),1)</f>
        <v>1</v>
      </c>
      <c r="H1805" t="str">
        <f>IF(AND(regexMatch(B1805,".*#[0-9]*$"),ISNUMBER(SEARCH("#",B1805))),CONCATENATE(TRIM(F1805)," #",G1805),B1805)</f>
        <v>Burger Shot Cup</v>
      </c>
    </row>
    <row r="1806" spans="1:8" ht="15.75" thickBot="1" x14ac:dyDescent="0.3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>IF(ISNUMBER(SEARCH("#",B1806)), LEFT(B1806,FIND("#",B1806)-1), B1806)</f>
        <v xml:space="preserve">Burger Shot Cup of Cola </v>
      </c>
      <c r="G1806" s="26">
        <f>IF(ISNUMBER(SEARCH("#",B1806)),VALUE(MID(B1806,FIND("#",B1806)+1,1000)),1)</f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.75" thickBot="1" x14ac:dyDescent="0.3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>IF(ISNUMBER(SEARCH("#",B1807)), LEFT(B1807,FIND("#",B1807)-1), B1807)</f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.75" thickBot="1" x14ac:dyDescent="0.3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>IF(ISNUMBER(SEARCH("#",B1808)), LEFT(B1808,FIND("#",B1808)-1), B1808)</f>
        <v xml:space="preserve">Burger Shot Cup of Cola </v>
      </c>
      <c r="G1808" s="26">
        <f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.75" thickBot="1" x14ac:dyDescent="0.3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>IF(ISNUMBER(SEARCH("#",B1809)), LEFT(B1809,FIND("#",B1809)-1), B1809)</f>
        <v>Burger Shot Cups Stack</v>
      </c>
      <c r="G1809" s="26">
        <f>IF(ISNUMBER(SEARCH("#",B1809)),VALUE(MID(B1809,FIND("#",B1809)+1,1000)),1)</f>
        <v>1</v>
      </c>
      <c r="H1809" t="str">
        <f>IF(AND(regexMatch(B1809,".*#[0-9]*$"),ISNUMBER(SEARCH("#",B1809))),CONCATENATE(TRIM(F1809)," #",G1809),B1809)</f>
        <v>Burger Shot Cups Stack</v>
      </c>
    </row>
    <row r="1810" spans="1:8" ht="15.75" thickBot="1" x14ac:dyDescent="0.3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>IF(ISNUMBER(SEARCH("#",B1810)), LEFT(B1810,FIND("#",B1810)-1), B1810)</f>
        <v xml:space="preserve">Burger Shot Meal Tray </v>
      </c>
      <c r="G1810" s="26">
        <f>IF(ISNUMBER(SEARCH("#",B1810)),VALUE(MID(B1810,FIND("#",B1810)+1,1000)),1)</f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.75" thickBot="1" x14ac:dyDescent="0.3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>IF(ISNUMBER(SEARCH("#",B1811)), LEFT(B1811,FIND("#",B1811)-1), B1811)</f>
        <v xml:space="preserve">Burger Shot Meal Tray </v>
      </c>
      <c r="G1811" s="26">
        <f>IF(ISNUMBER(SEARCH("#",B1811)),VALUE(MID(B1811,FIND("#",B1811)+1,1000)),1)</f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.75" thickBot="1" x14ac:dyDescent="0.3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>IF(ISNUMBER(SEARCH("#",B1812)), LEFT(B1812,FIND("#",B1812)-1), B1812)</f>
        <v>Burger Shot Packet of Fries</v>
      </c>
      <c r="G1812" s="26">
        <f>IF(ISNUMBER(SEARCH("#",B1812)),VALUE(MID(B1812,FIND("#",B1812)+1,1000)),1)</f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.75" thickBot="1" x14ac:dyDescent="0.3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>IF(ISNUMBER(SEARCH("#",B1813)), LEFT(B1813,FIND("#",B1813)-1), B1813)</f>
        <v>Burger Shot Tray</v>
      </c>
      <c r="G1813" s="26">
        <f>IF(ISNUMBER(SEARCH("#",B1813)),VALUE(MID(B1813,FIND("#",B1813)+1,1000)),1)</f>
        <v>1</v>
      </c>
      <c r="H1813" t="str">
        <f>IF(AND(regexMatch(B1813,".*#[0-9]*$"),ISNUMBER(SEARCH("#",B1813))),CONCATENATE(TRIM(F1813)," #",G1813),B1813)</f>
        <v>Burger Shot Tray</v>
      </c>
    </row>
    <row r="1814" spans="1:8" ht="15.75" thickBot="1" x14ac:dyDescent="0.3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>IF(ISNUMBER(SEARCH("#",B1814)), LEFT(B1814,FIND("#",B1814)-1), B1814)</f>
        <v>Burger Shot Wrapped Burger</v>
      </c>
      <c r="G1814" s="26">
        <f>IF(ISNUMBER(SEARCH("#",B1814)),VALUE(MID(B1814,FIND("#",B1814)+1,1000)),1)</f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.75" thickBot="1" x14ac:dyDescent="0.3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>IF(ISNUMBER(SEARCH("#",B1815)), LEFT(B1815,FIND("#",B1815)-1), B1815)</f>
        <v>Burger Shot Wrapped Roll</v>
      </c>
      <c r="G1815" s="26">
        <f>IF(ISNUMBER(SEARCH("#",B1815)),VALUE(MID(B1815,FIND("#",B1815)+1,1000)),1)</f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.75" thickBot="1" x14ac:dyDescent="0.3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>IF(ISNUMBER(SEARCH("#",B1816)), LEFT(B1816,FIND("#",B1816)-1), B1816)</f>
        <v xml:space="preserve">Candy Packet </v>
      </c>
      <c r="G1816" s="26">
        <f>IF(ISNUMBER(SEARCH("#",B1816)),VALUE(MID(B1816,FIND("#",B1816)+1,1000)),1)</f>
        <v>1</v>
      </c>
      <c r="H1816" t="str">
        <f>IF(AND(regexMatch(B1816,".*#[0-9]*$"),ISNUMBER(SEARCH("#",B1816))),CONCATENATE(TRIM(F1816)," #",G1816),B1816)</f>
        <v>Candy Packet #1</v>
      </c>
    </row>
    <row r="1817" spans="1:8" ht="15.75" thickBot="1" x14ac:dyDescent="0.3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>IF(ISNUMBER(SEARCH("#",B1817)), LEFT(B1817,FIND("#",B1817)-1), B1817)</f>
        <v xml:space="preserve">Candy Packet </v>
      </c>
      <c r="G1817" s="26">
        <f>IF(ISNUMBER(SEARCH("#",B1817)),VALUE(MID(B1817,FIND("#",B1817)+1,1000)),1)</f>
        <v>2</v>
      </c>
      <c r="H1817" t="str">
        <f>IF(AND(regexMatch(B1817,".*#[0-9]*$"),ISNUMBER(SEARCH("#",B1817))),CONCATENATE(TRIM(F1817)," #",G1817),B1817)</f>
        <v>Candy Packet #2</v>
      </c>
    </row>
    <row r="1818" spans="1:8" ht="15.75" thickBot="1" x14ac:dyDescent="0.3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>IF(ISNUMBER(SEARCH("#",B1818)), LEFT(B1818,FIND("#",B1818)-1), B1818)</f>
        <v>Cereal Box</v>
      </c>
      <c r="G1818" s="26">
        <f>IF(ISNUMBER(SEARCH("#",B1818)),VALUE(MID(B1818,FIND("#",B1818)+1,1000)),1)</f>
        <v>1</v>
      </c>
      <c r="H1818" t="str">
        <f>IF(AND(regexMatch(B1818,".*#[0-9]*$"),ISNUMBER(SEARCH("#",B1818))),CONCATENATE(TRIM(F1818)," #",G1818),B1818)</f>
        <v>Cereal Box</v>
      </c>
    </row>
    <row r="1819" spans="1:8" ht="15.75" thickBot="1" x14ac:dyDescent="0.3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>IF(ISNUMBER(SEARCH("#",B1819)), LEFT(B1819,FIND("#",B1819)-1), B1819)</f>
        <v>Champagne Bottle</v>
      </c>
      <c r="G1819" s="26">
        <f>IF(ISNUMBER(SEARCH("#",B1819)),VALUE(MID(B1819,FIND("#",B1819)+1,1000)),1)</f>
        <v>1</v>
      </c>
      <c r="H1819" t="str">
        <f>IF(AND(regexMatch(B1819,".*#[0-9]*$"),ISNUMBER(SEARCH("#",B1819))),CONCATENATE(TRIM(F1819)," #",G1819),B1819)</f>
        <v>Champagne Bottle</v>
      </c>
    </row>
    <row r="1820" spans="1:8" ht="15.75" thickBot="1" x14ac:dyDescent="0.3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>IF(ISNUMBER(SEARCH("#",B1820)), LEFT(B1820,FIND("#",B1820)-1), B1820)</f>
        <v>Champagne Box</v>
      </c>
      <c r="G1820" s="26">
        <f>IF(ISNUMBER(SEARCH("#",B1820)),VALUE(MID(B1820,FIND("#",B1820)+1,1000)),1)</f>
        <v>1</v>
      </c>
      <c r="H1820" t="str">
        <f>IF(AND(regexMatch(B1820,".*#[0-9]*$"),ISNUMBER(SEARCH("#",B1820))),CONCATENATE(TRIM(F1820)," #",G1820),B1820)</f>
        <v>Champagne Box</v>
      </c>
    </row>
    <row r="1821" spans="1:8" ht="15.75" thickBot="1" x14ac:dyDescent="0.3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>IF(ISNUMBER(SEARCH("#",B1821)), LEFT(B1821,FIND("#",B1821)-1), B1821)</f>
        <v>Champagne Flute</v>
      </c>
      <c r="G1821" s="26">
        <f>IF(ISNUMBER(SEARCH("#",B1821)),VALUE(MID(B1821,FIND("#",B1821)+1,1000)),1)</f>
        <v>1</v>
      </c>
      <c r="H1821" t="str">
        <f>IF(AND(regexMatch(B1821,".*#[0-9]*$"),ISNUMBER(SEARCH("#",B1821))),CONCATENATE(TRIM(F1821)," #",G1821),B1821)</f>
        <v>Champagne Flute</v>
      </c>
    </row>
    <row r="1822" spans="1:8" ht="15.75" thickBot="1" x14ac:dyDescent="0.3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>IF(ISNUMBER(SEARCH("#",B1822)), LEFT(B1822,FIND("#",B1822)-1), B1822)</f>
        <v>Champagne In Cooler</v>
      </c>
      <c r="G1822" s="26">
        <f>IF(ISNUMBER(SEARCH("#",B1822)),VALUE(MID(B1822,FIND("#",B1822)+1,1000)),1)</f>
        <v>1</v>
      </c>
      <c r="H1822" t="str">
        <f>IF(AND(regexMatch(B1822,".*#[0-9]*$"),ISNUMBER(SEARCH("#",B1822))),CONCATENATE(TRIM(F1822)," #",G1822),B1822)</f>
        <v>Champagne In Cooler</v>
      </c>
    </row>
    <row r="1823" spans="1:8" ht="15.75" thickBot="1" x14ac:dyDescent="0.3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>IF(ISNUMBER(SEARCH("#",B1823)), LEFT(B1823,FIND("#",B1823)-1), B1823)</f>
        <v>Champagne Set</v>
      </c>
      <c r="G1823" s="26">
        <f>IF(ISNUMBER(SEARCH("#",B1823)),VALUE(MID(B1823,FIND("#",B1823)+1,1000)),1)</f>
        <v>1</v>
      </c>
      <c r="H1823" t="str">
        <f>IF(AND(regexMatch(B1823,".*#[0-9]*$"),ISNUMBER(SEARCH("#",B1823))),CONCATENATE(TRIM(F1823)," #",G1823),B1823)</f>
        <v>Champagne Set</v>
      </c>
    </row>
    <row r="1824" spans="1:8" ht="15.75" thickBot="1" x14ac:dyDescent="0.3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>IF(ISNUMBER(SEARCH("#",B1824)), LEFT(B1824,FIND("#",B1824)-1), B1824)</f>
        <v>Chocolate Bar: Ego</v>
      </c>
      <c r="G1824" s="26">
        <f>IF(ISNUMBER(SEARCH("#",B1824)),VALUE(MID(B1824,FIND("#",B1824)+1,1000)),1)</f>
        <v>1</v>
      </c>
      <c r="H1824" t="str">
        <f>IF(AND(regexMatch(B1824,".*#[0-9]*$"),ISNUMBER(SEARCH("#",B1824))),CONCATENATE(TRIM(F1824)," #",G1824),B1824)</f>
        <v>Chocolate Bar: Ego</v>
      </c>
    </row>
    <row r="1825" spans="1:8" ht="15.75" thickBot="1" x14ac:dyDescent="0.3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>IF(ISNUMBER(SEARCH("#",B1825)), LEFT(B1825,FIND("#",B1825)-1), B1825)</f>
        <v>Chocolate Bar: Meteorite</v>
      </c>
      <c r="G1825" s="26">
        <f>IF(ISNUMBER(SEARCH("#",B1825)),VALUE(MID(B1825,FIND("#",B1825)+1,1000)),1)</f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.75" thickBot="1" x14ac:dyDescent="0.3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>IF(ISNUMBER(SEARCH("#",B1826)), LEFT(B1826,FIND("#",B1826)-1), B1826)</f>
        <v xml:space="preserve">Cluckin Bell Cups Stack </v>
      </c>
      <c r="G1826" s="26">
        <f>IF(ISNUMBER(SEARCH("#",B1826)),VALUE(MID(B1826,FIND("#",B1826)+1,1000)),1)</f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.75" thickBot="1" x14ac:dyDescent="0.3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>IF(ISNUMBER(SEARCH("#",B1827)), LEFT(B1827,FIND("#",B1827)-1), B1827)</f>
        <v xml:space="preserve">Cluckin Bell Cups Stack </v>
      </c>
      <c r="G1827" s="26">
        <f>IF(ISNUMBER(SEARCH("#",B1827)),VALUE(MID(B1827,FIND("#",B1827)+1,1000)),1)</f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.75" thickBot="1" x14ac:dyDescent="0.3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>IF(ISNUMBER(SEARCH("#",B1828)), LEFT(B1828,FIND("#",B1828)-1), B1828)</f>
        <v xml:space="preserve">Cluckin Bell Tray </v>
      </c>
      <c r="G1828" s="26">
        <f>IF(ISNUMBER(SEARCH("#",B1828)),VALUE(MID(B1828,FIND("#",B1828)+1,1000)),1)</f>
        <v>1</v>
      </c>
      <c r="H1828" t="str">
        <f>IF(AND(regexMatch(B1828,".*#[0-9]*$"),ISNUMBER(SEARCH("#",B1828))),CONCATENATE(TRIM(F1828)," #",G1828),B1828)</f>
        <v>Cluckin Bell Tray #1</v>
      </c>
    </row>
    <row r="1829" spans="1:8" ht="15.75" thickBot="1" x14ac:dyDescent="0.3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>IF(ISNUMBER(SEARCH("#",B1829)), LEFT(B1829,FIND("#",B1829)-1), B1829)</f>
        <v xml:space="preserve">Cluckin Bell Tray </v>
      </c>
      <c r="G1829" s="26">
        <f>IF(ISNUMBER(SEARCH("#",B1829)),VALUE(MID(B1829,FIND("#",B1829)+1,1000)),1)</f>
        <v>2</v>
      </c>
      <c r="H1829" t="str">
        <f>IF(AND(regexMatch(B1829,".*#[0-9]*$"),ISNUMBER(SEARCH("#",B1829))),CONCATENATE(TRIM(F1829)," #",G1829),B1829)</f>
        <v>Cluckin Bell Tray #2</v>
      </c>
    </row>
    <row r="1830" spans="1:8" ht="15.75" thickBot="1" x14ac:dyDescent="0.3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>IF(ISNUMBER(SEARCH("#",B1830)), LEFT(B1830,FIND("#",B1830)-1), B1830)</f>
        <v>Clucking Bell Burger In Box</v>
      </c>
      <c r="G1830" s="26">
        <f>IF(ISNUMBER(SEARCH("#",B1830)),VALUE(MID(B1830,FIND("#",B1830)+1,1000)),1)</f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.75" thickBot="1" x14ac:dyDescent="0.3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>IF(ISNUMBER(SEARCH("#",B1831)), LEFT(B1831,FIND("#",B1831)-1), B1831)</f>
        <v xml:space="preserve">Clucking Bell Cup of Cola </v>
      </c>
      <c r="G1831" s="26">
        <f>IF(ISNUMBER(SEARCH("#",B1831)),VALUE(MID(B1831,FIND("#",B1831)+1,1000)),1)</f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.75" thickBot="1" x14ac:dyDescent="0.3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>IF(ISNUMBER(SEARCH("#",B1832)), LEFT(B1832,FIND("#",B1832)-1), B1832)</f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.75" thickBot="1" x14ac:dyDescent="0.3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>IF(ISNUMBER(SEARCH("#",B1833)), LEFT(B1833,FIND("#",B1833)-1), B1833)</f>
        <v xml:space="preserve">Clucking Bell Meal Tray </v>
      </c>
      <c r="G1833" s="26">
        <f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.75" thickBot="1" x14ac:dyDescent="0.3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>IF(ISNUMBER(SEARCH("#",B1834)), LEFT(B1834,FIND("#",B1834)-1), B1834)</f>
        <v xml:space="preserve">Clucking Bell Meal Tray </v>
      </c>
      <c r="G1834" s="26">
        <f>IF(ISNUMBER(SEARCH("#",B1834)),VALUE(MID(B1834,FIND("#",B1834)+1,1000)),1)</f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.75" thickBot="1" x14ac:dyDescent="0.3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>IF(ISNUMBER(SEARCH("#",B1835)), LEFT(B1835,FIND("#",B1835)-1), B1835)</f>
        <v>Clucking Bell Packet Of Fries</v>
      </c>
      <c r="G1835" s="26">
        <f>IF(ISNUMBER(SEARCH("#",B1835)),VALUE(MID(B1835,FIND("#",B1835)+1,1000)),1)</f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.75" thickBot="1" x14ac:dyDescent="0.3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>IF(ISNUMBER(SEARCH("#",B1836)), LEFT(B1836,FIND("#",B1836)-1), B1836)</f>
        <v>Cocktail</v>
      </c>
      <c r="G1836" s="26">
        <f>IF(ISNUMBER(SEARCH("#",B1836)),VALUE(MID(B1836,FIND("#",B1836)+1,1000)),1)</f>
        <v>1</v>
      </c>
      <c r="H1836" t="str">
        <f>IF(AND(regexMatch(B1836,".*#[0-9]*$"),ISNUMBER(SEARCH("#",B1836))),CONCATENATE(TRIM(F1836)," #",G1836),B1836)</f>
        <v>Cocktail</v>
      </c>
    </row>
    <row r="1837" spans="1:8" ht="15.75" thickBot="1" x14ac:dyDescent="0.3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>IF(ISNUMBER(SEARCH("#",B1837)), LEFT(B1837,FIND("#",B1837)-1), B1837)</f>
        <v>Coffee Cup</v>
      </c>
      <c r="G1837" s="26">
        <f>IF(ISNUMBER(SEARCH("#",B1837)),VALUE(MID(B1837,FIND("#",B1837)+1,1000)),1)</f>
        <v>1</v>
      </c>
      <c r="H1837" t="str">
        <f>IF(AND(regexMatch(B1837,".*#[0-9]*$"),ISNUMBER(SEARCH("#",B1837))),CONCATENATE(TRIM(F1837)," #",G1837),B1837)</f>
        <v>Coffee Cup</v>
      </c>
    </row>
    <row r="1838" spans="1:8" ht="15.75" thickBot="1" x14ac:dyDescent="0.3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>IF(ISNUMBER(SEARCH("#",B1838)), LEFT(B1838,FIND("#",B1838)-1), B1838)</f>
        <v>Crisp</v>
      </c>
      <c r="G1838" s="26">
        <f>IF(ISNUMBER(SEARCH("#",B1838)),VALUE(MID(B1838,FIND("#",B1838)+1,1000)),1)</f>
        <v>1</v>
      </c>
      <c r="H1838" t="str">
        <f>IF(AND(regexMatch(B1838,".*#[0-9]*$"),ISNUMBER(SEARCH("#",B1838))),CONCATENATE(TRIM(F1838)," #",G1838),B1838)</f>
        <v>Crisp</v>
      </c>
    </row>
    <row r="1839" spans="1:8" ht="15.75" thickBot="1" x14ac:dyDescent="0.3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>IF(ISNUMBER(SEARCH("#",B1839)), LEFT(B1839,FIND("#",B1839)-1), B1839)</f>
        <v>Crisp Small</v>
      </c>
      <c r="G1839" s="26">
        <f>IF(ISNUMBER(SEARCH("#",B1839)),VALUE(MID(B1839,FIND("#",B1839)+1,1000)),1)</f>
        <v>1</v>
      </c>
      <c r="H1839" t="str">
        <f>IF(AND(regexMatch(B1839,".*#[0-9]*$"),ISNUMBER(SEARCH("#",B1839))),CONCATENATE(TRIM(F1839)," #",G1839),B1839)</f>
        <v>Crisp Small</v>
      </c>
    </row>
    <row r="1840" spans="1:8" ht="15.75" thickBot="1" x14ac:dyDescent="0.3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>IF(ISNUMBER(SEARCH("#",B1840)), LEFT(B1840,FIND("#",B1840)-1), B1840)</f>
        <v xml:space="preserve">Crisps Packet </v>
      </c>
      <c r="G1840" s="26">
        <f>IF(ISNUMBER(SEARCH("#",B1840)),VALUE(MID(B1840,FIND("#",B1840)+1,1000)),1)</f>
        <v>1</v>
      </c>
      <c r="H1840" t="str">
        <f>IF(AND(regexMatch(B1840,".*#[0-9]*$"),ISNUMBER(SEARCH("#",B1840))),CONCATENATE(TRIM(F1840)," #",G1840),B1840)</f>
        <v>Crisps Packet #1</v>
      </c>
    </row>
    <row r="1841" spans="1:8" ht="15.75" thickBot="1" x14ac:dyDescent="0.3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>IF(ISNUMBER(SEARCH("#",B1841)), LEFT(B1841,FIND("#",B1841)-1), B1841)</f>
        <v xml:space="preserve">Crisps Packet </v>
      </c>
      <c r="G1841" s="26">
        <f>IF(ISNUMBER(SEARCH("#",B1841)),VALUE(MID(B1841,FIND("#",B1841)+1,1000)),1)</f>
        <v>2</v>
      </c>
      <c r="H1841" t="str">
        <f>IF(AND(regexMatch(B1841,".*#[0-9]*$"),ISNUMBER(SEARCH("#",B1841))),CONCATENATE(TRIM(F1841)," #",G1841),B1841)</f>
        <v>Crisps Packet #2</v>
      </c>
    </row>
    <row r="1842" spans="1:8" ht="15.75" thickBot="1" x14ac:dyDescent="0.3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>IF(ISNUMBER(SEARCH("#",B1842)), LEFT(B1842,FIND("#",B1842)-1), B1842)</f>
        <v>Daiquiri</v>
      </c>
      <c r="G1842" s="26">
        <f>IF(ISNUMBER(SEARCH("#",B1842)),VALUE(MID(B1842,FIND("#",B1842)+1,1000)),1)</f>
        <v>1</v>
      </c>
      <c r="H1842" t="str">
        <f>IF(AND(regexMatch(B1842,".*#[0-9]*$"),ISNUMBER(SEARCH("#",B1842))),CONCATENATE(TRIM(F1842)," #",G1842),B1842)</f>
        <v>Daiquiri</v>
      </c>
    </row>
    <row r="1843" spans="1:8" ht="15.75" thickBot="1" x14ac:dyDescent="0.3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>IF(ISNUMBER(SEARCH("#",B1843)), LEFT(B1843,FIND("#",B1843)-1), B1843)</f>
        <v xml:space="preserve">Donut </v>
      </c>
      <c r="G1843" s="26">
        <f>IF(ISNUMBER(SEARCH("#",B1843)),VALUE(MID(B1843,FIND("#",B1843)+1,1000)),1)</f>
        <v>1</v>
      </c>
      <c r="H1843" t="str">
        <f>IF(AND(regexMatch(B1843,".*#[0-9]*$"),ISNUMBER(SEARCH("#",B1843))),CONCATENATE(TRIM(F1843)," #",G1843),B1843)</f>
        <v>Donut #1</v>
      </c>
    </row>
    <row r="1844" spans="1:8" ht="15.75" thickBot="1" x14ac:dyDescent="0.3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>IF(ISNUMBER(SEARCH("#",B1844)), LEFT(B1844,FIND("#",B1844)-1), B1844)</f>
        <v xml:space="preserve">Donut </v>
      </c>
      <c r="G1844" s="26">
        <f>IF(ISNUMBER(SEARCH("#",B1844)),VALUE(MID(B1844,FIND("#",B1844)+1,1000)),1)</f>
        <v>2</v>
      </c>
      <c r="H1844" t="str">
        <f>IF(AND(regexMatch(B1844,".*#[0-9]*$"),ISNUMBER(SEARCH("#",B1844))),CONCATENATE(TRIM(F1844)," #",G1844),B1844)</f>
        <v>Donut #2</v>
      </c>
    </row>
    <row r="1845" spans="1:8" ht="15.75" thickBot="1" x14ac:dyDescent="0.3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>IF(ISNUMBER(SEARCH("#",B1845)), LEFT(B1845,FIND("#",B1845)-1), B1845)</f>
        <v xml:space="preserve">Donut </v>
      </c>
      <c r="G1845" s="26">
        <f>IF(ISNUMBER(SEARCH("#",B1845)),VALUE(MID(B1845,FIND("#",B1845)+1,1000)),1)</f>
        <v>3</v>
      </c>
      <c r="H1845" t="str">
        <f>IF(AND(regexMatch(B1845,".*#[0-9]*$"),ISNUMBER(SEARCH("#",B1845))),CONCATENATE(TRIM(F1845)," #",G1845),B1845)</f>
        <v>Donut #3</v>
      </c>
    </row>
    <row r="1846" spans="1:8" ht="15.75" thickBot="1" x14ac:dyDescent="0.3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>IF(ISNUMBER(SEARCH("#",B1846)), LEFT(B1846,FIND("#",B1846)-1), B1846)</f>
        <v xml:space="preserve">Donut </v>
      </c>
      <c r="G1846" s="26">
        <f>IF(ISNUMBER(SEARCH("#",B1846)),VALUE(MID(B1846,FIND("#",B1846)+1,1000)),1)</f>
        <v>4</v>
      </c>
      <c r="H1846" t="str">
        <f>IF(AND(regexMatch(B1846,".*#[0-9]*$"),ISNUMBER(SEARCH("#",B1846))),CONCATENATE(TRIM(F1846)," #",G1846),B1846)</f>
        <v>Donut #4</v>
      </c>
    </row>
    <row r="1847" spans="1:8" ht="15.75" thickBot="1" x14ac:dyDescent="0.3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>IF(ISNUMBER(SEARCH("#",B1847)), LEFT(B1847,FIND("#",B1847)-1), B1847)</f>
        <v>Drinks Can: Ecola</v>
      </c>
      <c r="G1847" s="26">
        <f>IF(ISNUMBER(SEARCH("#",B1847)),VALUE(MID(B1847,FIND("#",B1847)+1,1000)),1)</f>
        <v>1</v>
      </c>
      <c r="H1847" t="str">
        <f>IF(AND(regexMatch(B1847,".*#[0-9]*$"),ISNUMBER(SEARCH("#",B1847))),CONCATENATE(TRIM(F1847)," #",G1847),B1847)</f>
        <v>Drinks Can: Ecola</v>
      </c>
    </row>
    <row r="1848" spans="1:8" ht="15.75" thickBot="1" x14ac:dyDescent="0.3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>IF(ISNUMBER(SEARCH("#",B1848)), LEFT(B1848,FIND("#",B1848)-1), B1848)</f>
        <v>Drinks Can: Orange Soda</v>
      </c>
      <c r="G1848" s="26">
        <f>IF(ISNUMBER(SEARCH("#",B1848)),VALUE(MID(B1848,FIND("#",B1848)+1,1000)),1)</f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.75" thickBot="1" x14ac:dyDescent="0.3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>IF(ISNUMBER(SEARCH("#",B1849)), LEFT(B1849,FIND("#",B1849)-1), B1849)</f>
        <v>Drinks Can: Sprunk</v>
      </c>
      <c r="G1849" s="26">
        <f>IF(ISNUMBER(SEARCH("#",B1849)),VALUE(MID(B1849,FIND("#",B1849)+1,1000)),1)</f>
        <v>1</v>
      </c>
      <c r="H1849" t="str">
        <f>IF(AND(regexMatch(B1849,".*#[0-9]*$"),ISNUMBER(SEARCH("#",B1849))),CONCATENATE(TRIM(F1849)," #",G1849),B1849)</f>
        <v>Drinks Can: Sprunk</v>
      </c>
    </row>
    <row r="1850" spans="1:8" ht="15.75" thickBot="1" x14ac:dyDescent="0.3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>IF(ISNUMBER(SEARCH("#",B1850)), LEFT(B1850,FIND("#",B1850)-1), B1850)</f>
        <v>Egg Box</v>
      </c>
      <c r="G1850" s="26">
        <f>IF(ISNUMBER(SEARCH("#",B1850)),VALUE(MID(B1850,FIND("#",B1850)+1,1000)),1)</f>
        <v>1</v>
      </c>
      <c r="H1850" t="str">
        <f>IF(AND(regexMatch(B1850,".*#[0-9]*$"),ISNUMBER(SEARCH("#",B1850))),CONCATENATE(TRIM(F1850)," #",G1850),B1850)</f>
        <v>Egg Box</v>
      </c>
    </row>
    <row r="1851" spans="1:8" ht="15.75" thickBot="1" x14ac:dyDescent="0.3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>IF(ISNUMBER(SEARCH("#",B1851)), LEFT(B1851,FIND("#",B1851)-1), B1851)</f>
        <v>Energy Drink</v>
      </c>
      <c r="G1851" s="26">
        <f>IF(ISNUMBER(SEARCH("#",B1851)),VALUE(MID(B1851,FIND("#",B1851)+1,1000)),1)</f>
        <v>1</v>
      </c>
      <c r="H1851" t="str">
        <f>IF(AND(regexMatch(B1851,".*#[0-9]*$"),ISNUMBER(SEARCH("#",B1851))),CONCATENATE(TRIM(F1851)," #",G1851),B1851)</f>
        <v>Energy Drink</v>
      </c>
    </row>
    <row r="1852" spans="1:8" ht="15.75" thickBot="1" x14ac:dyDescent="0.3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>IF(ISNUMBER(SEARCH("#",B1852)), LEFT(B1852,FIND("#",B1852)-1), B1852)</f>
        <v>Flour</v>
      </c>
      <c r="G1852" s="26">
        <f>IF(ISNUMBER(SEARCH("#",B1852)),VALUE(MID(B1852,FIND("#",B1852)+1,1000)),1)</f>
        <v>1</v>
      </c>
      <c r="H1852" t="str">
        <f>IF(AND(regexMatch(B1852,".*#[0-9]*$"),ISNUMBER(SEARCH("#",B1852))),CONCATENATE(TRIM(F1852)," #",G1852),B1852)</f>
        <v>Flour</v>
      </c>
    </row>
    <row r="1853" spans="1:8" ht="15.75" thickBot="1" x14ac:dyDescent="0.3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>IF(ISNUMBER(SEARCH("#",B1853)), LEFT(B1853,FIND("#",B1853)-1), B1853)</f>
        <v>Flow Bottle</v>
      </c>
      <c r="G1853" s="26">
        <f>IF(ISNUMBER(SEARCH("#",B1853)),VALUE(MID(B1853,FIND("#",B1853)+1,1000)),1)</f>
        <v>1</v>
      </c>
      <c r="H1853" t="str">
        <f>IF(AND(regexMatch(B1853,".*#[0-9]*$"),ISNUMBER(SEARCH("#",B1853))),CONCATENATE(TRIM(F1853)," #",G1853),B1853)</f>
        <v>Flow Bottle</v>
      </c>
    </row>
    <row r="1854" spans="1:8" ht="15.75" thickBot="1" x14ac:dyDescent="0.3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>IF(ISNUMBER(SEARCH("#",B1854)), LEFT(B1854,FIND("#",B1854)-1), B1854)</f>
        <v xml:space="preserve">Food Bag </v>
      </c>
      <c r="G1854" s="26">
        <f>IF(ISNUMBER(SEARCH("#",B1854)),VALUE(MID(B1854,FIND("#",B1854)+1,1000)),1)</f>
        <v>1</v>
      </c>
      <c r="H1854" t="str">
        <f>IF(AND(regexMatch(B1854,".*#[0-9]*$"),ISNUMBER(SEARCH("#",B1854))),CONCATENATE(TRIM(F1854)," #",G1854),B1854)</f>
        <v>Food Bag #1</v>
      </c>
    </row>
    <row r="1855" spans="1:8" ht="15.75" thickBot="1" x14ac:dyDescent="0.3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>IF(ISNUMBER(SEARCH("#",B1855)), LEFT(B1855,FIND("#",B1855)-1), B1855)</f>
        <v xml:space="preserve">Food Bag </v>
      </c>
      <c r="G1855" s="26">
        <f>IF(ISNUMBER(SEARCH("#",B1855)),VALUE(MID(B1855,FIND("#",B1855)+1,1000)),1)</f>
        <v>2</v>
      </c>
      <c r="H1855" t="str">
        <f>IF(AND(regexMatch(B1855,".*#[0-9]*$"),ISNUMBER(SEARCH("#",B1855))),CONCATENATE(TRIM(F1855)," #",G1855),B1855)</f>
        <v>Food Bag #2</v>
      </c>
    </row>
    <row r="1856" spans="1:8" ht="15.75" thickBot="1" x14ac:dyDescent="0.3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>IF(ISNUMBER(SEARCH("#",B1856)), LEFT(B1856,FIND("#",B1856)-1), B1856)</f>
        <v xml:space="preserve">Food Bag Burger Shot </v>
      </c>
      <c r="G1856" s="26">
        <f>IF(ISNUMBER(SEARCH("#",B1856)),VALUE(MID(B1856,FIND("#",B1856)+1,1000)),1)</f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.75" thickBot="1" x14ac:dyDescent="0.3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>IF(ISNUMBER(SEARCH("#",B1857)), LEFT(B1857,FIND("#",B1857)-1), B1857)</f>
        <v xml:space="preserve">Food Bag Burger Shot </v>
      </c>
      <c r="G1857" s="26">
        <f>IF(ISNUMBER(SEARCH("#",B1857)),VALUE(MID(B1857,FIND("#",B1857)+1,1000)),1)</f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.75" thickBot="1" x14ac:dyDescent="0.3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>IF(ISNUMBER(SEARCH("#",B1858)), LEFT(B1858,FIND("#",B1858)-1), B1858)</f>
        <v xml:space="preserve">Food Bag Burger Shot </v>
      </c>
      <c r="G1858" s="26">
        <f>IF(ISNUMBER(SEARCH("#",B1858)),VALUE(MID(B1858,FIND("#",B1858)+1,1000)),1)</f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.75" thickBot="1" x14ac:dyDescent="0.3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>IF(ISNUMBER(SEARCH("#",B1859)), LEFT(B1859,FIND("#",B1859)-1), B1859)</f>
        <v xml:space="preserve">Food Bag Burger Shot </v>
      </c>
      <c r="G1859" s="26">
        <f>IF(ISNUMBER(SEARCH("#",B1859)),VALUE(MID(B1859,FIND("#",B1859)+1,1000)),1)</f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.75" thickBot="1" x14ac:dyDescent="0.3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>IF(ISNUMBER(SEARCH("#",B1860)), LEFT(B1860,FIND("#",B1860)-1), B1860)</f>
        <v xml:space="preserve">Food Bag Clucking Bell </v>
      </c>
      <c r="G1860" s="26">
        <f>IF(ISNUMBER(SEARCH("#",B1860)),VALUE(MID(B1860,FIND("#",B1860)+1,1000)),1)</f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.75" thickBot="1" x14ac:dyDescent="0.3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>IF(ISNUMBER(SEARCH("#",B1861)), LEFT(B1861,FIND("#",B1861)-1), B1861)</f>
        <v xml:space="preserve">Food Bag Clucking Bell </v>
      </c>
      <c r="G1861" s="26">
        <f>IF(ISNUMBER(SEARCH("#",B1861)),VALUE(MID(B1861,FIND("#",B1861)+1,1000)),1)</f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.75" thickBot="1" x14ac:dyDescent="0.3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>IF(ISNUMBER(SEARCH("#",B1862)), LEFT(B1862,FIND("#",B1862)-1), B1862)</f>
        <v>Food Cups</v>
      </c>
      <c r="G1862" s="26">
        <f>IF(ISNUMBER(SEARCH("#",B1862)),VALUE(MID(B1862,FIND("#",B1862)+1,1000)),1)</f>
        <v>1</v>
      </c>
      <c r="H1862" t="str">
        <f>IF(AND(regexMatch(B1862,".*#[0-9]*$"),ISNUMBER(SEARCH("#",B1862))),CONCATENATE(TRIM(F1862)," #",G1862),B1862)</f>
        <v>Food Cups</v>
      </c>
    </row>
    <row r="1863" spans="1:8" ht="15.75" thickBot="1" x14ac:dyDescent="0.3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>IF(ISNUMBER(SEARCH("#",B1863)), LEFT(B1863,FIND("#",B1863)-1), B1863)</f>
        <v>Food Napkin</v>
      </c>
      <c r="G1863" s="26">
        <f>IF(ISNUMBER(SEARCH("#",B1863)),VALUE(MID(B1863,FIND("#",B1863)+1,1000)),1)</f>
        <v>1</v>
      </c>
      <c r="H1863" t="str">
        <f>IF(AND(regexMatch(B1863,".*#[0-9]*$"),ISNUMBER(SEARCH("#",B1863))),CONCATENATE(TRIM(F1863)," #",G1863),B1863)</f>
        <v>Food Napkin</v>
      </c>
    </row>
    <row r="1864" spans="1:8" ht="15.75" thickBot="1" x14ac:dyDescent="0.3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>IF(ISNUMBER(SEARCH("#",B1864)), LEFT(B1864,FIND("#",B1864)-1), B1864)</f>
        <v>Food Tray</v>
      </c>
      <c r="G1864" s="26">
        <f>IF(ISNUMBER(SEARCH("#",B1864)),VALUE(MID(B1864,FIND("#",B1864)+1,1000)),1)</f>
        <v>1</v>
      </c>
      <c r="H1864" t="str">
        <f>IF(AND(regexMatch(B1864,".*#[0-9]*$"),ISNUMBER(SEARCH("#",B1864))),CONCATENATE(TRIM(F1864)," #",G1864),B1864)</f>
        <v>Food Tray</v>
      </c>
    </row>
    <row r="1865" spans="1:8" ht="15.75" thickBot="1" x14ac:dyDescent="0.3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>IF(ISNUMBER(SEARCH("#",B1865)), LEFT(B1865,FIND("#",B1865)-1), B1865)</f>
        <v xml:space="preserve">Food Van </v>
      </c>
      <c r="G1865" s="26">
        <f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.75" thickBot="1" x14ac:dyDescent="0.3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>IF(ISNUMBER(SEARCH("#",B1866)), LEFT(B1866,FIND("#",B1866)-1), B1866)</f>
        <v xml:space="preserve">Food Van </v>
      </c>
      <c r="G1866" s="26">
        <f>IF(ISNUMBER(SEARCH("#",B1866)),VALUE(MID(B1866,FIND("#",B1866)+1,1000)),1)</f>
        <v>2</v>
      </c>
      <c r="H1866" t="str">
        <f>IF(AND(regexMatch(B1866,".*#[0-9]*$"),ISNUMBER(SEARCH("#",B1866))),CONCATENATE(TRIM(F1866)," #",G1866),B1866)</f>
        <v>Food Van #2</v>
      </c>
    </row>
    <row r="1867" spans="1:8" ht="15.75" thickBot="1" x14ac:dyDescent="0.3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>IF(ISNUMBER(SEARCH("#",B1867)), LEFT(B1867,FIND("#",B1867)-1), B1867)</f>
        <v>French Fries</v>
      </c>
      <c r="G1867" s="26">
        <f>IF(ISNUMBER(SEARCH("#",B1867)),VALUE(MID(B1867,FIND("#",B1867)+1,1000)),1)</f>
        <v>1</v>
      </c>
      <c r="H1867" t="str">
        <f>IF(AND(regexMatch(B1867,".*#[0-9]*$"),ISNUMBER(SEARCH("#",B1867))),CONCATENATE(TRIM(F1867)," #",G1867),B1867)</f>
        <v>French Fries</v>
      </c>
    </row>
    <row r="1868" spans="1:8" ht="15.75" thickBot="1" x14ac:dyDescent="0.3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>IF(ISNUMBER(SEARCH("#",B1868)), LEFT(B1868,FIND("#",B1868)-1), B1868)</f>
        <v>Glass: Champagne</v>
      </c>
      <c r="G1868" s="26">
        <f>IF(ISNUMBER(SEARCH("#",B1868)),VALUE(MID(B1868,FIND("#",B1868)+1,1000)),1)</f>
        <v>1</v>
      </c>
      <c r="H1868" t="str">
        <f>IF(AND(regexMatch(B1868,".*#[0-9]*$"),ISNUMBER(SEARCH("#",B1868))),CONCATENATE(TRIM(F1868)," #",G1868),B1868)</f>
        <v>Glass: Champagne</v>
      </c>
    </row>
    <row r="1869" spans="1:8" ht="15.75" thickBot="1" x14ac:dyDescent="0.3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>IF(ISNUMBER(SEARCH("#",B1869)), LEFT(B1869,FIND("#",B1869)-1), B1869)</f>
        <v>Glass: Red Wine</v>
      </c>
      <c r="G1869" s="26">
        <f>IF(ISNUMBER(SEARCH("#",B1869)),VALUE(MID(B1869,FIND("#",B1869)+1,1000)),1)</f>
        <v>1</v>
      </c>
      <c r="H1869" t="str">
        <f>IF(AND(regexMatch(B1869,".*#[0-9]*$"),ISNUMBER(SEARCH("#",B1869))),CONCATENATE(TRIM(F1869)," #",G1869),B1869)</f>
        <v>Glass: Red Wine</v>
      </c>
    </row>
    <row r="1870" spans="1:8" ht="15.75" thickBot="1" x14ac:dyDescent="0.3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>IF(ISNUMBER(SEARCH("#",B1870)), LEFT(B1870,FIND("#",B1870)-1), B1870)</f>
        <v>Glass: Whiskey</v>
      </c>
      <c r="G1870" s="26">
        <f>IF(ISNUMBER(SEARCH("#",B1870)),VALUE(MID(B1870,FIND("#",B1870)+1,1000)),1)</f>
        <v>1</v>
      </c>
      <c r="H1870" t="str">
        <f>IF(AND(regexMatch(B1870,".*#[0-9]*$"),ISNUMBER(SEARCH("#",B1870))),CONCATENATE(TRIM(F1870)," #",G1870),B1870)</f>
        <v>Glass: Whiskey</v>
      </c>
    </row>
    <row r="1871" spans="1:8" ht="15.75" thickBot="1" x14ac:dyDescent="0.3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>IF(ISNUMBER(SEARCH("#",B1871)), LEFT(B1871,FIND("#",B1871)-1), B1871)</f>
        <v>Glass: White Wine</v>
      </c>
      <c r="G1871" s="26">
        <f>IF(ISNUMBER(SEARCH("#",B1871)),VALUE(MID(B1871,FIND("#",B1871)+1,1000)),1)</f>
        <v>1</v>
      </c>
      <c r="H1871" t="str">
        <f>IF(AND(regexMatch(B1871,".*#[0-9]*$"),ISNUMBER(SEARCH("#",B1871))),CONCATENATE(TRIM(F1871)," #",G1871),B1871)</f>
        <v>Glass: White Wine</v>
      </c>
    </row>
    <row r="1872" spans="1:8" ht="15.75" thickBot="1" x14ac:dyDescent="0.3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>IF(ISNUMBER(SEARCH("#",B1872)), LEFT(B1872,FIND("#",B1872)-1), B1872)</f>
        <v>Grapes Overlay Large</v>
      </c>
      <c r="G1872" s="26">
        <f>IF(ISNUMBER(SEARCH("#",B1872)),VALUE(MID(B1872,FIND("#",B1872)+1,1000)),1)</f>
        <v>1</v>
      </c>
      <c r="H1872" t="str">
        <f>IF(AND(regexMatch(B1872,".*#[0-9]*$"),ISNUMBER(SEARCH("#",B1872))),CONCATENATE(TRIM(F1872)," #",G1872),B1872)</f>
        <v>Grapes Overlay Large</v>
      </c>
    </row>
    <row r="1873" spans="1:8" ht="15.75" thickBot="1" x14ac:dyDescent="0.3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>IF(ISNUMBER(SEARCH("#",B1873)), LEFT(B1873,FIND("#",B1873)-1), B1873)</f>
        <v>Grapes Overlay Small</v>
      </c>
      <c r="G1873" s="26">
        <f>IF(ISNUMBER(SEARCH("#",B1873)),VALUE(MID(B1873,FIND("#",B1873)+1,1000)),1)</f>
        <v>1</v>
      </c>
      <c r="H1873" t="str">
        <f>IF(AND(regexMatch(B1873,".*#[0-9]*$"),ISNUMBER(SEARCH("#",B1873))),CONCATENATE(TRIM(F1873)," #",G1873),B1873)</f>
        <v>Grapes Overlay Small</v>
      </c>
    </row>
    <row r="1874" spans="1:8" ht="15.75" thickBot="1" x14ac:dyDescent="0.3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>IF(ISNUMBER(SEARCH("#",B1874)), LEFT(B1874,FIND("#",B1874)-1), B1874)</f>
        <v xml:space="preserve">Hotdog </v>
      </c>
      <c r="G1874" s="26">
        <f>IF(ISNUMBER(SEARCH("#",B1874)),VALUE(MID(B1874,FIND("#",B1874)+1,1000)),1)</f>
        <v>1</v>
      </c>
      <c r="H1874" t="str">
        <f>IF(AND(regexMatch(B1874,".*#[0-9]*$"),ISNUMBER(SEARCH("#",B1874))),CONCATENATE(TRIM(F1874)," #",G1874),B1874)</f>
        <v>Hotdog #1</v>
      </c>
    </row>
    <row r="1875" spans="1:8" ht="15.75" thickBot="1" x14ac:dyDescent="0.3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>IF(ISNUMBER(SEARCH("#",B1875)), LEFT(B1875,FIND("#",B1875)-1), B1875)</f>
        <v xml:space="preserve">Hotdog </v>
      </c>
      <c r="G1875" s="26">
        <f>IF(ISNUMBER(SEARCH("#",B1875)),VALUE(MID(B1875,FIND("#",B1875)+1,1000)),1)</f>
        <v>2</v>
      </c>
      <c r="H1875" t="str">
        <f>IF(AND(regexMatch(B1875,".*#[0-9]*$"),ISNUMBER(SEARCH("#",B1875))),CONCATENATE(TRIM(F1875)," #",G1875),B1875)</f>
        <v>Hotdog #2</v>
      </c>
    </row>
    <row r="1876" spans="1:8" ht="15.75" thickBot="1" x14ac:dyDescent="0.3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>IF(ISNUMBER(SEARCH("#",B1876)), LEFT(B1876,FIND("#",B1876)-1), B1876)</f>
        <v xml:space="preserve">Ice Cube </v>
      </c>
      <c r="G1876" s="26">
        <f>IF(ISNUMBER(SEARCH("#",B1876)),VALUE(MID(B1876,FIND("#",B1876)+1,1000)),1)</f>
        <v>1</v>
      </c>
      <c r="H1876" t="str">
        <f>IF(AND(regexMatch(B1876,".*#[0-9]*$"),ISNUMBER(SEARCH("#",B1876))),CONCATENATE(TRIM(F1876)," #",G1876),B1876)</f>
        <v>Ice Cube #1</v>
      </c>
    </row>
    <row r="1877" spans="1:8" ht="15.75" thickBot="1" x14ac:dyDescent="0.3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>IF(ISNUMBER(SEARCH("#",B1877)), LEFT(B1877,FIND("#",B1877)-1), B1877)</f>
        <v xml:space="preserve">Ice Cube </v>
      </c>
      <c r="G1877" s="26">
        <f>IF(ISNUMBER(SEARCH("#",B1877)),VALUE(MID(B1877,FIND("#",B1877)+1,1000)),1)</f>
        <v>2</v>
      </c>
      <c r="H1877" t="str">
        <f>IF(AND(regexMatch(B1877,".*#[0-9]*$"),ISNUMBER(SEARCH("#",B1877))),CONCATENATE(TRIM(F1877)," #",G1877),B1877)</f>
        <v>Ice Cube #2</v>
      </c>
    </row>
    <row r="1878" spans="1:8" ht="15.75" thickBot="1" x14ac:dyDescent="0.3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>IF(ISNUMBER(SEARCH("#",B1878)), LEFT(B1878,FIND("#",B1878)-1), B1878)</f>
        <v xml:space="preserve">Ice Cube </v>
      </c>
      <c r="G1878" s="26">
        <f>IF(ISNUMBER(SEARCH("#",B1878)),VALUE(MID(B1878,FIND("#",B1878)+1,1000)),1)</f>
        <v>3</v>
      </c>
      <c r="H1878" t="str">
        <f>IF(AND(regexMatch(B1878,".*#[0-9]*$"),ISNUMBER(SEARCH("#",B1878))),CONCATENATE(TRIM(F1878)," #",G1878),B1878)</f>
        <v>Ice Cube #3</v>
      </c>
    </row>
    <row r="1879" spans="1:8" ht="15.75" thickBot="1" x14ac:dyDescent="0.3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>IF(ISNUMBER(SEARCH("#",B1879)), LEFT(B1879,FIND("#",B1879)-1), B1879)</f>
        <v>Juice Dispenser</v>
      </c>
      <c r="G1879" s="26">
        <f>IF(ISNUMBER(SEARCH("#",B1879)),VALUE(MID(B1879,FIND("#",B1879)+1,1000)),1)</f>
        <v>1</v>
      </c>
      <c r="H1879" t="str">
        <f>IF(AND(regexMatch(B1879,".*#[0-9]*$"),ISNUMBER(SEARCH("#",B1879))),CONCATENATE(TRIM(F1879)," #",G1879),B1879)</f>
        <v>Juice Dispenser</v>
      </c>
    </row>
    <row r="1880" spans="1:8" ht="15.75" thickBot="1" x14ac:dyDescent="0.3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>IF(ISNUMBER(SEARCH("#",B1880)), LEFT(B1880,FIND("#",B1880)-1), B1880)</f>
        <v>Ketchup</v>
      </c>
      <c r="G1880" s="26">
        <f>IF(ISNUMBER(SEARCH("#",B1880)),VALUE(MID(B1880,FIND("#",B1880)+1,1000)),1)</f>
        <v>1</v>
      </c>
      <c r="H1880" t="str">
        <f>IF(AND(regexMatch(B1880,".*#[0-9]*$"),ISNUMBER(SEARCH("#",B1880))),CONCATENATE(TRIM(F1880)," #",G1880),B1880)</f>
        <v>Ketchup</v>
      </c>
    </row>
    <row r="1881" spans="1:8" ht="15.75" thickBot="1" x14ac:dyDescent="0.3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>IF(ISNUMBER(SEARCH("#",B1881)), LEFT(B1881,FIND("#",B1881)-1), B1881)</f>
        <v>Ketchup</v>
      </c>
      <c r="G1881" s="26">
        <f>IF(ISNUMBER(SEARCH("#",B1881)),VALUE(MID(B1881,FIND("#",B1881)+1,1000)),1)</f>
        <v>1</v>
      </c>
      <c r="H1881" t="str">
        <f>IF(AND(regexMatch(B1881,".*#[0-9]*$"),ISNUMBER(SEARCH("#",B1881))),CONCATENATE(TRIM(F1881)," #",G1881),B1881)</f>
        <v>Ketchup</v>
      </c>
    </row>
    <row r="1882" spans="1:8" ht="15.75" thickBot="1" x14ac:dyDescent="0.3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>IF(ISNUMBER(SEARCH("#",B1882)), LEFT(B1882,FIND("#",B1882)-1), B1882)</f>
        <v>Large Bottle: ECola</v>
      </c>
      <c r="G1882" s="26">
        <f>IF(ISNUMBER(SEARCH("#",B1882)),VALUE(MID(B1882,FIND("#",B1882)+1,1000)),1)</f>
        <v>1</v>
      </c>
      <c r="H1882" t="str">
        <f>IF(AND(regexMatch(B1882,".*#[0-9]*$"),ISNUMBER(SEARCH("#",B1882))),CONCATENATE(TRIM(F1882)," #",G1882),B1882)</f>
        <v>Large Bottle: ECola</v>
      </c>
    </row>
    <row r="1883" spans="1:8" ht="15.75" thickBot="1" x14ac:dyDescent="0.3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>IF(ISNUMBER(SEARCH("#",B1883)), LEFT(B1883,FIND("#",B1883)-1), B1883)</f>
        <v xml:space="preserve">Meal Tray </v>
      </c>
      <c r="G1883" s="26">
        <f>IF(ISNUMBER(SEARCH("#",B1883)),VALUE(MID(B1883,FIND("#",B1883)+1,1000)),1)</f>
        <v>1</v>
      </c>
      <c r="H1883" t="str">
        <f>IF(AND(regexMatch(B1883,".*#[0-9]*$"),ISNUMBER(SEARCH("#",B1883))),CONCATENATE(TRIM(F1883)," #",G1883),B1883)</f>
        <v>Meal Tray #1</v>
      </c>
    </row>
    <row r="1884" spans="1:8" ht="15.75" thickBot="1" x14ac:dyDescent="0.3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>IF(ISNUMBER(SEARCH("#",B1884)), LEFT(B1884,FIND("#",B1884)-1), B1884)</f>
        <v xml:space="preserve">Meal Tray </v>
      </c>
      <c r="G1884" s="26">
        <f>IF(ISNUMBER(SEARCH("#",B1884)),VALUE(MID(B1884,FIND("#",B1884)+1,1000)),1)</f>
        <v>2</v>
      </c>
      <c r="H1884" t="str">
        <f>IF(AND(regexMatch(B1884,".*#[0-9]*$"),ISNUMBER(SEARCH("#",B1884))),CONCATENATE(TRIM(F1884)," #",G1884),B1884)</f>
        <v>Meal Tray #2</v>
      </c>
    </row>
    <row r="1885" spans="1:8" ht="15.75" thickBot="1" x14ac:dyDescent="0.3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>IF(ISNUMBER(SEARCH("#",B1885)), LEFT(B1885,FIND("#",B1885)-1), B1885)</f>
        <v>Milk</v>
      </c>
      <c r="G1885" s="26">
        <f>IF(ISNUMBER(SEARCH("#",B1885)),VALUE(MID(B1885,FIND("#",B1885)+1,1000)),1)</f>
        <v>1</v>
      </c>
      <c r="H1885" t="str">
        <f>IF(AND(regexMatch(B1885,".*#[0-9]*$"),ISNUMBER(SEARCH("#",B1885))),CONCATENATE(TRIM(F1885)," #",G1885),B1885)</f>
        <v>Milk</v>
      </c>
    </row>
    <row r="1886" spans="1:8" ht="15.75" thickBot="1" x14ac:dyDescent="0.3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>IF(ISNUMBER(SEARCH("#",B1886)), LEFT(B1886,FIND("#",B1886)-1), B1886)</f>
        <v>Mojito</v>
      </c>
      <c r="G1886" s="26">
        <f>IF(ISNUMBER(SEARCH("#",B1886)),VALUE(MID(B1886,FIND("#",B1886)+1,1000)),1)</f>
        <v>1</v>
      </c>
      <c r="H1886" t="str">
        <f>IF(AND(regexMatch(B1886,".*#[0-9]*$"),ISNUMBER(SEARCH("#",B1886))),CONCATENATE(TRIM(F1886)," #",G1886),B1886)</f>
        <v>Mojito</v>
      </c>
    </row>
    <row r="1887" spans="1:8" ht="15.75" thickBot="1" x14ac:dyDescent="0.3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>IF(ISNUMBER(SEARCH("#",B1887)), LEFT(B1887,FIND("#",B1887)-1), B1887)</f>
        <v>Mustard</v>
      </c>
      <c r="G1887" s="26">
        <f>IF(ISNUMBER(SEARCH("#",B1887)),VALUE(MID(B1887,FIND("#",B1887)+1,1000)),1)</f>
        <v>1</v>
      </c>
      <c r="H1887" t="str">
        <f>IF(AND(regexMatch(B1887,".*#[0-9]*$"),ISNUMBER(SEARCH("#",B1887))),CONCATENATE(TRIM(F1887)," #",G1887),B1887)</f>
        <v>Mustard</v>
      </c>
    </row>
    <row r="1888" spans="1:8" ht="15.75" thickBot="1" x14ac:dyDescent="0.3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>IF(ISNUMBER(SEARCH("#",B1888)), LEFT(B1888,FIND("#",B1888)-1), B1888)</f>
        <v xml:space="preserve">Noodles </v>
      </c>
      <c r="G1888" s="26">
        <f>IF(ISNUMBER(SEARCH("#",B1888)),VALUE(MID(B1888,FIND("#",B1888)+1,1000)),1)</f>
        <v>1</v>
      </c>
      <c r="H1888" t="str">
        <f>IF(AND(regexMatch(B1888,".*#[0-9]*$"),ISNUMBER(SEARCH("#",B1888))),CONCATENATE(TRIM(F1888)," #",G1888),B1888)</f>
        <v>Noodles #1</v>
      </c>
    </row>
    <row r="1889" spans="1:8" ht="15.75" thickBot="1" x14ac:dyDescent="0.3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>IF(ISNUMBER(SEARCH("#",B1889)), LEFT(B1889,FIND("#",B1889)-1), B1889)</f>
        <v xml:space="preserve">Noodles </v>
      </c>
      <c r="G1889" s="26">
        <f>IF(ISNUMBER(SEARCH("#",B1889)),VALUE(MID(B1889,FIND("#",B1889)+1,1000)),1)</f>
        <v>2</v>
      </c>
      <c r="H1889" t="str">
        <f>IF(AND(regexMatch(B1889,".*#[0-9]*$"),ISNUMBER(SEARCH("#",B1889))),CONCATENATE(TRIM(F1889)," #",G1889),B1889)</f>
        <v>Noodles #2</v>
      </c>
    </row>
    <row r="1890" spans="1:8" ht="15.75" thickBot="1" x14ac:dyDescent="0.3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>IF(ISNUMBER(SEARCH("#",B1890)), LEFT(B1890,FIND("#",B1890)-1), B1890)</f>
        <v>Paper Cup</v>
      </c>
      <c r="G1890" s="26">
        <f>IF(ISNUMBER(SEARCH("#",B1890)),VALUE(MID(B1890,FIND("#",B1890)+1,1000)),1)</f>
        <v>1</v>
      </c>
      <c r="H1890" t="str">
        <f>IF(AND(regexMatch(B1890,".*#[0-9]*$"),ISNUMBER(SEARCH("#",B1890))),CONCATENATE(TRIM(F1890)," #",G1890),B1890)</f>
        <v>Paper Cup</v>
      </c>
    </row>
    <row r="1891" spans="1:8" ht="15.75" thickBot="1" x14ac:dyDescent="0.3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>IF(ISNUMBER(SEARCH("#",B1891)), LEFT(B1891,FIND("#",B1891)-1), B1891)</f>
        <v>Peanut Bowl</v>
      </c>
      <c r="G1891" s="26">
        <f>IF(ISNUMBER(SEARCH("#",B1891)),VALUE(MID(B1891,FIND("#",B1891)+1,1000)),1)</f>
        <v>1</v>
      </c>
      <c r="H1891" t="str">
        <f>IF(AND(regexMatch(B1891,".*#[0-9]*$"),ISNUMBER(SEARCH("#",B1891))),CONCATENATE(TRIM(F1891)," #",G1891),B1891)</f>
        <v>Peanut Bowl</v>
      </c>
    </row>
    <row r="1892" spans="1:8" ht="15.75" thickBot="1" x14ac:dyDescent="0.3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>IF(ISNUMBER(SEARCH("#",B1892)), LEFT(B1892,FIND("#",B1892)-1), B1892)</f>
        <v>Phat Chips: Big Cheese</v>
      </c>
      <c r="G1892" s="26">
        <f>IF(ISNUMBER(SEARCH("#",B1892)),VALUE(MID(B1892,FIND("#",B1892)+1,1000)),1)</f>
        <v>1</v>
      </c>
      <c r="H1892" t="str">
        <f>IF(AND(regexMatch(B1892,".*#[0-9]*$"),ISNUMBER(SEARCH("#",B1892))),CONCATENATE(TRIM(F1892)," #",G1892),B1892)</f>
        <v>Phat Chips: Big Cheese</v>
      </c>
    </row>
    <row r="1893" spans="1:8" ht="15.75" thickBot="1" x14ac:dyDescent="0.3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>IF(ISNUMBER(SEARCH("#",B1893)), LEFT(B1893,FIND("#",B1893)-1), B1893)</f>
        <v>Phat Chips: Habanero</v>
      </c>
      <c r="G1893" s="26">
        <f>IF(ISNUMBER(SEARCH("#",B1893)),VALUE(MID(B1893,FIND("#",B1893)+1,1000)),1)</f>
        <v>1</v>
      </c>
      <c r="H1893" t="str">
        <f>IF(AND(regexMatch(B1893,".*#[0-9]*$"),ISNUMBER(SEARCH("#",B1893))),CONCATENATE(TRIM(F1893)," #",G1893),B1893)</f>
        <v>Phat Chips: Habanero</v>
      </c>
    </row>
    <row r="1894" spans="1:8" ht="15.75" thickBot="1" x14ac:dyDescent="0.3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>IF(ISNUMBER(SEARCH("#",B1894)), LEFT(B1894,FIND("#",B1894)-1), B1894)</f>
        <v>Phat Chips: Salted</v>
      </c>
      <c r="G1894" s="26">
        <f>IF(ISNUMBER(SEARCH("#",B1894)),VALUE(MID(B1894,FIND("#",B1894)+1,1000)),1)</f>
        <v>1</v>
      </c>
      <c r="H1894" t="str">
        <f>IF(AND(regexMatch(B1894,".*#[0-9]*$"),ISNUMBER(SEARCH("#",B1894))),CONCATENATE(TRIM(F1894)," #",G1894),B1894)</f>
        <v>Phat Chips: Salted</v>
      </c>
    </row>
    <row r="1895" spans="1:8" ht="15.75" thickBot="1" x14ac:dyDescent="0.3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>IF(ISNUMBER(SEARCH("#",B1895)), LEFT(B1895,FIND("#",B1895)-1), B1895)</f>
        <v>Phat Chips: Sticky Ribs</v>
      </c>
      <c r="G1895" s="26">
        <f>IF(ISNUMBER(SEARCH("#",B1895)),VALUE(MID(B1895,FIND("#",B1895)+1,1000)),1)</f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.75" thickBot="1" x14ac:dyDescent="0.3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>IF(ISNUMBER(SEARCH("#",B1896)), LEFT(B1896,FIND("#",B1896)-1), B1896)</f>
        <v>Pina Colada</v>
      </c>
      <c r="G1896" s="26">
        <f>IF(ISNUMBER(SEARCH("#",B1896)),VALUE(MID(B1896,FIND("#",B1896)+1,1000)),1)</f>
        <v>1</v>
      </c>
      <c r="H1896" t="str">
        <f>IF(AND(regexMatch(B1896,".*#[0-9]*$"),ISNUMBER(SEARCH("#",B1896))),CONCATENATE(TRIM(F1896)," #",G1896),B1896)</f>
        <v>Pina Colada</v>
      </c>
    </row>
    <row r="1897" spans="1:8" ht="15.75" thickBot="1" x14ac:dyDescent="0.3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>IF(ISNUMBER(SEARCH("#",B1897)), LEFT(B1897,FIND("#",B1897)-1), B1897)</f>
        <v>Pineapple</v>
      </c>
      <c r="G1897" s="26">
        <f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.75" thickBot="1" x14ac:dyDescent="0.3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>IF(ISNUMBER(SEARCH("#",B1898)), LEFT(B1898,FIND("#",B1898)-1), B1898)</f>
        <v xml:space="preserve">Pizza Box </v>
      </c>
      <c r="G1898" s="26">
        <f>IF(ISNUMBER(SEARCH("#",B1898)),VALUE(MID(B1898,FIND("#",B1898)+1,1000)),1)</f>
        <v>1</v>
      </c>
      <c r="H1898" t="str">
        <f>IF(AND(regexMatch(B1898,".*#[0-9]*$"),ISNUMBER(SEARCH("#",B1898))),CONCATENATE(TRIM(F1898)," #",G1898),B1898)</f>
        <v>Pizza Box #1</v>
      </c>
    </row>
    <row r="1899" spans="1:8" ht="15.75" thickBot="1" x14ac:dyDescent="0.3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>IF(ISNUMBER(SEARCH("#",B1899)), LEFT(B1899,FIND("#",B1899)-1), B1899)</f>
        <v xml:space="preserve">Pizza Box </v>
      </c>
      <c r="G1899" s="26">
        <f>IF(ISNUMBER(SEARCH("#",B1899)),VALUE(MID(B1899,FIND("#",B1899)+1,1000)),1)</f>
        <v>2</v>
      </c>
      <c r="H1899" t="str">
        <f>IF(AND(regexMatch(B1899,".*#[0-9]*$"),ISNUMBER(SEARCH("#",B1899))),CONCATENATE(TRIM(F1899)," #",G1899),B1899)</f>
        <v>Pizza Box #2</v>
      </c>
    </row>
    <row r="1900" spans="1:8" ht="15.75" thickBot="1" x14ac:dyDescent="0.3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>IF(ISNUMBER(SEARCH("#",B1900)), LEFT(B1900,FIND("#",B1900)-1), B1900)</f>
        <v xml:space="preserve">Pizza Box </v>
      </c>
      <c r="G1900" s="26">
        <f>IF(ISNUMBER(SEARCH("#",B1900)),VALUE(MID(B1900,FIND("#",B1900)+1,1000)),1)</f>
        <v>3</v>
      </c>
      <c r="H1900" t="str">
        <f>IF(AND(regexMatch(B1900,".*#[0-9]*$"),ISNUMBER(SEARCH("#",B1900))),CONCATENATE(TRIM(F1900)," #",G1900),B1900)</f>
        <v>Pizza Box #3</v>
      </c>
    </row>
    <row r="1901" spans="1:8" ht="15.75" thickBot="1" x14ac:dyDescent="0.3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>IF(ISNUMBER(SEARCH("#",B1901)), LEFT(B1901,FIND("#",B1901)-1), B1901)</f>
        <v>Plastic Cup</v>
      </c>
      <c r="G1901" s="26">
        <f>IF(ISNUMBER(SEARCH("#",B1901)),VALUE(MID(B1901,FIND("#",B1901)+1,1000)),1)</f>
        <v>1</v>
      </c>
      <c r="H1901" t="str">
        <f>IF(AND(regexMatch(B1901,".*#[0-9]*$"),ISNUMBER(SEARCH("#",B1901))),CONCATENATE(TRIM(F1901)," #",G1901),B1901)</f>
        <v>Plastic Cup</v>
      </c>
    </row>
    <row r="1902" spans="1:8" ht="15.75" thickBot="1" x14ac:dyDescent="0.3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>IF(ISNUMBER(SEARCH("#",B1902)), LEFT(B1902,FIND("#",B1902)-1), B1902)</f>
        <v>Pot Noodle</v>
      </c>
      <c r="G1902" s="26">
        <f>IF(ISNUMBER(SEARCH("#",B1902)),VALUE(MID(B1902,FIND("#",B1902)+1,1000)),1)</f>
        <v>1</v>
      </c>
      <c r="H1902" t="str">
        <f>IF(AND(regexMatch(B1902,".*#[0-9]*$"),ISNUMBER(SEARCH("#",B1902))),CONCATENATE(TRIM(F1902)," #",G1902),B1902)</f>
        <v>Pot Noodle</v>
      </c>
    </row>
    <row r="1903" spans="1:8" ht="15.75" thickBot="1" x14ac:dyDescent="0.3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>IF(ISNUMBER(SEARCH("#",B1903)), LEFT(B1903,FIND("#",B1903)-1), B1903)</f>
        <v>Rum Bottle</v>
      </c>
      <c r="G1903" s="26">
        <f>IF(ISNUMBER(SEARCH("#",B1903)),VALUE(MID(B1903,FIND("#",B1903)+1,1000)),1)</f>
        <v>1</v>
      </c>
      <c r="H1903" t="str">
        <f>IF(AND(regexMatch(B1903,".*#[0-9]*$"),ISNUMBER(SEARCH("#",B1903))),CONCATENATE(TRIM(F1903)," #",G1903),B1903)</f>
        <v>Rum Bottle</v>
      </c>
    </row>
    <row r="1904" spans="1:8" ht="15.75" thickBot="1" x14ac:dyDescent="0.3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>IF(ISNUMBER(SEARCH("#",B1904)), LEFT(B1904,FIND("#",B1904)-1), B1904)</f>
        <v>Sandwich</v>
      </c>
      <c r="G1904" s="26">
        <f>IF(ISNUMBER(SEARCH("#",B1904)),VALUE(MID(B1904,FIND("#",B1904)+1,1000)),1)</f>
        <v>1</v>
      </c>
      <c r="H1904" t="str">
        <f>IF(AND(regexMatch(B1904,".*#[0-9]*$"),ISNUMBER(SEARCH("#",B1904))),CONCATENATE(TRIM(F1904)," #",G1904),B1904)</f>
        <v>Sandwich</v>
      </c>
    </row>
    <row r="1905" spans="1:8" ht="15.75" thickBot="1" x14ac:dyDescent="0.3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>IF(ISNUMBER(SEARCH("#",B1905)), LEFT(B1905,FIND("#",B1905)-1), B1905)</f>
        <v>Six Pack Beers: AM</v>
      </c>
      <c r="G1905" s="26">
        <f>IF(ISNUMBER(SEARCH("#",B1905)),VALUE(MID(B1905,FIND("#",B1905)+1,1000)),1)</f>
        <v>1</v>
      </c>
      <c r="H1905" t="str">
        <f>IF(AND(regexMatch(B1905,".*#[0-9]*$"),ISNUMBER(SEARCH("#",B1905))),CONCATENATE(TRIM(F1905)," #",G1905),B1905)</f>
        <v>Six Pack Beers: AM</v>
      </c>
    </row>
    <row r="1906" spans="1:8" ht="15.75" thickBot="1" x14ac:dyDescent="0.3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>IF(ISNUMBER(SEARCH("#",B1906)), LEFT(B1906,FIND("#",B1906)-1), B1906)</f>
        <v>Six Pack Beers: Barracho</v>
      </c>
      <c r="G1906" s="26">
        <f>IF(ISNUMBER(SEARCH("#",B1906)),VALUE(MID(B1906,FIND("#",B1906)+1,1000)),1)</f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.75" thickBot="1" x14ac:dyDescent="0.3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>IF(ISNUMBER(SEARCH("#",B1907)), LEFT(B1907,FIND("#",B1907)-1), B1907)</f>
        <v>Six Pack Beers: Dusche</v>
      </c>
      <c r="G1907" s="26">
        <f>IF(ISNUMBER(SEARCH("#",B1907)),VALUE(MID(B1907,FIND("#",B1907)+1,1000)),1)</f>
        <v>1</v>
      </c>
      <c r="H1907" t="str">
        <f>IF(AND(regexMatch(B1907,".*#[0-9]*$"),ISNUMBER(SEARCH("#",B1907))),CONCATENATE(TRIM(F1907)," #",G1907),B1907)</f>
        <v>Six Pack Beers: Dusche</v>
      </c>
    </row>
    <row r="1908" spans="1:8" ht="15.75" thickBot="1" x14ac:dyDescent="0.3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>IF(ISNUMBER(SEARCH("#",B1908)), LEFT(B1908,FIND("#",B1908)-1), B1908)</f>
        <v>Six Pack Beers: Pride</v>
      </c>
      <c r="G1908" s="26">
        <f>IF(ISNUMBER(SEARCH("#",B1908)),VALUE(MID(B1908,FIND("#",B1908)+1,1000)),1)</f>
        <v>1</v>
      </c>
      <c r="H1908" t="str">
        <f>IF(AND(regexMatch(B1908,".*#[0-9]*$"),ISNUMBER(SEARCH("#",B1908))),CONCATENATE(TRIM(F1908)," #",G1908),B1908)</f>
        <v>Six Pack Beers: Pride</v>
      </c>
    </row>
    <row r="1909" spans="1:8" ht="15.75" thickBot="1" x14ac:dyDescent="0.3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>IF(ISNUMBER(SEARCH("#",B1909)), LEFT(B1909,FIND("#",B1909)-1), B1909)</f>
        <v>Sliced Bread</v>
      </c>
      <c r="G1909" s="26">
        <f>IF(ISNUMBER(SEARCH("#",B1909)),VALUE(MID(B1909,FIND("#",B1909)+1,1000)),1)</f>
        <v>1</v>
      </c>
      <c r="H1909" t="str">
        <f>IF(AND(regexMatch(B1909,".*#[0-9]*$"),ISNUMBER(SEARCH("#",B1909))),CONCATENATE(TRIM(F1909)," #",G1909),B1909)</f>
        <v>Sliced Bread</v>
      </c>
    </row>
    <row r="1910" spans="1:8" ht="15.75" thickBot="1" x14ac:dyDescent="0.3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>IF(ISNUMBER(SEARCH("#",B1910)), LEFT(B1910,FIND("#",B1910)-1), B1910)</f>
        <v>Spirit Bottle: Brandy</v>
      </c>
      <c r="G1910" s="26">
        <f>IF(ISNUMBER(SEARCH("#",B1910)),VALUE(MID(B1910,FIND("#",B1910)+1,1000)),1)</f>
        <v>1</v>
      </c>
      <c r="H1910" t="str">
        <f>IF(AND(regexMatch(B1910,".*#[0-9]*$"),ISNUMBER(SEARCH("#",B1910))),CONCATENATE(TRIM(F1910)," #",G1910),B1910)</f>
        <v>Spirit Bottle: Brandy</v>
      </c>
    </row>
    <row r="1911" spans="1:8" ht="15.75" thickBot="1" x14ac:dyDescent="0.3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>IF(ISNUMBER(SEARCH("#",B1911)), LEFT(B1911,FIND("#",B1911)-1), B1911)</f>
        <v>Spirit Bottle: Cognac</v>
      </c>
      <c r="G1911" s="26">
        <f>IF(ISNUMBER(SEARCH("#",B1911)),VALUE(MID(B1911,FIND("#",B1911)+1,1000)),1)</f>
        <v>1</v>
      </c>
      <c r="H1911" t="str">
        <f>IF(AND(regexMatch(B1911,".*#[0-9]*$"),ISNUMBER(SEARCH("#",B1911))),CONCATENATE(TRIM(F1911)," #",G1911),B1911)</f>
        <v>Spirit Bottle: Cognac</v>
      </c>
    </row>
    <row r="1912" spans="1:8" ht="15.75" thickBot="1" x14ac:dyDescent="0.3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>IF(ISNUMBER(SEARCH("#",B1912)), LEFT(B1912,FIND("#",B1912)-1), B1912)</f>
        <v>Spirit Bottle: Macbeth Whiskey</v>
      </c>
      <c r="G1912" s="26">
        <f>IF(ISNUMBER(SEARCH("#",B1912)),VALUE(MID(B1912,FIND("#",B1912)+1,1000)),1)</f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.75" thickBot="1" x14ac:dyDescent="0.3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>IF(ISNUMBER(SEARCH("#",B1913)), LEFT(B1913,FIND("#",B1913)-1), B1913)</f>
        <v>Spirit Bottle: Richards Whiskey</v>
      </c>
      <c r="G1913" s="26">
        <f>IF(ISNUMBER(SEARCH("#",B1913)),VALUE(MID(B1913,FIND("#",B1913)+1,1000)),1)</f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.75" thickBot="1" x14ac:dyDescent="0.3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>IF(ISNUMBER(SEARCH("#",B1914)), LEFT(B1914,FIND("#",B1914)-1), B1914)</f>
        <v xml:space="preserve">Spirits: Cherenkov Vodka </v>
      </c>
      <c r="G1914" s="26">
        <f>IF(ISNUMBER(SEARCH("#",B1914)),VALUE(MID(B1914,FIND("#",B1914)+1,1000)),1)</f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.75" thickBot="1" x14ac:dyDescent="0.3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>IF(ISNUMBER(SEARCH("#",B1915)), LEFT(B1915,FIND("#",B1915)-1), B1915)</f>
        <v xml:space="preserve">Spirits: Cherenkov Vodka </v>
      </c>
      <c r="G1915" s="26">
        <f>IF(ISNUMBER(SEARCH("#",B1915)),VALUE(MID(B1915,FIND("#",B1915)+1,1000)),1)</f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.75" thickBot="1" x14ac:dyDescent="0.3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>IF(ISNUMBER(SEARCH("#",B1916)), LEFT(B1916,FIND("#",B1916)-1), B1916)</f>
        <v xml:space="preserve">Spirits: Cherenkov Vodka </v>
      </c>
      <c r="G1916" s="26">
        <f>IF(ISNUMBER(SEARCH("#",B1916)),VALUE(MID(B1916,FIND("#",B1916)+1,1000)),1)</f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.75" thickBot="1" x14ac:dyDescent="0.3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>IF(ISNUMBER(SEARCH("#",B1917)), LEFT(B1917,FIND("#",B1917)-1), B1917)</f>
        <v xml:space="preserve">Spirits: Cherenkov Vodka </v>
      </c>
      <c r="G1917" s="26">
        <f>IF(ISNUMBER(SEARCH("#",B1917)),VALUE(MID(B1917,FIND("#",B1917)+1,1000)),1)</f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.75" thickBot="1" x14ac:dyDescent="0.3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>IF(ISNUMBER(SEARCH("#",B1918)), LEFT(B1918,FIND("#",B1918)-1), B1918)</f>
        <v>Spirits: Nogo Vodka</v>
      </c>
      <c r="G1918" s="26">
        <f>IF(ISNUMBER(SEARCH("#",B1918)),VALUE(MID(B1918,FIND("#",B1918)+1,1000)),1)</f>
        <v>1</v>
      </c>
      <c r="H1918" t="str">
        <f>IF(AND(regexMatch(B1918,".*#[0-9]*$"),ISNUMBER(SEARCH("#",B1918))),CONCATENATE(TRIM(F1918)," #",G1918),B1918)</f>
        <v>Spirits: Nogo Vodka</v>
      </c>
    </row>
    <row r="1919" spans="1:8" ht="15.75" thickBot="1" x14ac:dyDescent="0.3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>IF(ISNUMBER(SEARCH("#",B1919)), LEFT(B1919,FIND("#",B1919)-1), B1919)</f>
        <v>Steak</v>
      </c>
      <c r="G1919" s="26">
        <f>IF(ISNUMBER(SEARCH("#",B1919)),VALUE(MID(B1919,FIND("#",B1919)+1,1000)),1)</f>
        <v>1</v>
      </c>
      <c r="H1919" t="str">
        <f>IF(AND(regexMatch(B1919,".*#[0-9]*$"),ISNUMBER(SEARCH("#",B1919))),CONCATENATE(TRIM(F1919)," #",G1919),B1919)</f>
        <v>Steak</v>
      </c>
    </row>
    <row r="1920" spans="1:8" ht="15.75" thickBot="1" x14ac:dyDescent="0.3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>IF(ISNUMBER(SEARCH("#",B1920)), LEFT(B1920,FIND("#",B1920)-1), B1920)</f>
        <v>Sugar Jar</v>
      </c>
      <c r="G1920" s="26">
        <f>IF(ISNUMBER(SEARCH("#",B1920)),VALUE(MID(B1920,FIND("#",B1920)+1,1000)),1)</f>
        <v>1</v>
      </c>
      <c r="H1920" t="str">
        <f>IF(AND(regexMatch(B1920,".*#[0-9]*$"),ISNUMBER(SEARCH("#",B1920))),CONCATENATE(TRIM(F1920)," #",G1920),B1920)</f>
        <v>Sugar Jar</v>
      </c>
    </row>
    <row r="1921" spans="1:8" ht="15.75" thickBot="1" x14ac:dyDescent="0.3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>IF(ISNUMBER(SEARCH("#",B1921)), LEFT(B1921,FIND("#",B1921)-1), B1921)</f>
        <v xml:space="preserve">Taco </v>
      </c>
      <c r="G1921" s="26">
        <f>IF(ISNUMBER(SEARCH("#",B1921)),VALUE(MID(B1921,FIND("#",B1921)+1,1000)),1)</f>
        <v>1</v>
      </c>
      <c r="H1921" t="str">
        <f>IF(AND(regexMatch(B1921,".*#[0-9]*$"),ISNUMBER(SEARCH("#",B1921))),CONCATENATE(TRIM(F1921)," #",G1921),B1921)</f>
        <v>Taco #1</v>
      </c>
    </row>
    <row r="1922" spans="1:8" ht="15.75" thickBot="1" x14ac:dyDescent="0.3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>IF(ISNUMBER(SEARCH("#",B1922)), LEFT(B1922,FIND("#",B1922)-1), B1922)</f>
        <v xml:space="preserve">Taco </v>
      </c>
      <c r="G1922" s="26">
        <f>IF(ISNUMBER(SEARCH("#",B1922)),VALUE(MID(B1922,FIND("#",B1922)+1,1000)),1)</f>
        <v>2</v>
      </c>
      <c r="H1922" t="str">
        <f>IF(AND(regexMatch(B1922,".*#[0-9]*$"),ISNUMBER(SEARCH("#",B1922))),CONCATENATE(TRIM(F1922)," #",G1922),B1922)</f>
        <v>Taco #2</v>
      </c>
    </row>
    <row r="1923" spans="1:8" ht="15.75" thickBot="1" x14ac:dyDescent="0.3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>IF(ISNUMBER(SEARCH("#",B1923)), LEFT(B1923,FIND("#",B1923)-1), B1923)</f>
        <v>Tequila</v>
      </c>
      <c r="G1923" s="26">
        <f>IF(ISNUMBER(SEARCH("#",B1923)),VALUE(MID(B1923,FIND("#",B1923)+1,1000)),1)</f>
        <v>1</v>
      </c>
      <c r="H1923" t="str">
        <f>IF(AND(regexMatch(B1923,".*#[0-9]*$"),ISNUMBER(SEARCH("#",B1923))),CONCATENATE(TRIM(F1923)," #",G1923),B1923)</f>
        <v>Tequila</v>
      </c>
    </row>
    <row r="1924" spans="1:8" ht="15.75" thickBot="1" x14ac:dyDescent="0.3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>IF(ISNUMBER(SEARCH("#",B1924)), LEFT(B1924,FIND("#",B1924)-1), B1924)</f>
        <v>Tequila Bottle</v>
      </c>
      <c r="G1924" s="26">
        <f>IF(ISNUMBER(SEARCH("#",B1924)),VALUE(MID(B1924,FIND("#",B1924)+1,1000)),1)</f>
        <v>1</v>
      </c>
      <c r="H1924" t="str">
        <f>IF(AND(regexMatch(B1924,".*#[0-9]*$"),ISNUMBER(SEARCH("#",B1924))),CONCATENATE(TRIM(F1924)," #",G1924),B1924)</f>
        <v>Tequila Bottle</v>
      </c>
    </row>
    <row r="1925" spans="1:8" ht="15.75" thickBot="1" x14ac:dyDescent="0.3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>IF(ISNUMBER(SEARCH("#",B1925)), LEFT(B1925,FIND("#",B1925)-1), B1925)</f>
        <v>Tequila Sunrise</v>
      </c>
      <c r="G1925" s="26">
        <f>IF(ISNUMBER(SEARCH("#",B1925)),VALUE(MID(B1925,FIND("#",B1925)+1,1000)),1)</f>
        <v>1</v>
      </c>
      <c r="H1925" t="str">
        <f>IF(AND(regexMatch(B1925,".*#[0-9]*$"),ISNUMBER(SEARCH("#",B1925))),CONCATENATE(TRIM(F1925)," #",G1925),B1925)</f>
        <v>Tequila Sunrise</v>
      </c>
    </row>
    <row r="1926" spans="1:8" ht="15.75" thickBot="1" x14ac:dyDescent="0.3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>IF(ISNUMBER(SEARCH("#",B1926)), LEFT(B1926,FIND("#",B1926)-1), B1926)</f>
        <v>Tin Of Sweetcorn</v>
      </c>
      <c r="G1926" s="26">
        <f>IF(ISNUMBER(SEARCH("#",B1926)),VALUE(MID(B1926,FIND("#",B1926)+1,1000)),1)</f>
        <v>1</v>
      </c>
      <c r="H1926" t="str">
        <f>IF(AND(regexMatch(B1926,".*#[0-9]*$"),ISNUMBER(SEARCH("#",B1926))),CONCATENATE(TRIM(F1926)," #",G1926),B1926)</f>
        <v>Tin Of Sweetcorn</v>
      </c>
    </row>
    <row r="1927" spans="1:8" ht="15.75" thickBot="1" x14ac:dyDescent="0.3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>IF(ISNUMBER(SEARCH("#",B1927)), LEFT(B1927,FIND("#",B1927)-1), B1927)</f>
        <v>Turkey Leg</v>
      </c>
      <c r="G1927" s="26">
        <f>IF(ISNUMBER(SEARCH("#",B1927)),VALUE(MID(B1927,FIND("#",B1927)+1,1000)),1)</f>
        <v>1</v>
      </c>
      <c r="H1927" t="str">
        <f>IF(AND(regexMatch(B1927,".*#[0-9]*$"),ISNUMBER(SEARCH("#",B1927))),CONCATENATE(TRIM(F1927)," #",G1927),B1927)</f>
        <v>Turkey Leg</v>
      </c>
    </row>
    <row r="1928" spans="1:8" ht="15.75" thickBot="1" x14ac:dyDescent="0.3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>IF(ISNUMBER(SEARCH("#",B1928)), LEFT(B1928,FIND("#",B1928)-1), B1928)</f>
        <v>Vending Machine: Coffee</v>
      </c>
      <c r="G1928" s="26">
        <f>IF(ISNUMBER(SEARCH("#",B1928)),VALUE(MID(B1928,FIND("#",B1928)+1,1000)),1)</f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.75" thickBot="1" x14ac:dyDescent="0.3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>IF(ISNUMBER(SEARCH("#",B1929)), LEFT(B1929,FIND("#",B1929)-1), B1929)</f>
        <v>Vending Machine: Fags</v>
      </c>
      <c r="G1929" s="26">
        <f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.75" thickBot="1" x14ac:dyDescent="0.3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>IF(ISNUMBER(SEARCH("#",B1930)), LEFT(B1930,FIND("#",B1930)-1), B1930)</f>
        <v>Vending Machine: Fridge</v>
      </c>
      <c r="G1930" s="26">
        <f>IF(ISNUMBER(SEARCH("#",B1930)),VALUE(MID(B1930,FIND("#",B1930)+1,1000)),1)</f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.75" thickBot="1" x14ac:dyDescent="0.3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>IF(ISNUMBER(SEARCH("#",B1931)), LEFT(B1931,FIND("#",B1931)-1), B1931)</f>
        <v>Vending Machine: Snacks</v>
      </c>
      <c r="G1931" s="26">
        <f>IF(ISNUMBER(SEARCH("#",B1931)),VALUE(MID(B1931,FIND("#",B1931)+1,1000)),1)</f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.75" thickBot="1" x14ac:dyDescent="0.3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>IF(ISNUMBER(SEARCH("#",B1932)), LEFT(B1932,FIND("#",B1932)-1), B1932)</f>
        <v xml:space="preserve">Vending Machine: Soda </v>
      </c>
      <c r="G1932" s="26">
        <f>IF(ISNUMBER(SEARCH("#",B1932)),VALUE(MID(B1932,FIND("#",B1932)+1,1000)),1)</f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.75" thickBot="1" x14ac:dyDescent="0.3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>IF(ISNUMBER(SEARCH("#",B1933)), LEFT(B1933,FIND("#",B1933)-1), B1933)</f>
        <v xml:space="preserve">Vending Machine: Soda </v>
      </c>
      <c r="G1933" s="26">
        <f>IF(ISNUMBER(SEARCH("#",B1933)),VALUE(MID(B1933,FIND("#",B1933)+1,1000)),1)</f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.75" thickBot="1" x14ac:dyDescent="0.3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>IF(ISNUMBER(SEARCH("#",B1934)), LEFT(B1934,FIND("#",B1934)-1), B1934)</f>
        <v>Vending Machine: Water</v>
      </c>
      <c r="G1934" s="26">
        <f>IF(ISNUMBER(SEARCH("#",B1934)),VALUE(MID(B1934,FIND("#",B1934)+1,1000)),1)</f>
        <v>1</v>
      </c>
      <c r="H1934" t="str">
        <f>IF(AND(regexMatch(B1934,".*#[0-9]*$"),ISNUMBER(SEARCH("#",B1934))),CONCATENATE(TRIM(F1934)," #",G1934),B1934)</f>
        <v>Vending Machine: Water</v>
      </c>
    </row>
    <row r="1935" spans="1:8" ht="15.75" thickBot="1" x14ac:dyDescent="0.3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>IF(ISNUMBER(SEARCH("#",B1935)), LEFT(B1935,FIND("#",B1935)-1), B1935)</f>
        <v>Wheat Grass Drink</v>
      </c>
      <c r="G1935" s="26">
        <f>IF(ISNUMBER(SEARCH("#",B1935)),VALUE(MID(B1935,FIND("#",B1935)+1,1000)),1)</f>
        <v>1</v>
      </c>
      <c r="H1935" t="str">
        <f>IF(AND(regexMatch(B1935,".*#[0-9]*$"),ISNUMBER(SEARCH("#",B1935))),CONCATENATE(TRIM(F1935)," #",G1935),B1935)</f>
        <v>Wheat Grass Drink</v>
      </c>
    </row>
    <row r="1936" spans="1:8" ht="15.75" thickBot="1" x14ac:dyDescent="0.3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>IF(ISNUMBER(SEARCH("#",B1936)), LEFT(B1936,FIND("#",B1936)-1), B1936)</f>
        <v>Wheat Grass Drink Half Empty</v>
      </c>
      <c r="G1936" s="26">
        <f>IF(ISNUMBER(SEARCH("#",B1936)),VALUE(MID(B1936,FIND("#",B1936)+1,1000)),1)</f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.75" thickBot="1" x14ac:dyDescent="0.3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>IF(ISNUMBER(SEARCH("#",B1937)), LEFT(B1937,FIND("#",B1937)-1), B1937)</f>
        <v>Whiskey Bottle</v>
      </c>
      <c r="G1937" s="26">
        <f>IF(ISNUMBER(SEARCH("#",B1937)),VALUE(MID(B1937,FIND("#",B1937)+1,1000)),1)</f>
        <v>1</v>
      </c>
      <c r="H1937" t="str">
        <f>IF(AND(regexMatch(B1937,".*#[0-9]*$"),ISNUMBER(SEARCH("#",B1937))),CONCATENATE(TRIM(F1937)," #",G1937),B1937)</f>
        <v>Whiskey Bottle</v>
      </c>
    </row>
    <row r="1938" spans="1:8" ht="15.75" thickBot="1" x14ac:dyDescent="0.3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>IF(ISNUMBER(SEARCH("#",B1938)), LEFT(B1938,FIND("#",B1938)-1), B1938)</f>
        <v>Whiskey Bottle</v>
      </c>
      <c r="G1938" s="26">
        <f>IF(ISNUMBER(SEARCH("#",B1938)),VALUE(MID(B1938,FIND("#",B1938)+1,1000)),1)</f>
        <v>1</v>
      </c>
      <c r="H1938" t="str">
        <f>IF(AND(regexMatch(B1938,".*#[0-9]*$"),ISNUMBER(SEARCH("#",B1938))),CONCATENATE(TRIM(F1938)," #",G1938),B1938)</f>
        <v>Whiskey Bottle</v>
      </c>
    </row>
    <row r="1939" spans="1:8" ht="15.75" thickBot="1" x14ac:dyDescent="0.3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>IF(ISNUMBER(SEARCH("#",B1939)), LEFT(B1939,FIND("#",B1939)-1), B1939)</f>
        <v>Whiskey Bottle Stopper</v>
      </c>
      <c r="G1939" s="26">
        <f>IF(ISNUMBER(SEARCH("#",B1939)),VALUE(MID(B1939,FIND("#",B1939)+1,1000)),1)</f>
        <v>1</v>
      </c>
      <c r="H1939" t="str">
        <f>IF(AND(regexMatch(B1939,".*#[0-9]*$"),ISNUMBER(SEARCH("#",B1939))),CONCATENATE(TRIM(F1939)," #",G1939),B1939)</f>
        <v>Whiskey Bottle Stopper</v>
      </c>
    </row>
    <row r="1940" spans="1:8" ht="15.75" thickBot="1" x14ac:dyDescent="0.3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>IF(ISNUMBER(SEARCH("#",B1940)), LEFT(B1940,FIND("#",B1940)-1), B1940)</f>
        <v>Wine Barrel</v>
      </c>
      <c r="G1940" s="26">
        <f>IF(ISNUMBER(SEARCH("#",B1940)),VALUE(MID(B1940,FIND("#",B1940)+1,1000)),1)</f>
        <v>1</v>
      </c>
      <c r="H1940" t="str">
        <f>IF(AND(regexMatch(B1940,".*#[0-9]*$"),ISNUMBER(SEARCH("#",B1940))),CONCATENATE(TRIM(F1940)," #",G1940),B1940)</f>
        <v>Wine Barrel</v>
      </c>
    </row>
    <row r="1941" spans="1:8" ht="15.75" thickBot="1" x14ac:dyDescent="0.3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>IF(ISNUMBER(SEARCH("#",B1941)), LEFT(B1941,FIND("#",B1941)-1), B1941)</f>
        <v xml:space="preserve">Wine Bottle </v>
      </c>
      <c r="G1941" s="26">
        <f>IF(ISNUMBER(SEARCH("#",B1941)),VALUE(MID(B1941,FIND("#",B1941)+1,1000)),1)</f>
        <v>2</v>
      </c>
      <c r="H1941" t="str">
        <f>IF(AND(regexMatch(B1941,".*#[0-9]*$"),ISNUMBER(SEARCH("#",B1941))),CONCATENATE(TRIM(F1941)," #",G1941),B1941)</f>
        <v>Wine Bottle #2</v>
      </c>
    </row>
    <row r="1942" spans="1:8" ht="15.75" thickBot="1" x14ac:dyDescent="0.3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>IF(ISNUMBER(SEARCH("#",B1942)), LEFT(B1942,FIND("#",B1942)-1), B1942)</f>
        <v>Wine Bottle Row</v>
      </c>
      <c r="G1942" s="26">
        <f>IF(ISNUMBER(SEARCH("#",B1942)),VALUE(MID(B1942,FIND("#",B1942)+1,1000)),1)</f>
        <v>1</v>
      </c>
      <c r="H1942" t="str">
        <f>IF(AND(regexMatch(B1942,".*#[0-9]*$"),ISNUMBER(SEARCH("#",B1942))),CONCATENATE(TRIM(F1942)," #",G1942),B1942)</f>
        <v>Wine Bottle Row</v>
      </c>
    </row>
    <row r="1943" spans="1:8" ht="15.75" thickBot="1" x14ac:dyDescent="0.3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>IF(ISNUMBER(SEARCH("#",B1943)), LEFT(B1943,FIND("#",B1943)-1), B1943)</f>
        <v>Wine Bottle: Cava</v>
      </c>
      <c r="G1943" s="26">
        <f>IF(ISNUMBER(SEARCH("#",B1943)),VALUE(MID(B1943,FIND("#",B1943)+1,1000)),1)</f>
        <v>1</v>
      </c>
      <c r="H1943" t="str">
        <f>IF(AND(regexMatch(B1943,".*#[0-9]*$"),ISNUMBER(SEARCH("#",B1943))),CONCATENATE(TRIM(F1943)," #",G1943),B1943)</f>
        <v>Wine Bottle: Cava</v>
      </c>
    </row>
    <row r="1944" spans="1:8" ht="15.75" thickBot="1" x14ac:dyDescent="0.3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>IF(ISNUMBER(SEARCH("#",B1944)), LEFT(B1944,FIND("#",B1944)-1), B1944)</f>
        <v xml:space="preserve">Wine Bottle: Champagne </v>
      </c>
      <c r="G1944" s="26">
        <f>IF(ISNUMBER(SEARCH("#",B1944)),VALUE(MID(B1944,FIND("#",B1944)+1,1000)),1)</f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.75" thickBot="1" x14ac:dyDescent="0.3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>IF(ISNUMBER(SEARCH("#",B1945)), LEFT(B1945,FIND("#",B1945)-1), B1945)</f>
        <v xml:space="preserve">Wine Bottle: Champagne </v>
      </c>
      <c r="G1945" s="26">
        <f>IF(ISNUMBER(SEARCH("#",B1945)),VALUE(MID(B1945,FIND("#",B1945)+1,1000)),1)</f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.75" thickBot="1" x14ac:dyDescent="0.3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>IF(ISNUMBER(SEARCH("#",B1946)), LEFT(B1946,FIND("#",B1946)-1), B1946)</f>
        <v xml:space="preserve">Wine Bottle: Champagne </v>
      </c>
      <c r="G1946" s="26">
        <f>IF(ISNUMBER(SEARCH("#",B1946)),VALUE(MID(B1946,FIND("#",B1946)+1,1000)),1)</f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.75" thickBot="1" x14ac:dyDescent="0.3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>IF(ISNUMBER(SEARCH("#",B1947)), LEFT(B1947,FIND("#",B1947)-1), B1947)</f>
        <v>Wine Bottle: Red</v>
      </c>
      <c r="G1947" s="26">
        <f>IF(ISNUMBER(SEARCH("#",B1947)),VALUE(MID(B1947,FIND("#",B1947)+1,1000)),1)</f>
        <v>1</v>
      </c>
      <c r="H1947" t="str">
        <f>IF(AND(regexMatch(B1947,".*#[0-9]*$"),ISNUMBER(SEARCH("#",B1947))),CONCATENATE(TRIM(F1947)," #",G1947),B1947)</f>
        <v>Wine Bottle: Red</v>
      </c>
    </row>
    <row r="1948" spans="1:8" ht="15.75" thickBot="1" x14ac:dyDescent="0.3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>IF(ISNUMBER(SEARCH("#",B1948)), LEFT(B1948,FIND("#",B1948)-1), B1948)</f>
        <v>Wine Bottle: Red Plonk</v>
      </c>
      <c r="G1948" s="26">
        <f>IF(ISNUMBER(SEARCH("#",B1948)),VALUE(MID(B1948,FIND("#",B1948)+1,1000)),1)</f>
        <v>1</v>
      </c>
      <c r="H1948" t="str">
        <f>IF(AND(regexMatch(B1948,".*#[0-9]*$"),ISNUMBER(SEARCH("#",B1948))),CONCATENATE(TRIM(F1948)," #",G1948),B1948)</f>
        <v>Wine Bottle: Red Plonk</v>
      </c>
    </row>
    <row r="1949" spans="1:8" ht="15.75" thickBot="1" x14ac:dyDescent="0.3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>IF(ISNUMBER(SEARCH("#",B1949)), LEFT(B1949,FIND("#",B1949)-1), B1949)</f>
        <v>Wine Bottle: Rose</v>
      </c>
      <c r="G1949" s="26">
        <f>IF(ISNUMBER(SEARCH("#",B1949)),VALUE(MID(B1949,FIND("#",B1949)+1,1000)),1)</f>
        <v>1</v>
      </c>
      <c r="H1949" t="str">
        <f>IF(AND(regexMatch(B1949,".*#[0-9]*$"),ISNUMBER(SEARCH("#",B1949))),CONCATENATE(TRIM(F1949)," #",G1949),B1949)</f>
        <v>Wine Bottle: Rose</v>
      </c>
    </row>
    <row r="1950" spans="1:8" ht="15.75" thickBot="1" x14ac:dyDescent="0.3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>IF(ISNUMBER(SEARCH("#",B1950)), LEFT(B1950,FIND("#",B1950)-1), B1950)</f>
        <v>Wine Bottle: Rose Plonk</v>
      </c>
      <c r="G1950" s="26">
        <f>IF(ISNUMBER(SEARCH("#",B1950)),VALUE(MID(B1950,FIND("#",B1950)+1,1000)),1)</f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.75" thickBot="1" x14ac:dyDescent="0.3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>IF(ISNUMBER(SEARCH("#",B1951)), LEFT(B1951,FIND("#",B1951)-1), B1951)</f>
        <v>Wine Bottle: White</v>
      </c>
      <c r="G1951" s="26">
        <f>IF(ISNUMBER(SEARCH("#",B1951)),VALUE(MID(B1951,FIND("#",B1951)+1,1000)),1)</f>
        <v>1</v>
      </c>
      <c r="H1951" t="str">
        <f>IF(AND(regexMatch(B1951,".*#[0-9]*$"),ISNUMBER(SEARCH("#",B1951))),CONCATENATE(TRIM(F1951)," #",G1951),B1951)</f>
        <v>Wine Bottle: White</v>
      </c>
    </row>
    <row r="1952" spans="1:8" ht="15.75" thickBot="1" x14ac:dyDescent="0.3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>IF(ISNUMBER(SEARCH("#",B1952)), LEFT(B1952,FIND("#",B1952)-1), B1952)</f>
        <v>Wine Bottle: White Plonk</v>
      </c>
      <c r="G1952" s="26">
        <f>IF(ISNUMBER(SEARCH("#",B1952)),VALUE(MID(B1952,FIND("#",B1952)+1,1000)),1)</f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.75" thickBot="1" x14ac:dyDescent="0.3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>IF(ISNUMBER(SEARCH("#",B1953)), LEFT(B1953,FIND("#",B1953)-1), B1953)</f>
        <v>Boxcar Handle</v>
      </c>
      <c r="G1953" s="26">
        <f>IF(ISNUMBER(SEARCH("#",B1953)),VALUE(MID(B1953,FIND("#",B1953)+1,1000)),1)</f>
        <v>1</v>
      </c>
      <c r="H1953" t="str">
        <f>IF(AND(regexMatch(B1953,".*#[0-9]*$"),ISNUMBER(SEARCH("#",B1953))),CONCATENATE(TRIM(F1953)," #",G1953),B1953)</f>
        <v>Boxcar Handle</v>
      </c>
    </row>
    <row r="1954" spans="1:8" ht="15.75" thickBot="1" x14ac:dyDescent="0.3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>IF(ISNUMBER(SEARCH("#",B1954)), LEFT(B1954,FIND("#",B1954)-1), B1954)</f>
        <v xml:space="preserve">Container </v>
      </c>
      <c r="G1954" s="26">
        <f>IF(ISNUMBER(SEARCH("#",B1954)),VALUE(MID(B1954,FIND("#",B1954)+1,1000)),1)</f>
        <v>1</v>
      </c>
      <c r="H1954" t="str">
        <f>IF(AND(regexMatch(B1954,".*#[0-9]*$"),ISNUMBER(SEARCH("#",B1954))),CONCATENATE(TRIM(F1954)," #",G1954),B1954)</f>
        <v>Container #1</v>
      </c>
    </row>
    <row r="1955" spans="1:8" ht="15.75" thickBot="1" x14ac:dyDescent="0.3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>IF(ISNUMBER(SEARCH("#",B1955)), LEFT(B1955,FIND("#",B1955)-1), B1955)</f>
        <v xml:space="preserve">Container </v>
      </c>
      <c r="G1955" s="26">
        <f>IF(ISNUMBER(SEARCH("#",B1955)),VALUE(MID(B1955,FIND("#",B1955)+1,1000)),1)</f>
        <v>2</v>
      </c>
      <c r="H1955" t="str">
        <f>IF(AND(regexMatch(B1955,".*#[0-9]*$"),ISNUMBER(SEARCH("#",B1955))),CONCATENATE(TRIM(F1955)," #",G1955),B1955)</f>
        <v>Container #2</v>
      </c>
    </row>
    <row r="1956" spans="1:8" ht="15.75" thickBot="1" x14ac:dyDescent="0.3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>IF(ISNUMBER(SEARCH("#",B1956)), LEFT(B1956,FIND("#",B1956)-1), B1956)</f>
        <v xml:space="preserve">Container </v>
      </c>
      <c r="G1956" s="26">
        <f>IF(ISNUMBER(SEARCH("#",B1956)),VALUE(MID(B1956,FIND("#",B1956)+1,1000)),1)</f>
        <v>3</v>
      </c>
      <c r="H1956" t="str">
        <f>IF(AND(regexMatch(B1956,".*#[0-9]*$"),ISNUMBER(SEARCH("#",B1956))),CONCATENATE(TRIM(F1956)," #",G1956),B1956)</f>
        <v>Container #3</v>
      </c>
    </row>
    <row r="1957" spans="1:8" ht="15.75" thickBot="1" x14ac:dyDescent="0.3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>IF(ISNUMBER(SEARCH("#",B1957)), LEFT(B1957,FIND("#",B1957)-1), B1957)</f>
        <v xml:space="preserve">Container </v>
      </c>
      <c r="G1957" s="26">
        <f>IF(ISNUMBER(SEARCH("#",B1957)),VALUE(MID(B1957,FIND("#",B1957)+1,1000)),1)</f>
        <v>4</v>
      </c>
      <c r="H1957" t="str">
        <f>IF(AND(regexMatch(B1957,".*#[0-9]*$"),ISNUMBER(SEARCH("#",B1957))),CONCATENATE(TRIM(F1957)," #",G1957),B1957)</f>
        <v>Container #4</v>
      </c>
    </row>
    <row r="1958" spans="1:8" ht="15.75" thickBot="1" x14ac:dyDescent="0.3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>IF(ISNUMBER(SEARCH("#",B1958)), LEFT(B1958,FIND("#",B1958)-1), B1958)</f>
        <v xml:space="preserve">Container </v>
      </c>
      <c r="G1958" s="26">
        <f>IF(ISNUMBER(SEARCH("#",B1958)),VALUE(MID(B1958,FIND("#",B1958)+1,1000)),1)</f>
        <v>5</v>
      </c>
      <c r="H1958" t="str">
        <f>IF(AND(regexMatch(B1958,".*#[0-9]*$"),ISNUMBER(SEARCH("#",B1958))),CONCATENATE(TRIM(F1958)," #",G1958),B1958)</f>
        <v>Container #5</v>
      </c>
    </row>
    <row r="1959" spans="1:8" ht="15.75" thickBot="1" x14ac:dyDescent="0.3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>IF(ISNUMBER(SEARCH("#",B1959)), LEFT(B1959,FIND("#",B1959)-1), B1959)</f>
        <v xml:space="preserve">Container </v>
      </c>
      <c r="G1959" s="26">
        <f>IF(ISNUMBER(SEARCH("#",B1959)),VALUE(MID(B1959,FIND("#",B1959)+1,1000)),1)</f>
        <v>6</v>
      </c>
      <c r="H1959" t="str">
        <f>IF(AND(regexMatch(B1959,".*#[0-9]*$"),ISNUMBER(SEARCH("#",B1959))),CONCATENATE(TRIM(F1959)," #",G1959),B1959)</f>
        <v>Container #6</v>
      </c>
    </row>
    <row r="1960" spans="1:8" ht="15.75" thickBot="1" x14ac:dyDescent="0.3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>IF(ISNUMBER(SEARCH("#",B1960)), LEFT(B1960,FIND("#",B1960)-1), B1960)</f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.75" thickBot="1" x14ac:dyDescent="0.3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>IF(ISNUMBER(SEARCH("#",B1961)), LEFT(B1961,FIND("#",B1961)-1), B1961)</f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.75" thickBot="1" x14ac:dyDescent="0.3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>IF(ISNUMBER(SEARCH("#",B1962)), LEFT(B1962,FIND("#",B1962)-1), B1962)</f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.75" thickBot="1" x14ac:dyDescent="0.3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>IF(ISNUMBER(SEARCH("#",B1963)), LEFT(B1963,FIND("#",B1963)-1), B1963)</f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.75" thickBot="1" x14ac:dyDescent="0.3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>IF(ISNUMBER(SEARCH("#",B1964)), LEFT(B1964,FIND("#",B1964)-1), B1964)</f>
        <v>Container (Hole)</v>
      </c>
      <c r="G1964" s="26">
        <f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.75" thickBot="1" x14ac:dyDescent="0.3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>IF(ISNUMBER(SEARCH("#",B1965)), LEFT(B1965,FIND("#",B1965)-1), B1965)</f>
        <v>Container (Old)</v>
      </c>
      <c r="G1965" s="26">
        <f>IF(ISNUMBER(SEARCH("#",B1965)),VALUE(MID(B1965,FIND("#",B1965)+1,1000)),1)</f>
        <v>1</v>
      </c>
      <c r="H1965" t="str">
        <f>IF(AND(regexMatch(B1965,".*#[0-9]*$"),ISNUMBER(SEARCH("#",B1965))),CONCATENATE(TRIM(F1965)," #",G1965),B1965)</f>
        <v>Container (Old)</v>
      </c>
    </row>
    <row r="1966" spans="1:8" ht="15.75" thickBot="1" x14ac:dyDescent="0.3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>IF(ISNUMBER(SEARCH("#",B1966)), LEFT(B1966,FIND("#",B1966)-1), B1966)</f>
        <v>Container Chiller Panel</v>
      </c>
      <c r="G1966" s="26">
        <f>IF(ISNUMBER(SEARCH("#",B1966)),VALUE(MID(B1966,FIND("#",B1966)+1,1000)),1)</f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.75" thickBot="1" x14ac:dyDescent="0.3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>IF(ISNUMBER(SEARCH("#",B1967)), LEFT(B1967,FIND("#",B1967)-1), B1967)</f>
        <v>Container Door</v>
      </c>
      <c r="G1967" s="26">
        <f>IF(ISNUMBER(SEARCH("#",B1967)),VALUE(MID(B1967,FIND("#",B1967)+1,1000)),1)</f>
        <v>1</v>
      </c>
      <c r="H1967" t="str">
        <f>IF(AND(regexMatch(B1967,".*#[0-9]*$"),ISNUMBER(SEARCH("#",B1967))),CONCATENATE(TRIM(F1967)," #",G1967),B1967)</f>
        <v>Container Door</v>
      </c>
    </row>
    <row r="1968" spans="1:8" ht="15.75" thickBot="1" x14ac:dyDescent="0.3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>IF(ISNUMBER(SEARCH("#",B1968)), LEFT(B1968,FIND("#",B1968)-1), B1968)</f>
        <v>Container Door Damaged</v>
      </c>
      <c r="G1968" s="26">
        <f>IF(ISNUMBER(SEARCH("#",B1968)),VALUE(MID(B1968,FIND("#",B1968)+1,1000)),1)</f>
        <v>1</v>
      </c>
      <c r="H1968" t="str">
        <f>IF(AND(regexMatch(B1968,".*#[0-9]*$"),ISNUMBER(SEARCH("#",B1968))),CONCATENATE(TRIM(F1968)," #",G1968),B1968)</f>
        <v>Container Door Damaged</v>
      </c>
    </row>
    <row r="1969" spans="1:8" ht="15.75" thickBot="1" x14ac:dyDescent="0.3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>IF(ISNUMBER(SEARCH("#",B1969)), LEFT(B1969,FIND("#",B1969)-1), B1969)</f>
        <v>Container Door L</v>
      </c>
      <c r="G1969" s="26">
        <f>IF(ISNUMBER(SEARCH("#",B1969)),VALUE(MID(B1969,FIND("#",B1969)+1,1000)),1)</f>
        <v>1</v>
      </c>
      <c r="H1969" t="str">
        <f>IF(AND(regexMatch(B1969,".*#[0-9]*$"),ISNUMBER(SEARCH("#",B1969))),CONCATENATE(TRIM(F1969)," #",G1969),B1969)</f>
        <v>Container Door L</v>
      </c>
    </row>
    <row r="1970" spans="1:8" ht="15.75" thickBot="1" x14ac:dyDescent="0.3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>IF(ISNUMBER(SEARCH("#",B1970)), LEFT(B1970,FIND("#",B1970)-1), B1970)</f>
        <v>Container Door R</v>
      </c>
      <c r="G1970" s="26">
        <f>IF(ISNUMBER(SEARCH("#",B1970)),VALUE(MID(B1970,FIND("#",B1970)+1,1000)),1)</f>
        <v>1</v>
      </c>
      <c r="H1970" t="str">
        <f>IF(AND(regexMatch(B1970,".*#[0-9]*$"),ISNUMBER(SEARCH("#",B1970))),CONCATENATE(TRIM(F1970)," #",G1970),B1970)</f>
        <v>Container Door R</v>
      </c>
    </row>
    <row r="1971" spans="1:8" ht="15.75" thickBot="1" x14ac:dyDescent="0.3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>IF(ISNUMBER(SEARCH("#",B1971)), LEFT(B1971,FIND("#",B1971)-1), B1971)</f>
        <v>Container Latch</v>
      </c>
      <c r="G1971" s="26">
        <f>IF(ISNUMBER(SEARCH("#",B1971)),VALUE(MID(B1971,FIND("#",B1971)+1,1000)),1)</f>
        <v>1</v>
      </c>
      <c r="H1971" t="str">
        <f>IF(AND(regexMatch(B1971,".*#[0-9]*$"),ISNUMBER(SEARCH("#",B1971))),CONCATENATE(TRIM(F1971)," #",G1971),B1971)</f>
        <v>Container Latch</v>
      </c>
    </row>
    <row r="1972" spans="1:8" ht="15.75" thickBot="1" x14ac:dyDescent="0.3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>IF(ISNUMBER(SEARCH("#",B1972)), LEFT(B1972,FIND("#",B1972)-1), B1972)</f>
        <v>Freight Container Door L</v>
      </c>
      <c r="G1972" s="26">
        <f>IF(ISNUMBER(SEARCH("#",B1972)),VALUE(MID(B1972,FIND("#",B1972)+1,1000)),1)</f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.75" thickBot="1" x14ac:dyDescent="0.3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>IF(ISNUMBER(SEARCH("#",B1973)), LEFT(B1973,FIND("#",B1973)-1), B1973)</f>
        <v>Freight Container Door R</v>
      </c>
      <c r="G1973" s="26">
        <f>IF(ISNUMBER(SEARCH("#",B1973)),VALUE(MID(B1973,FIND("#",B1973)+1,1000)),1)</f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.75" thickBot="1" x14ac:dyDescent="0.3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>IF(ISNUMBER(SEARCH("#",B1974)), LEFT(B1974,FIND("#",B1974)-1), B1974)</f>
        <v>Shipping Container</v>
      </c>
      <c r="G1974" s="26">
        <f>IF(ISNUMBER(SEARCH("#",B1974)),VALUE(MID(B1974,FIND("#",B1974)+1,1000)),1)</f>
        <v>1</v>
      </c>
      <c r="H1974" t="str">
        <f>IF(AND(regexMatch(B1974,".*#[0-9]*$"),ISNUMBER(SEARCH("#",B1974))),CONCATENATE(TRIM(F1974)," #",G1974),B1974)</f>
        <v>Shipping Container</v>
      </c>
    </row>
    <row r="1975" spans="1:8" ht="15.75" thickBot="1" x14ac:dyDescent="0.3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>IF(ISNUMBER(SEARCH("#",B1975)), LEFT(B1975,FIND("#",B1975)-1), B1975)</f>
        <v xml:space="preserve">Shipping Container Door L </v>
      </c>
      <c r="G1975" s="26">
        <f>IF(ISNUMBER(SEARCH("#",B1975)),VALUE(MID(B1975,FIND("#",B1975)+1,1000)),1)</f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.75" thickBot="1" x14ac:dyDescent="0.3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>IF(ISNUMBER(SEARCH("#",B1976)), LEFT(B1976,FIND("#",B1976)-1), B1976)</f>
        <v xml:space="preserve">Shipping Container Door L </v>
      </c>
      <c r="G1976" s="26">
        <f>IF(ISNUMBER(SEARCH("#",B1976)),VALUE(MID(B1976,FIND("#",B1976)+1,1000)),1)</f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.75" thickBot="1" x14ac:dyDescent="0.3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>IF(ISNUMBER(SEARCH("#",B1977)), LEFT(B1977,FIND("#",B1977)-1), B1977)</f>
        <v xml:space="preserve">Shipping Container Door R </v>
      </c>
      <c r="G1977" s="26">
        <f>IF(ISNUMBER(SEARCH("#",B1977)),VALUE(MID(B1977,FIND("#",B1977)+1,1000)),1)</f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.75" thickBot="1" x14ac:dyDescent="0.3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>IF(ISNUMBER(SEARCH("#",B1978)), LEFT(B1978,FIND("#",B1978)-1), B1978)</f>
        <v xml:space="preserve">Shipping Container Door R </v>
      </c>
      <c r="G1978" s="26">
        <f>IF(ISNUMBER(SEARCH("#",B1978)),VALUE(MID(B1978,FIND("#",B1978)+1,1000)),1)</f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.75" thickBot="1" x14ac:dyDescent="0.3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>IF(ISNUMBER(SEARCH("#",B1979)), LEFT(B1979,FIND("#",B1979)-1), B1979)</f>
        <v>Tanker Trailer</v>
      </c>
      <c r="G1979" s="26">
        <f>IF(ISNUMBER(SEARCH("#",B1979)),VALUE(MID(B1979,FIND("#",B1979)+1,1000)),1)</f>
        <v>1</v>
      </c>
      <c r="H1979" t="str">
        <f>IF(AND(regexMatch(B1979,".*#[0-9]*$"),ISNUMBER(SEARCH("#",B1979))),CONCATENATE(TRIM(F1979)," #",G1979),B1979)</f>
        <v>Tanker Trailer</v>
      </c>
    </row>
    <row r="1980" spans="1:8" ht="15.75" thickBot="1" x14ac:dyDescent="0.3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>IF(ISNUMBER(SEARCH("#",B1980)), LEFT(B1980,FIND("#",B1980)-1), B1980)</f>
        <v>Tipper Trailer (Lowered)</v>
      </c>
      <c r="G1980" s="26">
        <f>IF(ISNUMBER(SEARCH("#",B1980)),VALUE(MID(B1980,FIND("#",B1980)+1,1000)),1)</f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.75" thickBot="1" x14ac:dyDescent="0.3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>IF(ISNUMBER(SEARCH("#",B1981)), LEFT(B1981,FIND("#",B1981)-1), B1981)</f>
        <v>Tipper Trailer (Raised)</v>
      </c>
      <c r="G1981" s="26">
        <f>IF(ISNUMBER(SEARCH("#",B1981)),VALUE(MID(B1981,FIND("#",B1981)+1,1000)),1)</f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.75" thickBot="1" x14ac:dyDescent="0.3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>IF(ISNUMBER(SEARCH("#",B1982)), LEFT(B1982,FIND("#",B1982)-1), B1982)</f>
        <v>Tipper Truck Trailer (Snowy)</v>
      </c>
      <c r="G1982" s="26">
        <f>IF(ISNUMBER(SEARCH("#",B1982)),VALUE(MID(B1982,FIND("#",B1982)+1,1000)),1)</f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.75" thickBot="1" x14ac:dyDescent="0.3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>IF(ISNUMBER(SEARCH("#",B1983)), LEFT(B1983,FIND("#",B1983)-1), B1983)</f>
        <v>Trailer Door Closed</v>
      </c>
      <c r="G1983" s="26">
        <f>IF(ISNUMBER(SEARCH("#",B1983)),VALUE(MID(B1983,FIND("#",B1983)+1,1000)),1)</f>
        <v>1</v>
      </c>
      <c r="H1983" t="str">
        <f>IF(AND(regexMatch(B1983,".*#[0-9]*$"),ISNUMBER(SEARCH("#",B1983))),CONCATENATE(TRIM(F1983)," #",G1983),B1983)</f>
        <v>Trailer Door Closed</v>
      </c>
    </row>
    <row r="1984" spans="1:8" ht="15.75" thickBot="1" x14ac:dyDescent="0.3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>IF(ISNUMBER(SEARCH("#",B1984)), LEFT(B1984,FIND("#",B1984)-1), B1984)</f>
        <v>Trailer Door Open</v>
      </c>
      <c r="G1984" s="26">
        <f>IF(ISNUMBER(SEARCH("#",B1984)),VALUE(MID(B1984,FIND("#",B1984)+1,1000)),1)</f>
        <v>1</v>
      </c>
      <c r="H1984" t="str">
        <f>IF(AND(regexMatch(B1984,".*#[0-9]*$"),ISNUMBER(SEARCH("#",B1984))),CONCATENATE(TRIM(F1984)," #",G1984),B1984)</f>
        <v>Trailer Door Open</v>
      </c>
    </row>
    <row r="1985" spans="1:8" ht="15.75" thickBot="1" x14ac:dyDescent="0.3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>IF(ISNUMBER(SEARCH("#",B1985)), LEFT(B1985,FIND("#",B1985)-1), B1985)</f>
        <v>Truck Ladder</v>
      </c>
      <c r="G1985" s="26">
        <f>IF(ISNUMBER(SEARCH("#",B1985)),VALUE(MID(B1985,FIND("#",B1985)+1,1000)),1)</f>
        <v>1</v>
      </c>
      <c r="H1985" t="str">
        <f>IF(AND(regexMatch(B1985,".*#[0-9]*$"),ISNUMBER(SEARCH("#",B1985))),CONCATENATE(TRIM(F1985)," #",G1985),B1985)</f>
        <v>Truck Ladder</v>
      </c>
    </row>
    <row r="1986" spans="1:8" ht="15.75" thickBot="1" x14ac:dyDescent="0.3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>IF(ISNUMBER(SEARCH("#",B1986)), LEFT(B1986,FIND("#",B1986)-1), B1986)</f>
        <v>Truck Trailer</v>
      </c>
      <c r="G1986" s="26">
        <f>IF(ISNUMBER(SEARCH("#",B1986)),VALUE(MID(B1986,FIND("#",B1986)+1,1000)),1)</f>
        <v>1</v>
      </c>
      <c r="H1986" t="str">
        <f>IF(AND(regexMatch(B1986,".*#[0-9]*$"),ISNUMBER(SEARCH("#",B1986))),CONCATENATE(TRIM(F1986)," #",G1986),B1986)</f>
        <v>Truck Trailer</v>
      </c>
    </row>
    <row r="1987" spans="1:8" ht="15.75" thickBot="1" x14ac:dyDescent="0.3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>IF(ISNUMBER(SEARCH("#",B1987)), LEFT(B1987,FIND("#",B1987)-1), B1987)</f>
        <v>Car Jack</v>
      </c>
      <c r="G1987" s="26">
        <f>IF(ISNUMBER(SEARCH("#",B1987)),VALUE(MID(B1987,FIND("#",B1987)+1,1000)),1)</f>
        <v>1</v>
      </c>
      <c r="H1987" t="str">
        <f>IF(AND(regexMatch(B1987,".*#[0-9]*$"),ISNUMBER(SEARCH("#",B1987))),CONCATENATE(TRIM(F1987)," #",G1987),B1987)</f>
        <v>Car Jack</v>
      </c>
    </row>
    <row r="1988" spans="1:8" ht="15.75" thickBot="1" x14ac:dyDescent="0.3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>IF(ISNUMBER(SEARCH("#",B1988)), LEFT(B1988,FIND("#",B1988)-1), B1988)</f>
        <v xml:space="preserve">Car Mechanic Trolley </v>
      </c>
      <c r="G1988" s="26">
        <f>IF(ISNUMBER(SEARCH("#",B1988)),VALUE(MID(B1988,FIND("#",B1988)+1,1000)),1)</f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.75" thickBot="1" x14ac:dyDescent="0.3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>IF(ISNUMBER(SEARCH("#",B1989)), LEFT(B1989,FIND("#",B1989)-1), B1989)</f>
        <v xml:space="preserve">Car Mechanic Trolley </v>
      </c>
      <c r="G1989" s="26">
        <f>IF(ISNUMBER(SEARCH("#",B1989)),VALUE(MID(B1989,FIND("#",B1989)+1,1000)),1)</f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.75" thickBot="1" x14ac:dyDescent="0.3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>IF(ISNUMBER(SEARCH("#",B1990)), LEFT(B1990,FIND("#",B1990)-1), B1990)</f>
        <v>Engine Hoist</v>
      </c>
      <c r="G1990" s="26">
        <f>IF(ISNUMBER(SEARCH("#",B1990)),VALUE(MID(B1990,FIND("#",B1990)+1,1000)),1)</f>
        <v>1</v>
      </c>
      <c r="H1990" t="str">
        <f>IF(AND(regexMatch(B1990,".*#[0-9]*$"),ISNUMBER(SEARCH("#",B1990))),CONCATENATE(TRIM(F1990)," #",G1990),B1990)</f>
        <v>Engine Hoist</v>
      </c>
    </row>
    <row r="1991" spans="1:8" ht="15.75" thickBot="1" x14ac:dyDescent="0.3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>IF(ISNUMBER(SEARCH("#",B1991)), LEFT(B1991,FIND("#",B1991)-1), B1991)</f>
        <v>Fuel Hose</v>
      </c>
      <c r="G1991" s="26">
        <f>IF(ISNUMBER(SEARCH("#",B1991)),VALUE(MID(B1991,FIND("#",B1991)+1,1000)),1)</f>
        <v>1</v>
      </c>
      <c r="H1991" t="str">
        <f>IF(AND(regexMatch(B1991,".*#[0-9]*$"),ISNUMBER(SEARCH("#",B1991))),CONCATENATE(TRIM(F1991)," #",G1991),B1991)</f>
        <v>Fuel Hose</v>
      </c>
    </row>
    <row r="1992" spans="1:8" ht="15.75" thickBot="1" x14ac:dyDescent="0.3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>IF(ISNUMBER(SEARCH("#",B1992)), LEFT(B1992,FIND("#",B1992)-1), B1992)</f>
        <v>Fuel Nozzle</v>
      </c>
      <c r="G1992" s="26">
        <f>IF(ISNUMBER(SEARCH("#",B1992)),VALUE(MID(B1992,FIND("#",B1992)+1,1000)),1)</f>
        <v>1</v>
      </c>
      <c r="H1992" t="str">
        <f>IF(AND(regexMatch(B1992,".*#[0-9]*$"),ISNUMBER(SEARCH("#",B1992))),CONCATENATE(TRIM(F1992)," #",G1992),B1992)</f>
        <v>Fuel Nozzle</v>
      </c>
    </row>
    <row r="1993" spans="1:8" ht="15.75" thickBot="1" x14ac:dyDescent="0.3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>IF(ISNUMBER(SEARCH("#",B1993)), LEFT(B1993,FIND("#",B1993)-1), B1993)</f>
        <v>Oil Bottle</v>
      </c>
      <c r="G1993" s="26">
        <f>IF(ISNUMBER(SEARCH("#",B1993)),VALUE(MID(B1993,FIND("#",B1993)+1,1000)),1)</f>
        <v>1</v>
      </c>
      <c r="H1993" t="str">
        <f>IF(AND(regexMatch(B1993,".*#[0-9]*$"),ISNUMBER(SEARCH("#",B1993))),CONCATENATE(TRIM(F1993)," #",G1993),B1993)</f>
        <v>Oil Bottle</v>
      </c>
    </row>
    <row r="1994" spans="1:8" ht="15.75" thickBot="1" x14ac:dyDescent="0.3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.75" thickBot="1" x14ac:dyDescent="0.3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.75" thickBot="1" x14ac:dyDescent="0.3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>IF(ISNUMBER(SEARCH("#",B1996)), LEFT(B1996,FIND("#",B1996)-1), B1996)</f>
        <v xml:space="preserve">Oil Tub </v>
      </c>
      <c r="G1996" s="26">
        <f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.75" thickBot="1" x14ac:dyDescent="0.3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>IF(ISNUMBER(SEARCH("#",B1997)), LEFT(B1997,FIND("#",B1997)-1), B1997)</f>
        <v xml:space="preserve">Oil Tub </v>
      </c>
      <c r="G1997" s="26">
        <f>IF(ISNUMBER(SEARCH("#",B1997)),VALUE(MID(B1997,FIND("#",B1997)+1,1000)),1)</f>
        <v>2</v>
      </c>
      <c r="H1997" t="str">
        <f>IF(AND(regexMatch(B1997,".*#[0-9]*$"),ISNUMBER(SEARCH("#",B1997))),CONCATENATE(TRIM(F1997)," #",G1997),B1997)</f>
        <v>Oil Tub #2</v>
      </c>
    </row>
    <row r="1998" spans="1:8" ht="15.75" thickBot="1" x14ac:dyDescent="0.3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>IF(ISNUMBER(SEARCH("#",B1998)), LEFT(B1998,FIND("#",B1998)-1), B1998)</f>
        <v xml:space="preserve">Oil Tub </v>
      </c>
      <c r="G1998" s="26">
        <f>IF(ISNUMBER(SEARCH("#",B1998)),VALUE(MID(B1998,FIND("#",B1998)+1,1000)),1)</f>
        <v>3</v>
      </c>
      <c r="H1998" t="str">
        <f>IF(AND(regexMatch(B1998,".*#[0-9]*$"),ISNUMBER(SEARCH("#",B1998))),CONCATENATE(TRIM(F1998)," #",G1998),B1998)</f>
        <v>Oil Tub #3</v>
      </c>
    </row>
    <row r="1999" spans="1:8" ht="15.75" thickBot="1" x14ac:dyDescent="0.3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>IF(ISNUMBER(SEARCH("#",B1999)), LEFT(B1999,FIND("#",B1999)-1), B1999)</f>
        <v xml:space="preserve">Oil Tub </v>
      </c>
      <c r="G1999" s="26">
        <f>IF(ISNUMBER(SEARCH("#",B1999)),VALUE(MID(B1999,FIND("#",B1999)+1,1000)),1)</f>
        <v>4</v>
      </c>
      <c r="H1999" t="str">
        <f>IF(AND(regexMatch(B1999,".*#[0-9]*$"),ISNUMBER(SEARCH("#",B1999))),CONCATENATE(TRIM(F1999)," #",G1999),B1999)</f>
        <v>Oil Tub #4</v>
      </c>
    </row>
    <row r="2000" spans="1:8" ht="15.75" thickBot="1" x14ac:dyDescent="0.3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>IF(ISNUMBER(SEARCH("#",B2000)), LEFT(B2000,FIND("#",B2000)-1), B2000)</f>
        <v xml:space="preserve">Oil Tub </v>
      </c>
      <c r="G2000" s="26">
        <f>IF(ISNUMBER(SEARCH("#",B2000)),VALUE(MID(B2000,FIND("#",B2000)+1,1000)),1)</f>
        <v>5</v>
      </c>
      <c r="H2000" t="str">
        <f>IF(AND(regexMatch(B2000,".*#[0-9]*$"),ISNUMBER(SEARCH("#",B2000))),CONCATENATE(TRIM(F2000)," #",G2000),B2000)</f>
        <v>Oil Tub #5</v>
      </c>
    </row>
    <row r="2001" spans="1:8" ht="15.75" thickBot="1" x14ac:dyDescent="0.3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>IF(ISNUMBER(SEARCH("#",B2001)), LEFT(B2001,FIND("#",B2001)-1), B2001)</f>
        <v>Parts Box</v>
      </c>
      <c r="G2001" s="26">
        <f>IF(ISNUMBER(SEARCH("#",B2001)),VALUE(MID(B2001,FIND("#",B2001)+1,1000)),1)</f>
        <v>1</v>
      </c>
      <c r="H2001" t="str">
        <f>IF(AND(regexMatch(B2001,".*#[0-9]*$"),ISNUMBER(SEARCH("#",B2001))),CONCATENATE(TRIM(F2001)," #",G2001),B2001)</f>
        <v>Parts Box</v>
      </c>
    </row>
    <row r="2002" spans="1:8" ht="15.75" thickBot="1" x14ac:dyDescent="0.3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>IF(ISNUMBER(SEARCH("#",B2002)), LEFT(B2002,FIND("#",B2002)-1), B2002)</f>
        <v>Petrol Can</v>
      </c>
      <c r="G2002" s="26">
        <f>IF(ISNUMBER(SEARCH("#",B2002)),VALUE(MID(B2002,FIND("#",B2002)+1,1000)),1)</f>
        <v>1</v>
      </c>
      <c r="H2002" t="str">
        <f>IF(AND(regexMatch(B2002,".*#[0-9]*$"),ISNUMBER(SEARCH("#",B2002))),CONCATENATE(TRIM(F2002)," #",G2002),B2002)</f>
        <v>Petrol Can</v>
      </c>
    </row>
    <row r="2003" spans="1:8" ht="15.75" thickBot="1" x14ac:dyDescent="0.3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>IF(ISNUMBER(SEARCH("#",B2003)), LEFT(B2003,FIND("#",B2003)-1), B2003)</f>
        <v>Valet Cabinet</v>
      </c>
      <c r="G2003" s="26">
        <f>IF(ISNUMBER(SEARCH("#",B2003)),VALUE(MID(B2003,FIND("#",B2003)+1,1000)),1)</f>
        <v>1</v>
      </c>
      <c r="H2003" t="str">
        <f>IF(AND(regexMatch(B2003,".*#[0-9]*$"),ISNUMBER(SEARCH("#",B2003))),CONCATENATE(TRIM(F2003)," #",G2003),B2003)</f>
        <v>Valet Cabinet</v>
      </c>
    </row>
    <row r="2004" spans="1:8" ht="15.75" thickBot="1" x14ac:dyDescent="0.3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>IF(ISNUMBER(SEARCH("#",B2004)), LEFT(B2004,FIND("#",B2004)-1), B2004)</f>
        <v>BBQ Bricks</v>
      </c>
      <c r="G2004" s="26">
        <f>IF(ISNUMBER(SEARCH("#",B2004)),VALUE(MID(B2004,FIND("#",B2004)+1,1000)),1)</f>
        <v>1</v>
      </c>
      <c r="H2004" t="str">
        <f>IF(AND(regexMatch(B2004,".*#[0-9]*$"),ISNUMBER(SEARCH("#",B2004))),CONCATENATE(TRIM(F2004)," #",G2004),B2004)</f>
        <v>BBQ Bricks</v>
      </c>
    </row>
    <row r="2005" spans="1:8" ht="15.75" thickBot="1" x14ac:dyDescent="0.3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>IF(ISNUMBER(SEARCH("#",B2005)), LEFT(B2005,FIND("#",B2005)-1), B2005)</f>
        <v xml:space="preserve">BBQ Gas </v>
      </c>
      <c r="G2005" s="26">
        <f>IF(ISNUMBER(SEARCH("#",B2005)),VALUE(MID(B2005,FIND("#",B2005)+1,1000)),1)</f>
        <v>1</v>
      </c>
      <c r="H2005" t="str">
        <f>IF(AND(regexMatch(B2005,".*#[0-9]*$"),ISNUMBER(SEARCH("#",B2005))),CONCATENATE(TRIM(F2005)," #",G2005),B2005)</f>
        <v>BBQ Gas #1</v>
      </c>
    </row>
    <row r="2006" spans="1:8" ht="15.75" thickBot="1" x14ac:dyDescent="0.3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>IF(ISNUMBER(SEARCH("#",B2006)), LEFT(B2006,FIND("#",B2006)-1), B2006)</f>
        <v xml:space="preserve">BBQ Gas </v>
      </c>
      <c r="G2006" s="26">
        <f>IF(ISNUMBER(SEARCH("#",B2006)),VALUE(MID(B2006,FIND("#",B2006)+1,1000)),1)</f>
        <v>2</v>
      </c>
      <c r="H2006" t="str">
        <f>IF(AND(regexMatch(B2006,".*#[0-9]*$"),ISNUMBER(SEARCH("#",B2006))),CONCATENATE(TRIM(F2006)," #",G2006),B2006)</f>
        <v>BBQ Gas #2</v>
      </c>
    </row>
    <row r="2007" spans="1:8" ht="15.75" thickBot="1" x14ac:dyDescent="0.3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>IF(ISNUMBER(SEARCH("#",B2007)), LEFT(B2007,FIND("#",B2007)-1), B2007)</f>
        <v>BBQ Grill</v>
      </c>
      <c r="G2007" s="26">
        <f>IF(ISNUMBER(SEARCH("#",B2007)),VALUE(MID(B2007,FIND("#",B2007)+1,1000)),1)</f>
        <v>1</v>
      </c>
      <c r="H2007" t="str">
        <f>IF(AND(regexMatch(B2007,".*#[0-9]*$"),ISNUMBER(SEARCH("#",B2007))),CONCATENATE(TRIM(F2007)," #",G2007),B2007)</f>
        <v>BBQ Grill</v>
      </c>
    </row>
    <row r="2008" spans="1:8" ht="15.75" thickBot="1" x14ac:dyDescent="0.3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>IF(ISNUMBER(SEARCH("#",B2008)), LEFT(B2008,FIND("#",B2008)-1), B2008)</f>
        <v>BBQ Kettle</v>
      </c>
      <c r="G2008" s="26">
        <f>IF(ISNUMBER(SEARCH("#",B2008)),VALUE(MID(B2008,FIND("#",B2008)+1,1000)),1)</f>
        <v>1</v>
      </c>
      <c r="H2008" t="str">
        <f>IF(AND(regexMatch(B2008,".*#[0-9]*$"),ISNUMBER(SEARCH("#",B2008))),CONCATENATE(TRIM(F2008)," #",G2008),B2008)</f>
        <v>BBQ Kettle</v>
      </c>
    </row>
    <row r="2009" spans="1:8" ht="15.75" thickBot="1" x14ac:dyDescent="0.3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>IF(ISNUMBER(SEARCH("#",B2009)), LEFT(B2009,FIND("#",B2009)-1), B2009)</f>
        <v xml:space="preserve">Bird Bath </v>
      </c>
      <c r="G2009" s="26">
        <f>IF(ISNUMBER(SEARCH("#",B2009)),VALUE(MID(B2009,FIND("#",B2009)+1,1000)),1)</f>
        <v>1</v>
      </c>
      <c r="H2009" t="str">
        <f>IF(AND(regexMatch(B2009,".*#[0-9]*$"),ISNUMBER(SEARCH("#",B2009))),CONCATENATE(TRIM(F2009)," #",G2009),B2009)</f>
        <v>Bird Bath #1</v>
      </c>
    </row>
    <row r="2010" spans="1:8" ht="15.75" thickBot="1" x14ac:dyDescent="0.3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>IF(ISNUMBER(SEARCH("#",B2010)), LEFT(B2010,FIND("#",B2010)-1), B2010)</f>
        <v xml:space="preserve">Bird Bath </v>
      </c>
      <c r="G2010" s="26">
        <f>IF(ISNUMBER(SEARCH("#",B2010)),VALUE(MID(B2010,FIND("#",B2010)+1,1000)),1)</f>
        <v>2</v>
      </c>
      <c r="H2010" t="str">
        <f>IF(AND(regexMatch(B2010,".*#[0-9]*$"),ISNUMBER(SEARCH("#",B2010))),CONCATENATE(TRIM(F2010)," #",G2010),B2010)</f>
        <v>Bird Bath #2</v>
      </c>
    </row>
    <row r="2011" spans="1:8" ht="15.75" thickBot="1" x14ac:dyDescent="0.3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>IF(ISNUMBER(SEARCH("#",B2011)), LEFT(B2011,FIND("#",B2011)-1), B2011)</f>
        <v>Bird Bath Tap</v>
      </c>
      <c r="G2011" s="26">
        <f>IF(ISNUMBER(SEARCH("#",B2011)),VALUE(MID(B2011,FIND("#",B2011)+1,1000)),1)</f>
        <v>1</v>
      </c>
      <c r="H2011" t="str">
        <f>IF(AND(regexMatch(B2011,".*#[0-9]*$"),ISNUMBER(SEARCH("#",B2011))),CONCATENATE(TRIM(F2011)," #",G2011),B2011)</f>
        <v>Bird Bath Tap</v>
      </c>
    </row>
    <row r="2012" spans="1:8" ht="15.75" thickBot="1" x14ac:dyDescent="0.3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>IF(ISNUMBER(SEARCH("#",B2012)), LEFT(B2012,FIND("#",B2012)-1), B2012)</f>
        <v>Bird On A Stick</v>
      </c>
      <c r="G2012" s="26">
        <f>IF(ISNUMBER(SEARCH("#",B2012)),VALUE(MID(B2012,FIND("#",B2012)+1,1000)),1)</f>
        <v>1</v>
      </c>
      <c r="H2012" t="str">
        <f>IF(AND(regexMatch(B2012,".*#[0-9]*$"),ISNUMBER(SEARCH("#",B2012))),CONCATENATE(TRIM(F2012)," #",G2012),B2012)</f>
        <v>Bird On A Stick</v>
      </c>
    </row>
    <row r="2013" spans="1:8" ht="15.75" thickBot="1" x14ac:dyDescent="0.3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>IF(ISNUMBER(SEARCH("#",B2013)), LEFT(B2013,FIND("#",B2013)-1), B2013)</f>
        <v>Butterfly On A Stick</v>
      </c>
      <c r="G2013" s="26">
        <f>IF(ISNUMBER(SEARCH("#",B2013)),VALUE(MID(B2013,FIND("#",B2013)+1,1000)),1)</f>
        <v>1</v>
      </c>
      <c r="H2013" t="str">
        <f>IF(AND(regexMatch(B2013,".*#[0-9]*$"),ISNUMBER(SEARCH("#",B2013))),CONCATENATE(TRIM(F2013)," #",G2013),B2013)</f>
        <v>Butterfly On A Stick</v>
      </c>
    </row>
    <row r="2014" spans="1:8" ht="15.75" thickBot="1" x14ac:dyDescent="0.3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>IF(ISNUMBER(SEARCH("#",B2014)), LEFT(B2014,FIND("#",B2014)-1), B2014)</f>
        <v>Dog Kennel</v>
      </c>
      <c r="G2014" s="26">
        <f>IF(ISNUMBER(SEARCH("#",B2014)),VALUE(MID(B2014,FIND("#",B2014)+1,1000)),1)</f>
        <v>1</v>
      </c>
      <c r="H2014" t="str">
        <f>IF(AND(regexMatch(B2014,".*#[0-9]*$"),ISNUMBER(SEARCH("#",B2014))),CONCATENATE(TRIM(F2014)," #",G2014),B2014)</f>
        <v>Dog Kennel</v>
      </c>
    </row>
    <row r="2015" spans="1:8" ht="15.75" thickBot="1" x14ac:dyDescent="0.3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>IF(ISNUMBER(SEARCH("#",B2015)), LEFT(B2015,FIND("#",B2015)-1), B2015)</f>
        <v>Flamingo Garden Ornament</v>
      </c>
      <c r="G2015" s="26">
        <f>IF(ISNUMBER(SEARCH("#",B2015)),VALUE(MID(B2015,FIND("#",B2015)+1,1000)),1)</f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.75" thickBot="1" x14ac:dyDescent="0.3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>IF(ISNUMBER(SEARCH("#",B2016)), LEFT(B2016,FIND("#",B2016)-1), B2016)</f>
        <v xml:space="preserve">Garden Chimes </v>
      </c>
      <c r="G2016" s="26">
        <f>IF(ISNUMBER(SEARCH("#",B2016)),VALUE(MID(B2016,FIND("#",B2016)+1,1000)),1)</f>
        <v>1</v>
      </c>
      <c r="H2016" t="str">
        <f>IF(AND(regexMatch(B2016,".*#[0-9]*$"),ISNUMBER(SEARCH("#",B2016))),CONCATENATE(TRIM(F2016)," #",G2016),B2016)</f>
        <v>Garden Chimes #1</v>
      </c>
    </row>
    <row r="2017" spans="1:8" ht="15.75" thickBot="1" x14ac:dyDescent="0.3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>IF(ISNUMBER(SEARCH("#",B2017)), LEFT(B2017,FIND("#",B2017)-1), B2017)</f>
        <v>Garden Dreamcatcher</v>
      </c>
      <c r="G2017" s="26">
        <f>IF(ISNUMBER(SEARCH("#",B2017)),VALUE(MID(B2017,FIND("#",B2017)+1,1000)),1)</f>
        <v>1</v>
      </c>
      <c r="H2017" t="str">
        <f>IF(AND(regexMatch(B2017,".*#[0-9]*$"),ISNUMBER(SEARCH("#",B2017))),CONCATENATE(TRIM(F2017)," #",G2017),B2017)</f>
        <v>Garden Dreamcatcher</v>
      </c>
    </row>
    <row r="2018" spans="1:8" ht="15.75" thickBot="1" x14ac:dyDescent="0.3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>IF(ISNUMBER(SEARCH("#",B2018)), LEFT(B2018,FIND("#",B2018)-1), B2018)</f>
        <v xml:space="preserve">Garden Gnome </v>
      </c>
      <c r="G2018" s="26">
        <f>IF(ISNUMBER(SEARCH("#",B2018)),VALUE(MID(B2018,FIND("#",B2018)+1,1000)),1)</f>
        <v>1</v>
      </c>
      <c r="H2018" t="str">
        <f>IF(AND(regexMatch(B2018,".*#[0-9]*$"),ISNUMBER(SEARCH("#",B2018))),CONCATENATE(TRIM(F2018)," #",G2018),B2018)</f>
        <v>Garden Gnome #1</v>
      </c>
    </row>
    <row r="2019" spans="1:8" ht="15.75" thickBot="1" x14ac:dyDescent="0.3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>IF(ISNUMBER(SEARCH("#",B2019)), LEFT(B2019,FIND("#",B2019)-1), B2019)</f>
        <v xml:space="preserve">Garden Gnome </v>
      </c>
      <c r="G2019" s="26">
        <f>IF(ISNUMBER(SEARCH("#",B2019)),VALUE(MID(B2019,FIND("#",B2019)+1,1000)),1)</f>
        <v>2</v>
      </c>
      <c r="H2019" t="str">
        <f>IF(AND(regexMatch(B2019,".*#[0-9]*$"),ISNUMBER(SEARCH("#",B2019))),CONCATENATE(TRIM(F2019)," #",G2019),B2019)</f>
        <v>Garden Gnome #2</v>
      </c>
    </row>
    <row r="2020" spans="1:8" ht="15.75" thickBot="1" x14ac:dyDescent="0.3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>IF(ISNUMBER(SEARCH("#",B2020)), LEFT(B2020,FIND("#",B2020)-1), B2020)</f>
        <v xml:space="preserve">Garden Gnome </v>
      </c>
      <c r="G2020" s="26">
        <f>IF(ISNUMBER(SEARCH("#",B2020)),VALUE(MID(B2020,FIND("#",B2020)+1,1000)),1)</f>
        <v>3</v>
      </c>
      <c r="H2020" t="str">
        <f>IF(AND(regexMatch(B2020,".*#[0-9]*$"),ISNUMBER(SEARCH("#",B2020))),CONCATENATE(TRIM(F2020)," #",G2020),B2020)</f>
        <v>Garden Gnome #3</v>
      </c>
    </row>
    <row r="2021" spans="1:8" ht="15.75" thickBot="1" x14ac:dyDescent="0.3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>IF(ISNUMBER(SEARCH("#",B2021)), LEFT(B2021,FIND("#",B2021)-1), B2021)</f>
        <v>Garden Windmill</v>
      </c>
      <c r="G2021" s="26">
        <f>IF(ISNUMBER(SEARCH("#",B2021)),VALUE(MID(B2021,FIND("#",B2021)+1,1000)),1)</f>
        <v>1</v>
      </c>
      <c r="H2021" t="str">
        <f>IF(AND(regexMatch(B2021,".*#[0-9]*$"),ISNUMBER(SEARCH("#",B2021))),CONCATENATE(TRIM(F2021)," #",G2021),B2021)</f>
        <v>Garden Windmill</v>
      </c>
    </row>
    <row r="2022" spans="1:8" ht="15.75" thickBot="1" x14ac:dyDescent="0.3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>IF(ISNUMBER(SEARCH("#",B2022)), LEFT(B2022,FIND("#",B2022)-1), B2022)</f>
        <v>Gazebo</v>
      </c>
      <c r="G2022" s="26">
        <f>IF(ISNUMBER(SEARCH("#",B2022)),VALUE(MID(B2022,FIND("#",B2022)+1,1000)),1)</f>
        <v>1</v>
      </c>
      <c r="H2022" t="str">
        <f>IF(AND(regexMatch(B2022,".*#[0-9]*$"),ISNUMBER(SEARCH("#",B2022))),CONCATENATE(TRIM(F2022)," #",G2022),B2022)</f>
        <v>Gazebo</v>
      </c>
    </row>
    <row r="2023" spans="1:8" ht="15.75" thickBot="1" x14ac:dyDescent="0.3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>IF(ISNUMBER(SEARCH("#",B2023)), LEFT(B2023,FIND("#",B2023)-1), B2023)</f>
        <v xml:space="preserve">Gazebo </v>
      </c>
      <c r="G2023" s="26">
        <f>IF(ISNUMBER(SEARCH("#",B2023)),VALUE(MID(B2023,FIND("#",B2023)+1,1000)),1)</f>
        <v>2</v>
      </c>
      <c r="H2023" t="str">
        <f>IF(AND(regexMatch(B2023,".*#[0-9]*$"),ISNUMBER(SEARCH("#",B2023))),CONCATENATE(TRIM(F2023)," #",G2023),B2023)</f>
        <v>Gazebo #2</v>
      </c>
    </row>
    <row r="2024" spans="1:8" ht="15.75" thickBot="1" x14ac:dyDescent="0.3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>IF(ISNUMBER(SEARCH("#",B2024)), LEFT(B2024,FIND("#",B2024)-1), B2024)</f>
        <v xml:space="preserve">Hose </v>
      </c>
      <c r="G2024" s="26">
        <f>IF(ISNUMBER(SEARCH("#",B2024)),VALUE(MID(B2024,FIND("#",B2024)+1,1000)),1)</f>
        <v>1</v>
      </c>
      <c r="H2024" t="str">
        <f>IF(AND(regexMatch(B2024,".*#[0-9]*$"),ISNUMBER(SEARCH("#",B2024))),CONCATENATE(TRIM(F2024)," #",G2024),B2024)</f>
        <v>Hose #1</v>
      </c>
    </row>
    <row r="2025" spans="1:8" ht="15.75" thickBot="1" x14ac:dyDescent="0.3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>IF(ISNUMBER(SEARCH("#",B2025)), LEFT(B2025,FIND("#",B2025)-1), B2025)</f>
        <v xml:space="preserve">Hose </v>
      </c>
      <c r="G2025" s="26">
        <f>IF(ISNUMBER(SEARCH("#",B2025)),VALUE(MID(B2025,FIND("#",B2025)+1,1000)),1)</f>
        <v>2</v>
      </c>
      <c r="H2025" t="str">
        <f>IF(AND(regexMatch(B2025,".*#[0-9]*$"),ISNUMBER(SEARCH("#",B2025))),CONCATENATE(TRIM(F2025)," #",G2025),B2025)</f>
        <v>Hose #2</v>
      </c>
    </row>
    <row r="2026" spans="1:8" ht="15.75" thickBot="1" x14ac:dyDescent="0.3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>IF(ISNUMBER(SEARCH("#",B2026)), LEFT(B2026,FIND("#",B2026)-1), B2026)</f>
        <v xml:space="preserve">Hose </v>
      </c>
      <c r="G2026" s="26">
        <f>IF(ISNUMBER(SEARCH("#",B2026)),VALUE(MID(B2026,FIND("#",B2026)+1,1000)),1)</f>
        <v>3</v>
      </c>
      <c r="H2026" t="str">
        <f>IF(AND(regexMatch(B2026,".*#[0-9]*$"),ISNUMBER(SEARCH("#",B2026))),CONCATENATE(TRIM(F2026)," #",G2026),B2026)</f>
        <v>Hose #3</v>
      </c>
    </row>
    <row r="2027" spans="1:8" ht="15.75" thickBot="1" x14ac:dyDescent="0.3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>IF(ISNUMBER(SEARCH("#",B2027)), LEFT(B2027,FIND("#",B2027)-1), B2027)</f>
        <v>Hose Nozzle</v>
      </c>
      <c r="G2027" s="26">
        <f>IF(ISNUMBER(SEARCH("#",B2027)),VALUE(MID(B2027,FIND("#",B2027)+1,1000)),1)</f>
        <v>1</v>
      </c>
      <c r="H2027" t="str">
        <f>IF(AND(regexMatch(B2027,".*#[0-9]*$"),ISNUMBER(SEARCH("#",B2027))),CONCATENATE(TRIM(F2027)," #",G2027),B2027)</f>
        <v>Hose Nozzle</v>
      </c>
    </row>
    <row r="2028" spans="1:8" ht="15.75" thickBot="1" x14ac:dyDescent="0.3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>IF(ISNUMBER(SEARCH("#",B2028)), LEFT(B2028,FIND("#",B2028)-1), B2028)</f>
        <v>Hot Tub (Covered)</v>
      </c>
      <c r="G2028" s="26">
        <f>IF(ISNUMBER(SEARCH("#",B2028)),VALUE(MID(B2028,FIND("#",B2028)+1,1000)),1)</f>
        <v>1</v>
      </c>
      <c r="H2028" t="str">
        <f>IF(AND(regexMatch(B2028,".*#[0-9]*$"),ISNUMBER(SEARCH("#",B2028))),CONCATENATE(TRIM(F2028)," #",G2028),B2028)</f>
        <v>Hot Tub (Covered)</v>
      </c>
    </row>
    <row r="2029" spans="1:8" ht="15.75" thickBot="1" x14ac:dyDescent="0.3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>IF(ISNUMBER(SEARCH("#",B2029)), LEFT(B2029,FIND("#",B2029)-1), B2029)</f>
        <v xml:space="preserve">Lawnmower </v>
      </c>
      <c r="G2029" s="26">
        <f>IF(ISNUMBER(SEARCH("#",B2029)),VALUE(MID(B2029,FIND("#",B2029)+1,1000)),1)</f>
        <v>1</v>
      </c>
      <c r="H2029" t="str">
        <f>IF(AND(regexMatch(B2029,".*#[0-9]*$"),ISNUMBER(SEARCH("#",B2029))),CONCATENATE(TRIM(F2029)," #",G2029),B2029)</f>
        <v>Lawnmower #1</v>
      </c>
    </row>
    <row r="2030" spans="1:8" ht="15.75" thickBot="1" x14ac:dyDescent="0.3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>IF(ISNUMBER(SEARCH("#",B2030)), LEFT(B2030,FIND("#",B2030)-1), B2030)</f>
        <v>Outdoor Tap</v>
      </c>
      <c r="G2030" s="26">
        <f>IF(ISNUMBER(SEARCH("#",B2030)),VALUE(MID(B2030,FIND("#",B2030)+1,1000)),1)</f>
        <v>1</v>
      </c>
      <c r="H2030" t="str">
        <f>IF(AND(regexMatch(B2030,".*#[0-9]*$"),ISNUMBER(SEARCH("#",B2030))),CONCATENATE(TRIM(F2030)," #",G2030),B2030)</f>
        <v>Outdoor Tap</v>
      </c>
    </row>
    <row r="2031" spans="1:8" ht="15.75" thickBot="1" x14ac:dyDescent="0.3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>IF(ISNUMBER(SEARCH("#",B2031)), LEFT(B2031,FIND("#",B2031)-1), B2031)</f>
        <v xml:space="preserve">Parasol </v>
      </c>
      <c r="G2031" s="26">
        <f>IF(ISNUMBER(SEARCH("#",B2031)),VALUE(MID(B2031,FIND("#",B2031)+1,1000)),1)</f>
        <v>1</v>
      </c>
      <c r="H2031" t="str">
        <f>IF(AND(regexMatch(B2031,".*#[0-9]*$"),ISNUMBER(SEARCH("#",B2031))),CONCATENATE(TRIM(F2031)," #",G2031),B2031)</f>
        <v>Parasol #1</v>
      </c>
    </row>
    <row r="2032" spans="1:8" ht="15.75" thickBot="1" x14ac:dyDescent="0.3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>IF(ISNUMBER(SEARCH("#",B2032)), LEFT(B2032,FIND("#",B2032)-1), B2032)</f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.75" thickBot="1" x14ac:dyDescent="0.3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>IF(ISNUMBER(SEARCH("#",B2033)), LEFT(B2033,FIND("#",B2033)-1), B2033)</f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.75" thickBot="1" x14ac:dyDescent="0.3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>IF(ISNUMBER(SEARCH("#",B2034)), LEFT(B2034,FIND("#",B2034)-1), B2034)</f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.75" thickBot="1" x14ac:dyDescent="0.3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>IF(ISNUMBER(SEARCH("#",B2035)), LEFT(B2035,FIND("#",B2035)-1), B2035)</f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.75" thickBot="1" x14ac:dyDescent="0.3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>IF(ISNUMBER(SEARCH("#",B2036)), LEFT(B2036,FIND("#",B2036)-1), B2036)</f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.75" thickBot="1" x14ac:dyDescent="0.3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>IF(ISNUMBER(SEARCH("#",B2037)), LEFT(B2037,FIND("#",B2037)-1), B2037)</f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.75" thickBot="1" x14ac:dyDescent="0.3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>IF(ISNUMBER(SEARCH("#",B2038)), LEFT(B2038,FIND("#",B2038)-1), B2038)</f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.75" thickBot="1" x14ac:dyDescent="0.3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>IF(ISNUMBER(SEARCH("#",B2039)), LEFT(B2039,FIND("#",B2039)-1), B2039)</f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.75" thickBot="1" x14ac:dyDescent="0.3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>IF(ISNUMBER(SEARCH("#",B2040)), LEFT(B2040,FIND("#",B2040)-1), B2040)</f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.75" thickBot="1" x14ac:dyDescent="0.3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>IF(ISNUMBER(SEARCH("#",B2041)), LEFT(B2041,FIND("#",B2041)-1), B2041)</f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.75" thickBot="1" x14ac:dyDescent="0.3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>IF(ISNUMBER(SEARCH("#",B2042)), LEFT(B2042,FIND("#",B2042)-1), B2042)</f>
        <v xml:space="preserve">Parasol </v>
      </c>
      <c r="G2042" s="26">
        <f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.75" thickBot="1" x14ac:dyDescent="0.3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>IF(ISNUMBER(SEARCH("#",B2043)), LEFT(B2043,FIND("#",B2043)-1), B2043)</f>
        <v xml:space="preserve">Parasol </v>
      </c>
      <c r="G2043" s="26">
        <f>IF(ISNUMBER(SEARCH("#",B2043)),VALUE(MID(B2043,FIND("#",B2043)+1,1000)),1)</f>
        <v>7</v>
      </c>
      <c r="H2043" t="str">
        <f>IF(AND(regexMatch(B2043,".*#[0-9]*$"),ISNUMBER(SEARCH("#",B2043))),CONCATENATE(TRIM(F2043)," #",G2043),B2043)</f>
        <v>Parasol #7</v>
      </c>
    </row>
    <row r="2044" spans="1:8" ht="15.75" thickBot="1" x14ac:dyDescent="0.3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>IF(ISNUMBER(SEARCH("#",B2044)), LEFT(B2044,FIND("#",B2044)-1), B2044)</f>
        <v xml:space="preserve">Parasol </v>
      </c>
      <c r="G2044" s="26">
        <f>IF(ISNUMBER(SEARCH("#",B2044)),VALUE(MID(B2044,FIND("#",B2044)+1,1000)),1)</f>
        <v>8</v>
      </c>
      <c r="H2044" t="str">
        <f>IF(AND(regexMatch(B2044,".*#[0-9]*$"),ISNUMBER(SEARCH("#",B2044))),CONCATENATE(TRIM(F2044)," #",G2044),B2044)</f>
        <v>Parasol #8</v>
      </c>
    </row>
    <row r="2045" spans="1:8" ht="15.75" thickBot="1" x14ac:dyDescent="0.3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>IF(ISNUMBER(SEARCH("#",B2045)), LEFT(B2045,FIND("#",B2045)-1), B2045)</f>
        <v xml:space="preserve">Parasol </v>
      </c>
      <c r="G2045" s="26">
        <f>IF(ISNUMBER(SEARCH("#",B2045)),VALUE(MID(B2045,FIND("#",B2045)+1,1000)),1)</f>
        <v>9</v>
      </c>
      <c r="H2045" t="str">
        <f>IF(AND(regexMatch(B2045,".*#[0-9]*$"),ISNUMBER(SEARCH("#",B2045))),CONCATENATE(TRIM(F2045)," #",G2045),B2045)</f>
        <v>Parasol #9</v>
      </c>
    </row>
    <row r="2046" spans="1:8" ht="15.75" thickBot="1" x14ac:dyDescent="0.3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>IF(ISNUMBER(SEARCH("#",B2046)), LEFT(B2046,FIND("#",B2046)-1), B2046)</f>
        <v xml:space="preserve">Parasol </v>
      </c>
      <c r="G2046" s="26">
        <f>IF(ISNUMBER(SEARCH("#",B2046)),VALUE(MID(B2046,FIND("#",B2046)+1,1000)),1)</f>
        <v>10</v>
      </c>
      <c r="H2046" t="str">
        <f>IF(AND(regexMatch(B2046,".*#[0-9]*$"),ISNUMBER(SEARCH("#",B2046))),CONCATENATE(TRIM(F2046)," #",G2046),B2046)</f>
        <v>Parasol #10</v>
      </c>
    </row>
    <row r="2047" spans="1:8" ht="15.75" thickBot="1" x14ac:dyDescent="0.3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>IF(ISNUMBER(SEARCH("#",B2047)), LEFT(B2047,FIND("#",B2047)-1), B2047)</f>
        <v xml:space="preserve">Parasol </v>
      </c>
      <c r="G2047" s="26">
        <f>IF(ISNUMBER(SEARCH("#",B2047)),VALUE(MID(B2047,FIND("#",B2047)+1,1000)),1)</f>
        <v>11</v>
      </c>
      <c r="H2047" t="str">
        <f>IF(AND(regexMatch(B2047,".*#[0-9]*$"),ISNUMBER(SEARCH("#",B2047))),CONCATENATE(TRIM(F2047)," #",G2047),B2047)</f>
        <v>Parasol #11</v>
      </c>
    </row>
    <row r="2048" spans="1:8" ht="15.75" thickBot="1" x14ac:dyDescent="0.3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>IF(ISNUMBER(SEARCH("#",B2048)), LEFT(B2048,FIND("#",B2048)-1), B2048)</f>
        <v>Patio Heater</v>
      </c>
      <c r="G2048" s="26">
        <f>IF(ISNUMBER(SEARCH("#",B2048)),VALUE(MID(B2048,FIND("#",B2048)+1,1000)),1)</f>
        <v>1</v>
      </c>
      <c r="H2048" t="str">
        <f>IF(AND(regexMatch(B2048,".*#[0-9]*$"),ISNUMBER(SEARCH("#",B2048))),CONCATENATE(TRIM(F2048)," #",G2048),B2048)</f>
        <v>Patio Heater</v>
      </c>
    </row>
    <row r="2049" spans="1:8" ht="15.75" thickBot="1" x14ac:dyDescent="0.3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>IF(ISNUMBER(SEARCH("#",B2049)), LEFT(B2049,FIND("#",B2049)-1), B2049)</f>
        <v xml:space="preserve">Pot Plant </v>
      </c>
      <c r="G2049" s="26">
        <f>IF(ISNUMBER(SEARCH("#",B2049)),VALUE(MID(B2049,FIND("#",B2049)+1,1000)),1)</f>
        <v>1</v>
      </c>
      <c r="H2049" t="str">
        <f>IF(AND(regexMatch(B2049,".*#[0-9]*$"),ISNUMBER(SEARCH("#",B2049))),CONCATENATE(TRIM(F2049)," #",G2049),B2049)</f>
        <v>Pot Plant #1</v>
      </c>
    </row>
    <row r="2050" spans="1:8" ht="15.75" thickBot="1" x14ac:dyDescent="0.3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>IF(ISNUMBER(SEARCH("#",B2050)), LEFT(B2050,FIND("#",B2050)-1), B2050)</f>
        <v xml:space="preserve">Pot Plant </v>
      </c>
      <c r="G2050" s="26">
        <f>IF(ISNUMBER(SEARCH("#",B2050)),VALUE(MID(B2050,FIND("#",B2050)+1,1000)),1)</f>
        <v>2</v>
      </c>
      <c r="H2050" t="str">
        <f>IF(AND(regexMatch(B2050,".*#[0-9]*$"),ISNUMBER(SEARCH("#",B2050))),CONCATENATE(TRIM(F2050)," #",G2050),B2050)</f>
        <v>Pot Plant #2</v>
      </c>
    </row>
    <row r="2051" spans="1:8" ht="15.75" thickBot="1" x14ac:dyDescent="0.3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>IF(ISNUMBER(SEARCH("#",B2051)), LEFT(B2051,FIND("#",B2051)-1), B2051)</f>
        <v xml:space="preserve">Pot Plant </v>
      </c>
      <c r="G2051" s="26">
        <f>IF(ISNUMBER(SEARCH("#",B2051)),VALUE(MID(B2051,FIND("#",B2051)+1,1000)),1)</f>
        <v>3</v>
      </c>
      <c r="H2051" t="str">
        <f>IF(AND(regexMatch(B2051,".*#[0-9]*$"),ISNUMBER(SEARCH("#",B2051))),CONCATENATE(TRIM(F2051)," #",G2051),B2051)</f>
        <v>Pot Plant #3</v>
      </c>
    </row>
    <row r="2052" spans="1:8" ht="15.75" thickBot="1" x14ac:dyDescent="0.3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>IF(ISNUMBER(SEARCH("#",B2052)), LEFT(B2052,FIND("#",B2052)-1), B2052)</f>
        <v xml:space="preserve">Pot Plant </v>
      </c>
      <c r="G2052" s="26">
        <f>IF(ISNUMBER(SEARCH("#",B2052)),VALUE(MID(B2052,FIND("#",B2052)+1,1000)),1)</f>
        <v>4</v>
      </c>
      <c r="H2052" t="str">
        <f>IF(AND(regexMatch(B2052,".*#[0-9]*$"),ISNUMBER(SEARCH("#",B2052))),CONCATENATE(TRIM(F2052)," #",G2052),B2052)</f>
        <v>Pot Plant #4</v>
      </c>
    </row>
    <row r="2053" spans="1:8" ht="15.75" thickBot="1" x14ac:dyDescent="0.3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>IF(ISNUMBER(SEARCH("#",B2053)), LEFT(B2053,FIND("#",B2053)-1), B2053)</f>
        <v xml:space="preserve">Pot Plant </v>
      </c>
      <c r="G2053" s="26">
        <f>IF(ISNUMBER(SEARCH("#",B2053)),VALUE(MID(B2053,FIND("#",B2053)+1,1000)),1)</f>
        <v>5</v>
      </c>
      <c r="H2053" t="str">
        <f>IF(AND(regexMatch(B2053,".*#[0-9]*$"),ISNUMBER(SEARCH("#",B2053))),CONCATENATE(TRIM(F2053)," #",G2053),B2053)</f>
        <v>Pot Plant #5</v>
      </c>
    </row>
    <row r="2054" spans="1:8" ht="15.75" thickBot="1" x14ac:dyDescent="0.3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>IF(ISNUMBER(SEARCH("#",B2054)), LEFT(B2054,FIND("#",B2054)-1), B2054)</f>
        <v xml:space="preserve">Sculpted Bush </v>
      </c>
      <c r="G2054" s="26">
        <f>IF(ISNUMBER(SEARCH("#",B2054)),VALUE(MID(B2054,FIND("#",B2054)+1,1000)),1)</f>
        <v>1</v>
      </c>
      <c r="H2054" t="str">
        <f>IF(AND(regexMatch(B2054,".*#[0-9]*$"),ISNUMBER(SEARCH("#",B2054))),CONCATENATE(TRIM(F2054)," #",G2054),B2054)</f>
        <v>Sculpted Bush #1</v>
      </c>
    </row>
    <row r="2055" spans="1:8" ht="15.75" thickBot="1" x14ac:dyDescent="0.3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>IF(ISNUMBER(SEARCH("#",B2055)), LEFT(B2055,FIND("#",B2055)-1), B2055)</f>
        <v xml:space="preserve">Sculpted Bush </v>
      </c>
      <c r="G2055" s="26">
        <f>IF(ISNUMBER(SEARCH("#",B2055)),VALUE(MID(B2055,FIND("#",B2055)+1,1000)),1)</f>
        <v>2</v>
      </c>
      <c r="H2055" t="str">
        <f>IF(AND(regexMatch(B2055,".*#[0-9]*$"),ISNUMBER(SEARCH("#",B2055))),CONCATENATE(TRIM(F2055)," #",G2055),B2055)</f>
        <v>Sculpted Bush #2</v>
      </c>
    </row>
    <row r="2056" spans="1:8" ht="15.75" thickBot="1" x14ac:dyDescent="0.3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>IF(ISNUMBER(SEARCH("#",B2056)), LEFT(B2056,FIND("#",B2056)-1), B2056)</f>
        <v>Snowman</v>
      </c>
      <c r="G2056" s="26">
        <f>IF(ISNUMBER(SEARCH("#",B2056)),VALUE(MID(B2056,FIND("#",B2056)+1,1000)),1)</f>
        <v>1</v>
      </c>
      <c r="H2056" t="str">
        <f>IF(AND(regexMatch(B2056,".*#[0-9]*$"),ISNUMBER(SEARCH("#",B2056))),CONCATENATE(TRIM(F2056)," #",G2056),B2056)</f>
        <v>Snowman</v>
      </c>
    </row>
    <row r="2057" spans="1:8" ht="15.75" thickBot="1" x14ac:dyDescent="0.3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>IF(ISNUMBER(SEARCH("#",B2057)), LEFT(B2057,FIND("#",B2057)-1), B2057)</f>
        <v xml:space="preserve">Stone Mushroom </v>
      </c>
      <c r="G2057" s="26">
        <f>IF(ISNUMBER(SEARCH("#",B2057)),VALUE(MID(B2057,FIND("#",B2057)+1,1000)),1)</f>
        <v>1</v>
      </c>
      <c r="H2057" t="str">
        <f>IF(AND(regexMatch(B2057,".*#[0-9]*$"),ISNUMBER(SEARCH("#",B2057))),CONCATENATE(TRIM(F2057)," #",G2057),B2057)</f>
        <v>Stone Mushroom #1</v>
      </c>
    </row>
    <row r="2058" spans="1:8" ht="15.75" thickBot="1" x14ac:dyDescent="0.3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>IF(ISNUMBER(SEARCH("#",B2058)), LEFT(B2058,FIND("#",B2058)-1), B2058)</f>
        <v xml:space="preserve">Stone Mushroom </v>
      </c>
      <c r="G2058" s="26">
        <f>IF(ISNUMBER(SEARCH("#",B2058)),VALUE(MID(B2058,FIND("#",B2058)+1,1000)),1)</f>
        <v>2</v>
      </c>
      <c r="H2058" t="str">
        <f>IF(AND(regexMatch(B2058,".*#[0-9]*$"),ISNUMBER(SEARCH("#",B2058))),CONCATENATE(TRIM(F2058)," #",G2058),B2058)</f>
        <v>Stone Mushroom #2</v>
      </c>
    </row>
    <row r="2059" spans="1:8" ht="15.75" thickBot="1" x14ac:dyDescent="0.3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>IF(ISNUMBER(SEARCH("#",B2059)), LEFT(B2059,FIND("#",B2059)-1), B2059)</f>
        <v>Trowel</v>
      </c>
      <c r="G2059" s="26">
        <f>IF(ISNUMBER(SEARCH("#",B2059)),VALUE(MID(B2059,FIND("#",B2059)+1,1000)),1)</f>
        <v>1</v>
      </c>
      <c r="H2059" t="str">
        <f>IF(AND(regexMatch(B2059,".*#[0-9]*$"),ISNUMBER(SEARCH("#",B2059))),CONCATENATE(TRIM(F2059)," #",G2059),B2059)</f>
        <v>Trowel</v>
      </c>
    </row>
    <row r="2060" spans="1:8" ht="15.75" thickBot="1" x14ac:dyDescent="0.3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>IF(ISNUMBER(SEARCH("#",B2060)), LEFT(B2060,FIND("#",B2060)-1), B2060)</f>
        <v>Watering Can</v>
      </c>
      <c r="G2060" s="26">
        <f>IF(ISNUMBER(SEARCH("#",B2060)),VALUE(MID(B2060,FIND("#",B2060)+1,1000)),1)</f>
        <v>1</v>
      </c>
      <c r="H2060" t="str">
        <f>IF(AND(regexMatch(B2060,".*#[0-9]*$"),ISNUMBER(SEARCH("#",B2060))),CONCATENATE(TRIM(F2060)," #",G2060),B2060)</f>
        <v>Watering Can</v>
      </c>
    </row>
    <row r="2061" spans="1:8" ht="15.75" thickBot="1" x14ac:dyDescent="0.3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>IF(ISNUMBER(SEARCH("#",B2061)), LEFT(B2061,FIND("#",B2061)-1), B2061)</f>
        <v xml:space="preserve">Wheelbarrow </v>
      </c>
      <c r="G2061" s="26">
        <f>IF(ISNUMBER(SEARCH("#",B2061)),VALUE(MID(B2061,FIND("#",B2061)+1,1000)),1)</f>
        <v>1</v>
      </c>
      <c r="H2061" t="str">
        <f>IF(AND(regexMatch(B2061,".*#[0-9]*$"),ISNUMBER(SEARCH("#",B2061))),CONCATENATE(TRIM(F2061)," #",G2061),B2061)</f>
        <v>Wheelbarrow #1</v>
      </c>
    </row>
    <row r="2062" spans="1:8" ht="15.75" thickBot="1" x14ac:dyDescent="0.3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>IF(ISNUMBER(SEARCH("#",B2062)), LEFT(B2062,FIND("#",B2062)-1), B2062)</f>
        <v xml:space="preserve">Wheelbarrow </v>
      </c>
      <c r="G2062" s="26">
        <f>IF(ISNUMBER(SEARCH("#",B2062)),VALUE(MID(B2062,FIND("#",B2062)+1,1000)),1)</f>
        <v>2</v>
      </c>
      <c r="H2062" t="str">
        <f>IF(AND(regexMatch(B2062,".*#[0-9]*$"),ISNUMBER(SEARCH("#",B2062))),CONCATENATE(TRIM(F2062)," #",G2062),B2062)</f>
        <v>Wheelbarrow #2</v>
      </c>
    </row>
    <row r="2063" spans="1:8" ht="15.75" thickBot="1" x14ac:dyDescent="0.3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>IF(ISNUMBER(SEARCH("#",B2063)), LEFT(B2063,FIND("#",B2063)-1), B2063)</f>
        <v>Window Box A</v>
      </c>
      <c r="G2063" s="26">
        <f>IF(ISNUMBER(SEARCH("#",B2063)),VALUE(MID(B2063,FIND("#",B2063)+1,1000)),1)</f>
        <v>1</v>
      </c>
      <c r="H2063" t="str">
        <f>IF(AND(regexMatch(B2063,".*#[0-9]*$"),ISNUMBER(SEARCH("#",B2063))),CONCATENATE(TRIM(F2063)," #",G2063),B2063)</f>
        <v>Window Box A</v>
      </c>
    </row>
    <row r="2064" spans="1:8" ht="15.75" thickBot="1" x14ac:dyDescent="0.3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>IF(ISNUMBER(SEARCH("#",B2064)), LEFT(B2064,FIND("#",B2064)-1), B2064)</f>
        <v>Window Box B</v>
      </c>
      <c r="G2064" s="26">
        <f>IF(ISNUMBER(SEARCH("#",B2064)),VALUE(MID(B2064,FIND("#",B2064)+1,1000)),1)</f>
        <v>1</v>
      </c>
      <c r="H2064" t="str">
        <f>IF(AND(regexMatch(B2064,".*#[0-9]*$"),ISNUMBER(SEARCH("#",B2064))),CONCATENATE(TRIM(F2064)," #",G2064),B2064)</f>
        <v>Window Box B</v>
      </c>
    </row>
    <row r="2065" spans="1:8" ht="15.75" thickBot="1" x14ac:dyDescent="0.3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>IF(ISNUMBER(SEARCH("#",B2065)), LEFT(B2065,FIND("#",B2065)-1), B2065)</f>
        <v>Window Box Broken</v>
      </c>
      <c r="G2065" s="26">
        <f>IF(ISNUMBER(SEARCH("#",B2065)),VALUE(MID(B2065,FIND("#",B2065)+1,1000)),1)</f>
        <v>1</v>
      </c>
      <c r="H2065" t="str">
        <f>IF(AND(regexMatch(B2065,".*#[0-9]*$"),ISNUMBER(SEARCH("#",B2065))),CONCATENATE(TRIM(F2065)," #",G2065),B2065)</f>
        <v>Window Box Broken</v>
      </c>
    </row>
    <row r="2066" spans="1:8" ht="15.75" thickBot="1" x14ac:dyDescent="0.3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>IF(ISNUMBER(SEARCH("#",B2066)), LEFT(B2066,FIND("#",B2066)-1), B2066)</f>
        <v>Window Box Small</v>
      </c>
      <c r="G2066" s="26">
        <f>IF(ISNUMBER(SEARCH("#",B2066)),VALUE(MID(B2066,FIND("#",B2066)+1,1000)),1)</f>
        <v>1</v>
      </c>
      <c r="H2066" t="str">
        <f>IF(AND(regexMatch(B2066,".*#[0-9]*$"),ISNUMBER(SEARCH("#",B2066))),CONCATENATE(TRIM(F2066)," #",G2066),B2066)</f>
        <v>Window Box Small</v>
      </c>
    </row>
    <row r="2067" spans="1:8" ht="15.75" thickBot="1" x14ac:dyDescent="0.3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>IF(ISNUMBER(SEARCH("#",B2067)), LEFT(B2067,FIND("#",B2067)-1), B2067)</f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.75" thickBot="1" x14ac:dyDescent="0.3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>IF(ISNUMBER(SEARCH("#",B2068)), LEFT(B2068,FIND("#",B2068)-1), B2068)</f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.75" thickBot="1" x14ac:dyDescent="0.3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>IF(ISNUMBER(SEARCH("#",B2069)), LEFT(B2069,FIND("#",B2069)-1), B2069)</f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.75" thickBot="1" x14ac:dyDescent="0.3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>IF(ISNUMBER(SEARCH("#",B2070)), LEFT(B2070,FIND("#",B2070)-1), B2070)</f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.75" thickBot="1" x14ac:dyDescent="0.3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>IF(ISNUMBER(SEARCH("#",B2071)), LEFT(B2071,FIND("#",B2071)-1), B2071)</f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.75" thickBot="1" x14ac:dyDescent="0.3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>IF(ISNUMBER(SEARCH("#",B2072)), LEFT(B2072,FIND("#",B2072)-1), B2072)</f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.75" thickBot="1" x14ac:dyDescent="0.3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>IF(ISNUMBER(SEARCH("#",B2073)), LEFT(B2073,FIND("#",B2073)-1), B2073)</f>
        <v>02gate3_l</v>
      </c>
      <c r="G2073" s="26">
        <f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.75" thickBot="1" x14ac:dyDescent="0.3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>IF(ISNUMBER(SEARCH("#",B2074)), LEFT(B2074,FIND("#",B2074)-1), B2074)</f>
        <v>Airport Gate</v>
      </c>
      <c r="G2074" s="26">
        <f>IF(ISNUMBER(SEARCH("#",B2074)),VALUE(MID(B2074,FIND("#",B2074)+1,1000)),1)</f>
        <v>1</v>
      </c>
      <c r="H2074" t="str">
        <f>IF(AND(regexMatch(B2074,".*#[0-9]*$"),ISNUMBER(SEARCH("#",B2074))),CONCATENATE(TRIM(F2074)," #",G2074),B2074)</f>
        <v>Airport Gate</v>
      </c>
    </row>
    <row r="2075" spans="1:8" ht="15.75" thickBot="1" x14ac:dyDescent="0.3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>IF(ISNUMBER(SEARCH("#",B2075)), LEFT(B2075,FIND("#",B2075)-1), B2075)</f>
        <v>Arm. Gate L</v>
      </c>
      <c r="G2075" s="26">
        <f>IF(ISNUMBER(SEARCH("#",B2075)),VALUE(MID(B2075,FIND("#",B2075)+1,1000)),1)</f>
        <v>1</v>
      </c>
      <c r="H2075" t="str">
        <f>IF(AND(regexMatch(B2075,".*#[0-9]*$"),ISNUMBER(SEARCH("#",B2075))),CONCATENATE(TRIM(F2075)," #",G2075),B2075)</f>
        <v>Arm. Gate L</v>
      </c>
    </row>
    <row r="2076" spans="1:8" ht="15.75" thickBot="1" x14ac:dyDescent="0.3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>IF(ISNUMBER(SEARCH("#",B2076)), LEFT(B2076,FIND("#",B2076)-1), B2076)</f>
        <v>Armenian Gate</v>
      </c>
      <c r="G2076" s="26">
        <f>IF(ISNUMBER(SEARCH("#",B2076)),VALUE(MID(B2076,FIND("#",B2076)+1,1000)),1)</f>
        <v>1</v>
      </c>
      <c r="H2076" t="str">
        <f>IF(AND(regexMatch(B2076,".*#[0-9]*$"),ISNUMBER(SEARCH("#",B2076))),CONCATENATE(TRIM(F2076)," #",G2076),B2076)</f>
        <v>Armenian Gate</v>
      </c>
    </row>
    <row r="2077" spans="1:8" ht="15.75" thickBot="1" x14ac:dyDescent="0.3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>IF(ISNUMBER(SEARCH("#",B2077)), LEFT(B2077,FIND("#",B2077)-1), B2077)</f>
        <v>Bridge Gate</v>
      </c>
      <c r="G2077" s="26">
        <f>IF(ISNUMBER(SEARCH("#",B2077)),VALUE(MID(B2077,FIND("#",B2077)+1,1000)),1)</f>
        <v>1</v>
      </c>
      <c r="H2077" t="str">
        <f>IF(AND(regexMatch(B2077,".*#[0-9]*$"),ISNUMBER(SEARCH("#",B2077))),CONCATENATE(TRIM(F2077)," #",G2077),B2077)</f>
        <v>Bridge Gate</v>
      </c>
    </row>
    <row r="2078" spans="1:8" ht="15.75" thickBot="1" x14ac:dyDescent="0.3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>IF(ISNUMBER(SEARCH("#",B2078)), LEFT(B2078,FIND("#",B2078)-1), B2078)</f>
        <v>Broken Cell Gate</v>
      </c>
      <c r="G2078" s="26">
        <f>IF(ISNUMBER(SEARCH("#",B2078)),VALUE(MID(B2078,FIND("#",B2078)+1,1000)),1)</f>
        <v>1</v>
      </c>
      <c r="H2078" t="str">
        <f>IF(AND(regexMatch(B2078,".*#[0-9]*$"),ISNUMBER(SEARCH("#",B2078))),CONCATENATE(TRIM(F2078)," #",G2078),B2078)</f>
        <v>Broken Cell Gate</v>
      </c>
    </row>
    <row r="2079" spans="1:8" ht="15.75" thickBot="1" x14ac:dyDescent="0.3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>IF(ISNUMBER(SEARCH("#",B2079)), LEFT(B2079,FIND("#",B2079)-1), B2079)</f>
        <v xml:space="preserve">Burto Gate </v>
      </c>
      <c r="G2079" s="26">
        <f>IF(ISNUMBER(SEARCH("#",B2079)),VALUE(MID(B2079,FIND("#",B2079)+1,1000)),1)</f>
        <v>1</v>
      </c>
      <c r="H2079" t="str">
        <f>IF(AND(regexMatch(B2079,".*#[0-9]*$"),ISNUMBER(SEARCH("#",B2079))),CONCATENATE(TRIM(F2079)," #",G2079),B2079)</f>
        <v>Burto Gate #1</v>
      </c>
    </row>
    <row r="2080" spans="1:8" ht="15.75" thickBot="1" x14ac:dyDescent="0.3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>IF(ISNUMBER(SEARCH("#",B2080)), LEFT(B2080,FIND("#",B2080)-1), B2080)</f>
        <v xml:space="preserve">Chain Link Fence Gate </v>
      </c>
      <c r="G2080" s="26">
        <f>IF(ISNUMBER(SEARCH("#",B2080)),VALUE(MID(B2080,FIND("#",B2080)+1,1000)),1)</f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.75" thickBot="1" x14ac:dyDescent="0.3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>IF(ISNUMBER(SEARCH("#",B2081)), LEFT(B2081,FIND("#",B2081)-1), B2081)</f>
        <v xml:space="preserve">Chain Link Fence Gate </v>
      </c>
      <c r="G2081" s="26">
        <f>IF(ISNUMBER(SEARCH("#",B2081)),VALUE(MID(B2081,FIND("#",B2081)+1,1000)),1)</f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.75" thickBot="1" x14ac:dyDescent="0.3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>IF(ISNUMBER(SEARCH("#",B2082)), LEFT(B2082,FIND("#",B2082)-1), B2082)</f>
        <v xml:space="preserve">Chain Link Fence Gate </v>
      </c>
      <c r="G2082" s="26">
        <f>IF(ISNUMBER(SEARCH("#",B2082)),VALUE(MID(B2082,FIND("#",B2082)+1,1000)),1)</f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.75" thickBot="1" x14ac:dyDescent="0.3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>IF(ISNUMBER(SEARCH("#",B2083)), LEFT(B2083,FIND("#",B2083)-1), B2083)</f>
        <v xml:space="preserve">Chain Link Fence Gate </v>
      </c>
      <c r="G2083" s="26">
        <f>IF(ISNUMBER(SEARCH("#",B2083)),VALUE(MID(B2083,FIND("#",B2083)+1,1000)),1)</f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.75" thickBot="1" x14ac:dyDescent="0.3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>IF(ISNUMBER(SEARCH("#",B2084)), LEFT(B2084,FIND("#",B2084)-1), B2084)</f>
        <v xml:space="preserve">Chain Link Fence Gate </v>
      </c>
      <c r="G2084" s="26">
        <f>IF(ISNUMBER(SEARCH("#",B2084)),VALUE(MID(B2084,FIND("#",B2084)+1,1000)),1)</f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.75" thickBot="1" x14ac:dyDescent="0.3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>IF(ISNUMBER(SEARCH("#",B2085)), LEFT(B2085,FIND("#",B2085)-1), B2085)</f>
        <v xml:space="preserve">Chain Link Fence Gate </v>
      </c>
      <c r="G2085" s="26">
        <f>IF(ISNUMBER(SEARCH("#",B2085)),VALUE(MID(B2085,FIND("#",B2085)+1,1000)),1)</f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.75" thickBot="1" x14ac:dyDescent="0.3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>IF(ISNUMBER(SEARCH("#",B2086)), LEFT(B2086,FIND("#",B2086)-1), B2086)</f>
        <v xml:space="preserve">Chain Link Fence Gate </v>
      </c>
      <c r="G2086" s="26">
        <f>IF(ISNUMBER(SEARCH("#",B2086)),VALUE(MID(B2086,FIND("#",B2086)+1,1000)),1)</f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.75" thickBot="1" x14ac:dyDescent="0.3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>IF(ISNUMBER(SEARCH("#",B2087)), LEFT(B2087,FIND("#",B2087)-1), B2087)</f>
        <v xml:space="preserve">Chain Link Fence Gate </v>
      </c>
      <c r="G2087" s="26">
        <f>IF(ISNUMBER(SEARCH("#",B2087)),VALUE(MID(B2087,FIND("#",B2087)+1,1000)),1)</f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.75" thickBot="1" x14ac:dyDescent="0.3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>IF(ISNUMBER(SEARCH("#",B2088)), LEFT(B2088,FIND("#",B2088)-1), B2088)</f>
        <v xml:space="preserve">Chain Link Fence Gate </v>
      </c>
      <c r="G2088" s="26">
        <f>IF(ISNUMBER(SEARCH("#",B2088)),VALUE(MID(B2088,FIND("#",B2088)+1,1000)),1)</f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.75" thickBot="1" x14ac:dyDescent="0.3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>IF(ISNUMBER(SEARCH("#",B2089)), LEFT(B2089,FIND("#",B2089)-1), B2089)</f>
        <v xml:space="preserve">Chain Link Fence Gate </v>
      </c>
      <c r="G2089" s="26">
        <f>IF(ISNUMBER(SEARCH("#",B2089)),VALUE(MID(B2089,FIND("#",B2089)+1,1000)),1)</f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.75" thickBot="1" x14ac:dyDescent="0.3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>IF(ISNUMBER(SEARCH("#",B2090)), LEFT(B2090,FIND("#",B2090)-1), B2090)</f>
        <v xml:space="preserve">Chain Link Fence Gate </v>
      </c>
      <c r="G2090" s="26">
        <f>IF(ISNUMBER(SEARCH("#",B2090)),VALUE(MID(B2090,FIND("#",B2090)+1,1000)),1)</f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.75" thickBot="1" x14ac:dyDescent="0.3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>IF(ISNUMBER(SEARCH("#",B2091)), LEFT(B2091,FIND("#",B2091)-1), B2091)</f>
        <v xml:space="preserve">Chain Link Fence Gate </v>
      </c>
      <c r="G2091" s="26">
        <f>IF(ISNUMBER(SEARCH("#",B2091)),VALUE(MID(B2091,FIND("#",B2091)+1,1000)),1)</f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.75" thickBot="1" x14ac:dyDescent="0.3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>IF(ISNUMBER(SEARCH("#",B2092)), LEFT(B2092,FIND("#",B2092)-1), B2092)</f>
        <v xml:space="preserve">Chain Link Fence Gate </v>
      </c>
      <c r="G2092" s="26">
        <f>IF(ISNUMBER(SEARCH("#",B2092)),VALUE(MID(B2092,FIND("#",B2092)+1,1000)),1)</f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.75" thickBot="1" x14ac:dyDescent="0.3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>IF(ISNUMBER(SEARCH("#",B2093)), LEFT(B2093,FIND("#",B2093)-1), B2093)</f>
        <v xml:space="preserve">Chain Link Fence Gate </v>
      </c>
      <c r="G2093" s="26">
        <f>IF(ISNUMBER(SEARCH("#",B2093)),VALUE(MID(B2093,FIND("#",B2093)+1,1000)),1)</f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.75" thickBot="1" x14ac:dyDescent="0.3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>IF(ISNUMBER(SEARCH("#",B2094)), LEFT(B2094,FIND("#",B2094)-1), B2094)</f>
        <v xml:space="preserve">Chain Link Fence Gate </v>
      </c>
      <c r="G2094" s="26">
        <f>IF(ISNUMBER(SEARCH("#",B2094)),VALUE(MID(B2094,FIND("#",B2094)+1,1000)),1)</f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.75" thickBot="1" x14ac:dyDescent="0.3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>IF(ISNUMBER(SEARCH("#",B2095)), LEFT(B2095,FIND("#",B2095)-1), B2095)</f>
        <v xml:space="preserve">Chain Link Fence Gate </v>
      </c>
      <c r="G2095" s="26">
        <f>IF(ISNUMBER(SEARCH("#",B2095)),VALUE(MID(B2095,FIND("#",B2095)+1,1000)),1)</f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.75" thickBot="1" x14ac:dyDescent="0.3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>IF(ISNUMBER(SEARCH("#",B2096)), LEFT(B2096,FIND("#",B2096)-1), B2096)</f>
        <v xml:space="preserve">Chain Link Fence Gate </v>
      </c>
      <c r="G2096" s="26">
        <f>IF(ISNUMBER(SEARCH("#",B2096)),VALUE(MID(B2096,FIND("#",B2096)+1,1000)),1)</f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.75" thickBot="1" x14ac:dyDescent="0.3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>IF(ISNUMBER(SEARCH("#",B2097)), LEFT(B2097,FIND("#",B2097)-1), B2097)</f>
        <v xml:space="preserve">Chain Link Fence Gate </v>
      </c>
      <c r="G2097" s="26">
        <f>IF(ISNUMBER(SEARCH("#",B2097)),VALUE(MID(B2097,FIND("#",B2097)+1,1000)),1)</f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.75" thickBot="1" x14ac:dyDescent="0.3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>IF(ISNUMBER(SEARCH("#",B2098)), LEFT(B2098,FIND("#",B2098)-1), B2098)</f>
        <v xml:space="preserve">Chain Link Fence Gate </v>
      </c>
      <c r="G2098" s="26">
        <f>IF(ISNUMBER(SEARCH("#",B2098)),VALUE(MID(B2098,FIND("#",B2098)+1,1000)),1)</f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.75" thickBot="1" x14ac:dyDescent="0.3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>IF(ISNUMBER(SEARCH("#",B2099)), LEFT(B2099,FIND("#",B2099)-1), B2099)</f>
        <v xml:space="preserve">Chain Link Fence Gate </v>
      </c>
      <c r="G2099" s="26">
        <f>IF(ISNUMBER(SEARCH("#",B2099)),VALUE(MID(B2099,FIND("#",B2099)+1,1000)),1)</f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.75" thickBot="1" x14ac:dyDescent="0.3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>IF(ISNUMBER(SEARCH("#",B2100)), LEFT(B2100,FIND("#",B2100)-1), B2100)</f>
        <v>Chemical Plant Grille</v>
      </c>
      <c r="G2100" s="26">
        <f>IF(ISNUMBER(SEARCH("#",B2100)),VALUE(MID(B2100,FIND("#",B2100)+1,1000)),1)</f>
        <v>1</v>
      </c>
      <c r="H2100" t="str">
        <f>IF(AND(regexMatch(B2100,".*#[0-9]*$"),ISNUMBER(SEARCH("#",B2100))),CONCATENATE(TRIM(F2100)," #",G2100),B2100)</f>
        <v>Chemical Plant Grille</v>
      </c>
    </row>
    <row r="2101" spans="1:8" ht="15.75" thickBot="1" x14ac:dyDescent="0.3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>IF(ISNUMBER(SEARCH("#",B2101)), LEFT(B2101,FIND("#",B2101)-1), B2101)</f>
        <v>Chemical Plant Grille Section</v>
      </c>
      <c r="G2101" s="26">
        <f>IF(ISNUMBER(SEARCH("#",B2101)),VALUE(MID(B2101,FIND("#",B2101)+1,1000)),1)</f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.75" thickBot="1" x14ac:dyDescent="0.3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>IF(ISNUMBER(SEARCH("#",B2102)), LEFT(B2102,FIND("#",B2102)-1), B2102)</f>
        <v>Cult Gate L</v>
      </c>
      <c r="G2102" s="26">
        <f>IF(ISNUMBER(SEARCH("#",B2102)),VALUE(MID(B2102,FIND("#",B2102)+1,1000)),1)</f>
        <v>1</v>
      </c>
      <c r="H2102" t="str">
        <f>IF(AND(regexMatch(B2102,".*#[0-9]*$"),ISNUMBER(SEARCH("#",B2102))),CONCATENATE(TRIM(F2102)," #",G2102),B2102)</f>
        <v>Cult Gate L</v>
      </c>
    </row>
    <row r="2103" spans="1:8" ht="15.75" thickBot="1" x14ac:dyDescent="0.3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>IF(ISNUMBER(SEARCH("#",B2103)), LEFT(B2103,FIND("#",B2103)-1), B2103)</f>
        <v>Cult Gate R</v>
      </c>
      <c r="G2103" s="26">
        <f>IF(ISNUMBER(SEARCH("#",B2103)),VALUE(MID(B2103,FIND("#",B2103)+1,1000)),1)</f>
        <v>1</v>
      </c>
      <c r="H2103" t="str">
        <f>IF(AND(regexMatch(B2103,".*#[0-9]*$"),ISNUMBER(SEARCH("#",B2103))),CONCATENATE(TRIM(F2103)," #",G2103),B2103)</f>
        <v>Cult Gate R</v>
      </c>
    </row>
    <row r="2104" spans="1:8" ht="15.75" thickBot="1" x14ac:dyDescent="0.3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>IF(ISNUMBER(SEARCH("#",B2104)), LEFT(B2104,FIND("#",B2104)-1), B2104)</f>
        <v>Docks Gate</v>
      </c>
      <c r="G2104" s="26">
        <f>IF(ISNUMBER(SEARCH("#",B2104)),VALUE(MID(B2104,FIND("#",B2104)+1,1000)),1)</f>
        <v>1</v>
      </c>
      <c r="H2104" t="str">
        <f>IF(AND(regexMatch(B2104,".*#[0-9]*$"),ISNUMBER(SEARCH("#",B2104))),CONCATENATE(TRIM(F2104)," #",G2104),B2104)</f>
        <v>Docks Gate</v>
      </c>
    </row>
    <row r="2105" spans="1:8" ht="15.75" thickBot="1" x14ac:dyDescent="0.3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>IF(ISNUMBER(SEARCH("#",B2105)), LEFT(B2105,FIND("#",B2105)-1), B2105)</f>
        <v>Epsilon Gate L</v>
      </c>
      <c r="G2105" s="26">
        <f>IF(ISNUMBER(SEARCH("#",B2105)),VALUE(MID(B2105,FIND("#",B2105)+1,1000)),1)</f>
        <v>1</v>
      </c>
      <c r="H2105" t="str">
        <f>IF(AND(regexMatch(B2105,".*#[0-9]*$"),ISNUMBER(SEARCH("#",B2105))),CONCATENATE(TRIM(F2105)," #",G2105),B2105)</f>
        <v>Epsilon Gate L</v>
      </c>
    </row>
    <row r="2106" spans="1:8" ht="15.75" thickBot="1" x14ac:dyDescent="0.3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>IF(ISNUMBER(SEARCH("#",B2106)), LEFT(B2106,FIND("#",B2106)-1), B2106)</f>
        <v>Epsilon Gate R</v>
      </c>
      <c r="G2106" s="26">
        <f>IF(ISNUMBER(SEARCH("#",B2106)),VALUE(MID(B2106,FIND("#",B2106)+1,1000)),1)</f>
        <v>1</v>
      </c>
      <c r="H2106" t="str">
        <f>IF(AND(regexMatch(B2106,".*#[0-9]*$"),ISNUMBER(SEARCH("#",B2106))),CONCATENATE(TRIM(F2106)," #",G2106),B2106)</f>
        <v>Epsilon Gate R</v>
      </c>
    </row>
    <row r="2107" spans="1:8" ht="15.75" thickBot="1" x14ac:dyDescent="0.3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>IF(ISNUMBER(SEARCH("#",B2107)), LEFT(B2107,FIND("#",B2107)-1), B2107)</f>
        <v>Facgate 03B L</v>
      </c>
      <c r="G2107" s="26">
        <f>IF(ISNUMBER(SEARCH("#",B2107)),VALUE(MID(B2107,FIND("#",B2107)+1,1000)),1)</f>
        <v>1</v>
      </c>
      <c r="H2107" t="str">
        <f>IF(AND(regexMatch(B2107,".*#[0-9]*$"),ISNUMBER(SEARCH("#",B2107))),CONCATENATE(TRIM(F2107)," #",G2107),B2107)</f>
        <v>Facgate 03B L</v>
      </c>
    </row>
    <row r="2108" spans="1:8" ht="15.75" thickBot="1" x14ac:dyDescent="0.3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>IF(ISNUMBER(SEARCH("#",B2108)), LEFT(B2108,FIND("#",B2108)-1), B2108)</f>
        <v>Facgate 03B R</v>
      </c>
      <c r="G2108" s="26">
        <f>IF(ISNUMBER(SEARCH("#",B2108)),VALUE(MID(B2108,FIND("#",B2108)+1,1000)),1)</f>
        <v>1</v>
      </c>
      <c r="H2108" t="str">
        <f>IF(AND(regexMatch(B2108,".*#[0-9]*$"),ISNUMBER(SEARCH("#",B2108))),CONCATENATE(TRIM(F2108)," #",G2108),B2108)</f>
        <v>Facgate 03B R</v>
      </c>
    </row>
    <row r="2109" spans="1:8" ht="15.75" thickBot="1" x14ac:dyDescent="0.3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>IF(ISNUMBER(SEARCH("#",B2109)), LEFT(B2109,FIND("#",B2109)-1), B2109)</f>
        <v>Facgate 08 Ld</v>
      </c>
      <c r="G2109" s="26">
        <f>IF(ISNUMBER(SEARCH("#",B2109)),VALUE(MID(B2109,FIND("#",B2109)+1,1000)),1)</f>
        <v>1</v>
      </c>
      <c r="H2109" t="str">
        <f>IF(AND(regexMatch(B2109,".*#[0-9]*$"),ISNUMBER(SEARCH("#",B2109))),CONCATENATE(TRIM(F2109)," #",G2109),B2109)</f>
        <v>Facgate 08 Ld</v>
      </c>
    </row>
    <row r="2110" spans="1:8" ht="15.75" thickBot="1" x14ac:dyDescent="0.3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>IF(ISNUMBER(SEARCH("#",B2110)), LEFT(B2110,FIND("#",B2110)-1), B2110)</f>
        <v xml:space="preserve">Factory Gate </v>
      </c>
      <c r="G2110" s="26">
        <f>IF(ISNUMBER(SEARCH("#",B2110)),VALUE(MID(B2110,FIND("#",B2110)+1,1000)),1)</f>
        <v>1</v>
      </c>
      <c r="H2110" t="str">
        <f>IF(AND(regexMatch(B2110,".*#[0-9]*$"),ISNUMBER(SEARCH("#",B2110))),CONCATENATE(TRIM(F2110)," #",G2110),B2110)</f>
        <v>Factory Gate #1</v>
      </c>
    </row>
    <row r="2111" spans="1:8" ht="15.75" thickBot="1" x14ac:dyDescent="0.3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>IF(ISNUMBER(SEARCH("#",B2111)), LEFT(B2111,FIND("#",B2111)-1), B2111)</f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.75" thickBot="1" x14ac:dyDescent="0.3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>IF(ISNUMBER(SEARCH("#",B2112)), LEFT(B2112,FIND("#",B2112)-1), B2112)</f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.75" thickBot="1" x14ac:dyDescent="0.3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>IF(ISNUMBER(SEARCH("#",B2113)), LEFT(B2113,FIND("#",B2113)-1), B2113)</f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.75" thickBot="1" x14ac:dyDescent="0.3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>IF(ISNUMBER(SEARCH("#",B2114)), LEFT(B2114,FIND("#",B2114)-1), B2114)</f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.75" thickBot="1" x14ac:dyDescent="0.3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>IF(ISNUMBER(SEARCH("#",B2115)), LEFT(B2115,FIND("#",B2115)-1), B2115)</f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.75" thickBot="1" x14ac:dyDescent="0.3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>IF(ISNUMBER(SEARCH("#",B2116)), LEFT(B2116,FIND("#",B2116)-1), B2116)</f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.75" thickBot="1" x14ac:dyDescent="0.3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>IF(ISNUMBER(SEARCH("#",B2117)), LEFT(B2117,FIND("#",B2117)-1), B2117)</f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.75" thickBot="1" x14ac:dyDescent="0.3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>IF(ISNUMBER(SEARCH("#",B2118)), LEFT(B2118,FIND("#",B2118)-1), B2118)</f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.75" thickBot="1" x14ac:dyDescent="0.3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>IF(ISNUMBER(SEARCH("#",B2119)), LEFT(B2119,FIND("#",B2119)-1), B2119)</f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.75" thickBot="1" x14ac:dyDescent="0.3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>IF(ISNUMBER(SEARCH("#",B2120)), LEFT(B2120,FIND("#",B2120)-1), B2120)</f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.75" thickBot="1" x14ac:dyDescent="0.3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>IF(ISNUMBER(SEARCH("#",B2121)), LEFT(B2121,FIND("#",B2121)-1), B2121)</f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.75" thickBot="1" x14ac:dyDescent="0.3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>IF(ISNUMBER(SEARCH("#",B2122)), LEFT(B2122,FIND("#",B2122)-1), B2122)</f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.75" thickBot="1" x14ac:dyDescent="0.3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>IF(ISNUMBER(SEARCH("#",B2123)), LEFT(B2123,FIND("#",B2123)-1), B2123)</f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.75" thickBot="1" x14ac:dyDescent="0.3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.75" thickBot="1" x14ac:dyDescent="0.3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>IF(ISNUMBER(SEARCH("#",B2125)), LEFT(B2125,FIND("#",B2125)-1), B2125)</f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.75" thickBot="1" x14ac:dyDescent="0.3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>IF(ISNUMBER(SEARCH("#",B2126)), LEFT(B2126,FIND("#",B2126)-1), B2126)</f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.75" thickBot="1" x14ac:dyDescent="0.3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>IF(ISNUMBER(SEARCH("#",B2127)), LEFT(B2127,FIND("#",B2127)-1), B2127)</f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.75" thickBot="1" x14ac:dyDescent="0.3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>IF(ISNUMBER(SEARCH("#",B2128)), LEFT(B2128,FIND("#",B2128)-1), B2128)</f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.75" thickBot="1" x14ac:dyDescent="0.3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>IF(ISNUMBER(SEARCH("#",B2129)), LEFT(B2129,FIND("#",B2129)-1), B2129)</f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.75" thickBot="1" x14ac:dyDescent="0.3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>IF(ISNUMBER(SEARCH("#",B2130)), LEFT(B2130,FIND("#",B2130)-1), B2130)</f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.75" thickBot="1" x14ac:dyDescent="0.3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>IF(ISNUMBER(SEARCH("#",B2131)), LEFT(B2131,FIND("#",B2131)-1), B2131)</f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.75" thickBot="1" x14ac:dyDescent="0.3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>IF(ISNUMBER(SEARCH("#",B2132)), LEFT(B2132,FIND("#",B2132)-1), B2132)</f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.75" thickBot="1" x14ac:dyDescent="0.3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>IF(ISNUMBER(SEARCH("#",B2133)), LEFT(B2133,FIND("#",B2133)-1), B2133)</f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.75" thickBot="1" x14ac:dyDescent="0.3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>IF(ISNUMBER(SEARCH("#",B2134)), LEFT(B2134,FIND("#",B2134)-1), B2134)</f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.75" thickBot="1" x14ac:dyDescent="0.3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>IF(ISNUMBER(SEARCH("#",B2135)), LEFT(B2135,FIND("#",B2135)-1), B2135)</f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.75" thickBot="1" x14ac:dyDescent="0.3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>IF(ISNUMBER(SEARCH("#",B2136)), LEFT(B2136,FIND("#",B2136)-1), B2136)</f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.75" thickBot="1" x14ac:dyDescent="0.3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>IF(ISNUMBER(SEARCH("#",B2137)), LEFT(B2137,FIND("#",B2137)-1), B2137)</f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.75" thickBot="1" x14ac:dyDescent="0.3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>IF(ISNUMBER(SEARCH("#",B2138)), LEFT(B2138,FIND("#",B2138)-1), B2138)</f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.75" thickBot="1" x14ac:dyDescent="0.3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>IF(ISNUMBER(SEARCH("#",B2139)), LEFT(B2139,FIND("#",B2139)-1), B2139)</f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.75" thickBot="1" x14ac:dyDescent="0.3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>IF(ISNUMBER(SEARCH("#",B2140)), LEFT(B2140,FIND("#",B2140)-1), B2140)</f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.75" thickBot="1" x14ac:dyDescent="0.3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>IF(ISNUMBER(SEARCH("#",B2141)), LEFT(B2141,FIND("#",B2141)-1), B2141)</f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.75" thickBot="1" x14ac:dyDescent="0.3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>IF(ISNUMBER(SEARCH("#",B2142)), LEFT(B2142,FIND("#",B2142)-1), B2142)</f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.75" thickBot="1" x14ac:dyDescent="0.3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>IF(ISNUMBER(SEARCH("#",B2143)), LEFT(B2143,FIND("#",B2143)-1), B2143)</f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.75" thickBot="1" x14ac:dyDescent="0.3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>IF(ISNUMBER(SEARCH("#",B2144)), LEFT(B2144,FIND("#",B2144)-1), B2144)</f>
        <v>Large Gate 01C L</v>
      </c>
      <c r="G2144" s="26">
        <f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.75" thickBot="1" x14ac:dyDescent="0.3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>IF(ISNUMBER(SEARCH("#",B2145)), LEFT(B2145,FIND("#",B2145)-1), B2145)</f>
        <v>Large Gate 01C R</v>
      </c>
      <c r="G2145" s="26">
        <f>IF(ISNUMBER(SEARCH("#",B2145)),VALUE(MID(B2145,FIND("#",B2145)+1,1000)),1)</f>
        <v>1</v>
      </c>
      <c r="H2145" t="str">
        <f>IF(AND(regexMatch(B2145,".*#[0-9]*$"),ISNUMBER(SEARCH("#",B2145))),CONCATENATE(TRIM(F2145)," #",G2145),B2145)</f>
        <v>Large Gate 01C R</v>
      </c>
    </row>
    <row r="2146" spans="1:8" ht="15.75" thickBot="1" x14ac:dyDescent="0.3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>IF(ISNUMBER(SEARCH("#",B2146)), LEFT(B2146,FIND("#",B2146)-1), B2146)</f>
        <v>Large Gate 03B Ld</v>
      </c>
      <c r="G2146" s="26">
        <f>IF(ISNUMBER(SEARCH("#",B2146)),VALUE(MID(B2146,FIND("#",B2146)+1,1000)),1)</f>
        <v>1</v>
      </c>
      <c r="H2146" t="str">
        <f>IF(AND(regexMatch(B2146,".*#[0-9]*$"),ISNUMBER(SEARCH("#",B2146))),CONCATENATE(TRIM(F2146)," #",G2146),B2146)</f>
        <v>Large Gate 03B Ld</v>
      </c>
    </row>
    <row r="2147" spans="1:8" ht="15.75" thickBot="1" x14ac:dyDescent="0.3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>IF(ISNUMBER(SEARCH("#",B2147)), LEFT(B2147,FIND("#",B2147)-1), B2147)</f>
        <v>Large Ornamental Gate L</v>
      </c>
      <c r="G2147" s="26">
        <f>IF(ISNUMBER(SEARCH("#",B2147)),VALUE(MID(B2147,FIND("#",B2147)+1,1000)),1)</f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.75" thickBot="1" x14ac:dyDescent="0.3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>IF(ISNUMBER(SEARCH("#",B2148)), LEFT(B2148,FIND("#",B2148)-1), B2148)</f>
        <v>Large Ornamental Gate R</v>
      </c>
      <c r="G2148" s="26">
        <f>IF(ISNUMBER(SEARCH("#",B2148)),VALUE(MID(B2148,FIND("#",B2148)+1,1000)),1)</f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.75" thickBot="1" x14ac:dyDescent="0.3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>IF(ISNUMBER(SEARCH("#",B2149)), LEFT(B2149,FIND("#",B2149)-1), B2149)</f>
        <v>Military Gate</v>
      </c>
      <c r="G2149" s="26">
        <f>IF(ISNUMBER(SEARCH("#",B2149)),VALUE(MID(B2149,FIND("#",B2149)+1,1000)),1)</f>
        <v>1</v>
      </c>
      <c r="H2149" t="str">
        <f>IF(AND(regexMatch(B2149,".*#[0-9]*$"),ISNUMBER(SEARCH("#",B2149))),CONCATENATE(TRIM(F2149)," #",G2149),B2149)</f>
        <v>Military Gate</v>
      </c>
    </row>
    <row r="2150" spans="1:8" ht="15.75" thickBot="1" x14ac:dyDescent="0.3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>IF(ISNUMBER(SEARCH("#",B2150)), LEFT(B2150,FIND("#",B2150)-1), B2150)</f>
        <v>P Gate Prison 01 S</v>
      </c>
      <c r="G2150" s="26">
        <f>IF(ISNUMBER(SEARCH("#",B2150)),VALUE(MID(B2150,FIND("#",B2150)+1,1000)),1)</f>
        <v>1</v>
      </c>
      <c r="H2150" t="str">
        <f>IF(AND(regexMatch(B2150,".*#[0-9]*$"),ISNUMBER(SEARCH("#",B2150))),CONCATENATE(TRIM(F2150)," #",G2150),B2150)</f>
        <v>P Gate Prison 01 S</v>
      </c>
    </row>
    <row r="2151" spans="1:8" ht="15.75" thickBot="1" x14ac:dyDescent="0.3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>IF(ISNUMBER(SEARCH("#",B2151)), LEFT(B2151,FIND("#",B2151)-1), B2151)</f>
        <v>p_sec_gate_01_s</v>
      </c>
      <c r="G2151" s="26">
        <f>IF(ISNUMBER(SEARCH("#",B2151)),VALUE(MID(B2151,FIND("#",B2151)+1,1000)),1)</f>
        <v>1</v>
      </c>
      <c r="H2151" t="str">
        <f>IF(AND(regexMatch(B2151,".*#[0-9]*$"),ISNUMBER(SEARCH("#",B2151))),CONCATENATE(TRIM(F2151)," #",G2151),B2151)</f>
        <v>p_sec_gate_01_s</v>
      </c>
    </row>
    <row r="2152" spans="1:8" ht="15.75" thickBot="1" x14ac:dyDescent="0.3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>IF(ISNUMBER(SEARCH("#",B2152)), LEFT(B2152,FIND("#",B2152)-1), B2152)</f>
        <v>p_sec_gate_01_s_col</v>
      </c>
      <c r="G2152" s="26">
        <f>IF(ISNUMBER(SEARCH("#",B2152)),VALUE(MID(B2152,FIND("#",B2152)+1,1000)),1)</f>
        <v>1</v>
      </c>
      <c r="H2152" t="str">
        <f>IF(AND(regexMatch(B2152,".*#[0-9]*$"),ISNUMBER(SEARCH("#",B2152))),CONCATENATE(TRIM(F2152)," #",G2152),B2152)</f>
        <v>p_sec_gate_01_s_col</v>
      </c>
    </row>
    <row r="2153" spans="1:8" ht="15.75" thickBot="1" x14ac:dyDescent="0.3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>IF(ISNUMBER(SEARCH("#",B2153)), LEFT(B2153,FIND("#",B2153)-1), B2153)</f>
        <v>Prison Gate</v>
      </c>
      <c r="G2153" s="26">
        <f>IF(ISNUMBER(SEARCH("#",B2153)),VALUE(MID(B2153,FIND("#",B2153)+1,1000)),1)</f>
        <v>1</v>
      </c>
      <c r="H2153" t="str">
        <f>IF(AND(regexMatch(B2153,".*#[0-9]*$"),ISNUMBER(SEARCH("#",B2153))),CONCATENATE(TRIM(F2153)," #",G2153),B2153)</f>
        <v>Prison Gate</v>
      </c>
    </row>
    <row r="2154" spans="1:8" ht="15.75" thickBot="1" x14ac:dyDescent="0.3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>IF(ISNUMBER(SEARCH("#",B2154)), LEFT(B2154,FIND("#",B2154)-1), B2154)</f>
        <v xml:space="preserve">Residential Fence Gate </v>
      </c>
      <c r="G2154" s="26">
        <f>IF(ISNUMBER(SEARCH("#",B2154)),VALUE(MID(B2154,FIND("#",B2154)+1,1000)),1)</f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.75" thickBot="1" x14ac:dyDescent="0.3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>IF(ISNUMBER(SEARCH("#",B2155)), LEFT(B2155,FIND("#",B2155)-1), B2155)</f>
        <v xml:space="preserve">Residential Fence Gate </v>
      </c>
      <c r="G2155" s="26">
        <f>IF(ISNUMBER(SEARCH("#",B2155)),VALUE(MID(B2155,FIND("#",B2155)+1,1000)),1)</f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.75" thickBot="1" x14ac:dyDescent="0.3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>IF(ISNUMBER(SEARCH("#",B2156)), LEFT(B2156,FIND("#",B2156)-1), B2156)</f>
        <v xml:space="preserve">Residential Fence Gate </v>
      </c>
      <c r="G2156" s="26">
        <f>IF(ISNUMBER(SEARCH("#",B2156)),VALUE(MID(B2156,FIND("#",B2156)+1,1000)),1)</f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.75" thickBot="1" x14ac:dyDescent="0.3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>IF(ISNUMBER(SEARCH("#",B2157)), LEFT(B2157,FIND("#",B2157)-1), B2157)</f>
        <v>Sc1 11 Gate</v>
      </c>
      <c r="G2157" s="26">
        <f>IF(ISNUMBER(SEARCH("#",B2157)),VALUE(MID(B2157,FIND("#",B2157)+1,1000)),1)</f>
        <v>1</v>
      </c>
      <c r="H2157" t="str">
        <f>IF(AND(regexMatch(B2157,".*#[0-9]*$"),ISNUMBER(SEARCH("#",B2157))),CONCATENATE(TRIM(F2157)," #",G2157),B2157)</f>
        <v>Sc1 11 Gate</v>
      </c>
    </row>
    <row r="2158" spans="1:8" ht="15.75" thickBot="1" x14ac:dyDescent="0.3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>IF(ISNUMBER(SEARCH("#",B2158)), LEFT(B2158,FIND("#",B2158)-1), B2158)</f>
        <v>Scrapyard Gate L</v>
      </c>
      <c r="G2158" s="26">
        <f>IF(ISNUMBER(SEARCH("#",B2158)),VALUE(MID(B2158,FIND("#",B2158)+1,1000)),1)</f>
        <v>1</v>
      </c>
      <c r="H2158" t="str">
        <f>IF(AND(regexMatch(B2158,".*#[0-9]*$"),ISNUMBER(SEARCH("#",B2158))),CONCATENATE(TRIM(F2158)," #",G2158),B2158)</f>
        <v>Scrapyard Gate L</v>
      </c>
    </row>
    <row r="2159" spans="1:8" ht="15.75" thickBot="1" x14ac:dyDescent="0.3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>IF(ISNUMBER(SEARCH("#",B2159)), LEFT(B2159,FIND("#",B2159)-1), B2159)</f>
        <v>Scrapyard Gate R</v>
      </c>
      <c r="G2159" s="26">
        <f>IF(ISNUMBER(SEARCH("#",B2159)),VALUE(MID(B2159,FIND("#",B2159)+1,1000)),1)</f>
        <v>1</v>
      </c>
      <c r="H2159" t="str">
        <f>IF(AND(regexMatch(B2159,".*#[0-9]*$"),ISNUMBER(SEARCH("#",B2159))),CONCATENATE(TRIM(F2159)," #",G2159),B2159)</f>
        <v>Scrapyard Gate R</v>
      </c>
    </row>
    <row r="2160" spans="1:8" ht="15.75" thickBot="1" x14ac:dyDescent="0.3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>IF(ISNUMBER(SEARCH("#",B2160)), LEFT(B2160,FIND("#",B2160)-1), B2160)</f>
        <v>Sluice Gate L</v>
      </c>
      <c r="G2160" s="26">
        <f>IF(ISNUMBER(SEARCH("#",B2160)),VALUE(MID(B2160,FIND("#",B2160)+1,1000)),1)</f>
        <v>1</v>
      </c>
      <c r="H2160" t="str">
        <f>IF(AND(regexMatch(B2160,".*#[0-9]*$"),ISNUMBER(SEARCH("#",B2160))),CONCATENATE(TRIM(F2160)," #",G2160),B2160)</f>
        <v>Sluice Gate L</v>
      </c>
    </row>
    <row r="2161" spans="1:8" ht="15.75" thickBot="1" x14ac:dyDescent="0.3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>IF(ISNUMBER(SEARCH("#",B2161)), LEFT(B2161,FIND("#",B2161)-1), B2161)</f>
        <v>Sluice Gate Narrow</v>
      </c>
      <c r="G2161" s="26">
        <f>IF(ISNUMBER(SEARCH("#",B2161)),VALUE(MID(B2161,FIND("#",B2161)+1,1000)),1)</f>
        <v>1</v>
      </c>
      <c r="H2161" t="str">
        <f>IF(AND(regexMatch(B2161,".*#[0-9]*$"),ISNUMBER(SEARCH("#",B2161))),CONCATENATE(TRIM(F2161)," #",G2161),B2161)</f>
        <v>Sluice Gate Narrow</v>
      </c>
    </row>
    <row r="2162" spans="1:8" ht="15.75" thickBot="1" x14ac:dyDescent="0.3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>IF(ISNUMBER(SEARCH("#",B2162)), LEFT(B2162,FIND("#",B2162)-1), B2162)</f>
        <v>Sluice Gate R</v>
      </c>
      <c r="G2162" s="26">
        <f>IF(ISNUMBER(SEARCH("#",B2162)),VALUE(MID(B2162,FIND("#",B2162)+1,1000)),1)</f>
        <v>1</v>
      </c>
      <c r="H2162" t="str">
        <f>IF(AND(regexMatch(B2162,".*#[0-9]*$"),ISNUMBER(SEARCH("#",B2162))),CONCATENATE(TRIM(F2162)," #",G2162),B2162)</f>
        <v>Sluice Gate R</v>
      </c>
    </row>
    <row r="2163" spans="1:8" ht="15.75" thickBot="1" x14ac:dyDescent="0.3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>IF(ISNUMBER(SEARCH("#",B2163)), LEFT(B2163,FIND("#",B2163)-1), B2163)</f>
        <v xml:space="preserve">Small 27 Gate </v>
      </c>
      <c r="G2163" s="26">
        <f>IF(ISNUMBER(SEARCH("#",B2163)),VALUE(MID(B2163,FIND("#",B2163)+1,1000)),1)</f>
        <v>1</v>
      </c>
      <c r="H2163" t="str">
        <f>IF(AND(regexMatch(B2163,".*#[0-9]*$"),ISNUMBER(SEARCH("#",B2163))),CONCATENATE(TRIM(F2163)," #",G2163),B2163)</f>
        <v>Small 27 Gate #1</v>
      </c>
    </row>
    <row r="2164" spans="1:8" ht="15.75" thickBot="1" x14ac:dyDescent="0.3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>IF(ISNUMBER(SEARCH("#",B2164)), LEFT(B2164,FIND("#",B2164)-1), B2164)</f>
        <v xml:space="preserve">Small 27 Gate </v>
      </c>
      <c r="G2164" s="26">
        <f>IF(ISNUMBER(SEARCH("#",B2164)),VALUE(MID(B2164,FIND("#",B2164)+1,1000)),1)</f>
        <v>2</v>
      </c>
      <c r="H2164" t="str">
        <f>IF(AND(regexMatch(B2164,".*#[0-9]*$"),ISNUMBER(SEARCH("#",B2164))),CONCATENATE(TRIM(F2164)," #",G2164),B2164)</f>
        <v>Small 27 Gate #2</v>
      </c>
    </row>
    <row r="2165" spans="1:8" ht="15.75" thickBot="1" x14ac:dyDescent="0.3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>IF(ISNUMBER(SEARCH("#",B2165)), LEFT(B2165,FIND("#",B2165)-1), B2165)</f>
        <v xml:space="preserve">Small 27 Gate </v>
      </c>
      <c r="G2165" s="26">
        <f>IF(ISNUMBER(SEARCH("#",B2165)),VALUE(MID(B2165,FIND("#",B2165)+1,1000)),1)</f>
        <v>3</v>
      </c>
      <c r="H2165" t="str">
        <f>IF(AND(regexMatch(B2165,".*#[0-9]*$"),ISNUMBER(SEARCH("#",B2165))),CONCATENATE(TRIM(F2165)," #",G2165),B2165)</f>
        <v>Small 27 Gate #3</v>
      </c>
    </row>
    <row r="2166" spans="1:8" ht="15.75" thickBot="1" x14ac:dyDescent="0.3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>IF(ISNUMBER(SEARCH("#",B2166)), LEFT(B2166,FIND("#",B2166)-1), B2166)</f>
        <v xml:space="preserve">Small 27 Gate </v>
      </c>
      <c r="G2166" s="26">
        <f>IF(ISNUMBER(SEARCH("#",B2166)),VALUE(MID(B2166,FIND("#",B2166)+1,1000)),1)</f>
        <v>4</v>
      </c>
      <c r="H2166" t="str">
        <f>IF(AND(regexMatch(B2166,".*#[0-9]*$"),ISNUMBER(SEARCH("#",B2166))),CONCATENATE(TRIM(F2166)," #",G2166),B2166)</f>
        <v>Small 27 Gate #4</v>
      </c>
    </row>
    <row r="2167" spans="1:8" ht="15.75" thickBot="1" x14ac:dyDescent="0.3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>IF(ISNUMBER(SEARCH("#",B2167)), LEFT(B2167,FIND("#",B2167)-1), B2167)</f>
        <v xml:space="preserve">Small 27 Gate </v>
      </c>
      <c r="G2167" s="26">
        <f>IF(ISNUMBER(SEARCH("#",B2167)),VALUE(MID(B2167,FIND("#",B2167)+1,1000)),1)</f>
        <v>5</v>
      </c>
      <c r="H2167" t="str">
        <f>IF(AND(regexMatch(B2167,".*#[0-9]*$"),ISNUMBER(SEARCH("#",B2167))),CONCATENATE(TRIM(F2167)," #",G2167),B2167)</f>
        <v>Small 27 Gate #5</v>
      </c>
    </row>
    <row r="2168" spans="1:8" ht="15.75" thickBot="1" x14ac:dyDescent="0.3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>IF(ISNUMBER(SEARCH("#",B2168)), LEFT(B2168,FIND("#",B2168)-1), B2168)</f>
        <v>Turnstyle Bars</v>
      </c>
      <c r="G2168" s="26">
        <f>IF(ISNUMBER(SEARCH("#",B2168)),VALUE(MID(B2168,FIND("#",B2168)+1,1000)),1)</f>
        <v>1</v>
      </c>
      <c r="H2168" t="str">
        <f>IF(AND(regexMatch(B2168,".*#[0-9]*$"),ISNUMBER(SEARCH("#",B2168))),CONCATENATE(TRIM(F2168)," #",G2168),B2168)</f>
        <v>Turnstyle Bars</v>
      </c>
    </row>
    <row r="2169" spans="1:8" ht="15.75" thickBot="1" x14ac:dyDescent="0.3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>IF(ISNUMBER(SEARCH("#",B2169)), LEFT(B2169,FIND("#",B2169)-1), B2169)</f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.75" thickBot="1" x14ac:dyDescent="0.3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>IF(ISNUMBER(SEARCH("#",B2170)), LEFT(B2170,FIND("#",B2170)-1), B2170)</f>
        <v xml:space="preserve">Balcony Glass </v>
      </c>
      <c r="G2170" s="26">
        <f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.75" thickBot="1" x14ac:dyDescent="0.3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>IF(ISNUMBER(SEARCH("#",B2171)), LEFT(B2171,FIND("#",B2171)-1), B2171)</f>
        <v xml:space="preserve">Balcony Glass </v>
      </c>
      <c r="G2171" s="26">
        <f>IF(ISNUMBER(SEARCH("#",B2171)),VALUE(MID(B2171,FIND("#",B2171)+1,1000)),1)</f>
        <v>2</v>
      </c>
      <c r="H2171" t="str">
        <f>IF(AND(regexMatch(B2171,".*#[0-9]*$"),ISNUMBER(SEARCH("#",B2171))),CONCATENATE(TRIM(F2171)," #",G2171),B2171)</f>
        <v>Balcony Glass #2</v>
      </c>
    </row>
    <row r="2172" spans="1:8" ht="15.75" thickBot="1" x14ac:dyDescent="0.3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>IF(ISNUMBER(SEARCH("#",B2172)), LEFT(B2172,FIND("#",B2172)-1), B2172)</f>
        <v xml:space="preserve">Balcony Glass </v>
      </c>
      <c r="G2172" s="26">
        <f>IF(ISNUMBER(SEARCH("#",B2172)),VALUE(MID(B2172,FIND("#",B2172)+1,1000)),1)</f>
        <v>3</v>
      </c>
      <c r="H2172" t="str">
        <f>IF(AND(regexMatch(B2172,".*#[0-9]*$"),ISNUMBER(SEARCH("#",B2172))),CONCATENATE(TRIM(F2172)," #",G2172),B2172)</f>
        <v>Balcony Glass #3</v>
      </c>
    </row>
    <row r="2173" spans="1:8" ht="15.75" thickBot="1" x14ac:dyDescent="0.3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>IF(ISNUMBER(SEARCH("#",B2173)), LEFT(B2173,FIND("#",B2173)-1), B2173)</f>
        <v xml:space="preserve">Balcony Glass </v>
      </c>
      <c r="G2173" s="26">
        <f>IF(ISNUMBER(SEARCH("#",B2173)),VALUE(MID(B2173,FIND("#",B2173)+1,1000)),1)</f>
        <v>4</v>
      </c>
      <c r="H2173" t="str">
        <f>IF(AND(regexMatch(B2173,".*#[0-9]*$"),ISNUMBER(SEARCH("#",B2173))),CONCATENATE(TRIM(F2173)," #",G2173),B2173)</f>
        <v>Balcony Glass #4</v>
      </c>
    </row>
    <row r="2174" spans="1:8" ht="15.75" thickBot="1" x14ac:dyDescent="0.3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>IF(ISNUMBER(SEARCH("#",B2174)), LEFT(B2174,FIND("#",B2174)-1), B2174)</f>
        <v>Box of Beach Balls</v>
      </c>
      <c r="G2174" s="26">
        <f>IF(ISNUMBER(SEARCH("#",B2174)),VALUE(MID(B2174,FIND("#",B2174)+1,1000)),1)</f>
        <v>1</v>
      </c>
      <c r="H2174" t="str">
        <f>IF(AND(regexMatch(B2174,".*#[0-9]*$"),ISNUMBER(SEARCH("#",B2174))),CONCATENATE(TRIM(F2174)," #",G2174),B2174)</f>
        <v>Box of Beach Balls</v>
      </c>
    </row>
    <row r="2175" spans="1:8" ht="15.75" thickBot="1" x14ac:dyDescent="0.3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>IF(ISNUMBER(SEARCH("#",B2175)), LEFT(B2175,FIND("#",B2175)-1), B2175)</f>
        <v>Breakable Skylight</v>
      </c>
      <c r="G2175" s="26">
        <f>IF(ISNUMBER(SEARCH("#",B2175)),VALUE(MID(B2175,FIND("#",B2175)+1,1000)),1)</f>
        <v>1</v>
      </c>
      <c r="H2175" t="str">
        <f>IF(AND(regexMatch(B2175,".*#[0-9]*$"),ISNUMBER(SEARCH("#",B2175))),CONCATENATE(TRIM(F2175)," #",G2175),B2175)</f>
        <v>Breakable Skylight</v>
      </c>
    </row>
    <row r="2176" spans="1:8" ht="15.75" thickBot="1" x14ac:dyDescent="0.3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>IF(ISNUMBER(SEARCH("#",B2176)), LEFT(B2176,FIND("#",B2176)-1), B2176)</f>
        <v xml:space="preserve">Ch1 02 Glass </v>
      </c>
      <c r="G2176" s="26">
        <f>IF(ISNUMBER(SEARCH("#",B2176)),VALUE(MID(B2176,FIND("#",B2176)+1,1000)),1)</f>
        <v>1</v>
      </c>
      <c r="H2176" t="str">
        <f>IF(AND(regexMatch(B2176,".*#[0-9]*$"),ISNUMBER(SEARCH("#",B2176))),CONCATENATE(TRIM(F2176)," #",G2176),B2176)</f>
        <v>Ch1 02 Glass #1</v>
      </c>
    </row>
    <row r="2177" spans="1:8" ht="15.75" thickBot="1" x14ac:dyDescent="0.3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>IF(ISNUMBER(SEARCH("#",B2177)), LEFT(B2177,FIND("#",B2177)-1), B2177)</f>
        <v xml:space="preserve">Ch1 Glass </v>
      </c>
      <c r="G2177" s="26">
        <f>IF(ISNUMBER(SEARCH("#",B2177)),VALUE(MID(B2177,FIND("#",B2177)+1,1000)),1)</f>
        <v>2</v>
      </c>
      <c r="H2177" t="str">
        <f>IF(AND(regexMatch(B2177,".*#[0-9]*$"),ISNUMBER(SEARCH("#",B2177))),CONCATENATE(TRIM(F2177)," #",G2177),B2177)</f>
        <v>Ch1 Glass #2</v>
      </c>
    </row>
    <row r="2178" spans="1:8" ht="15.75" thickBot="1" x14ac:dyDescent="0.3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>IF(ISNUMBER(SEARCH("#",B2178)), LEFT(B2178,FIND("#",B2178)-1), B2178)</f>
        <v>Cs6 04 Glass</v>
      </c>
      <c r="G2178" s="26">
        <f>IF(ISNUMBER(SEARCH("#",B2178)),VALUE(MID(B2178,FIND("#",B2178)+1,1000)),1)</f>
        <v>1</v>
      </c>
      <c r="H2178" t="str">
        <f>IF(AND(regexMatch(B2178,".*#[0-9]*$"),ISNUMBER(SEARCH("#",B2178))),CONCATENATE(TRIM(F2178)," #",G2178),B2178)</f>
        <v>Cs6 04 Glass</v>
      </c>
    </row>
    <row r="2179" spans="1:8" ht="15.75" thickBot="1" x14ac:dyDescent="0.3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>IF(ISNUMBER(SEARCH("#",B2179)), LEFT(B2179,FIND("#",B2179)-1), B2179)</f>
        <v xml:space="preserve">Dealer Window </v>
      </c>
      <c r="G2179" s="26">
        <f>IF(ISNUMBER(SEARCH("#",B2179)),VALUE(MID(B2179,FIND("#",B2179)+1,1000)),1)</f>
        <v>1</v>
      </c>
      <c r="H2179" t="str">
        <f>IF(AND(regexMatch(B2179,".*#[0-9]*$"),ISNUMBER(SEARCH("#",B2179))),CONCATENATE(TRIM(F2179)," #",G2179),B2179)</f>
        <v>Dealer Window #1</v>
      </c>
    </row>
    <row r="2180" spans="1:8" ht="15.75" thickBot="1" x14ac:dyDescent="0.3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>IF(ISNUMBER(SEARCH("#",B2180)), LEFT(B2180,FIND("#",B2180)-1), B2180)</f>
        <v xml:space="preserve">Dealer Window </v>
      </c>
      <c r="G2180" s="26">
        <f>IF(ISNUMBER(SEARCH("#",B2180)),VALUE(MID(B2180,FIND("#",B2180)+1,1000)),1)</f>
        <v>2</v>
      </c>
      <c r="H2180" t="str">
        <f>IF(AND(regexMatch(B2180,".*#[0-9]*$"),ISNUMBER(SEARCH("#",B2180))),CONCATENATE(TRIM(F2180)," #",G2180),B2180)</f>
        <v>Dealer Window #2</v>
      </c>
    </row>
    <row r="2181" spans="1:8" ht="15.75" thickBot="1" x14ac:dyDescent="0.3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>IF(ISNUMBER(SEARCH("#",B2181)), LEFT(B2181,FIND("#",B2181)-1), B2181)</f>
        <v xml:space="preserve">Dealer Window </v>
      </c>
      <c r="G2181" s="26">
        <f>IF(ISNUMBER(SEARCH("#",B2181)),VALUE(MID(B2181,FIND("#",B2181)+1,1000)),1)</f>
        <v>3</v>
      </c>
      <c r="H2181" t="str">
        <f>IF(AND(regexMatch(B2181,".*#[0-9]*$"),ISNUMBER(SEARCH("#",B2181))),CONCATENATE(TRIM(F2181)," #",G2181),B2181)</f>
        <v>Dealer Window #3</v>
      </c>
    </row>
    <row r="2182" spans="1:8" ht="15.75" thickBot="1" x14ac:dyDescent="0.3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>IF(ISNUMBER(SEARCH("#",B2182)), LEFT(B2182,FIND("#",B2182)-1), B2182)</f>
        <v>FIB Broken Window</v>
      </c>
      <c r="G2182" s="26">
        <f>IF(ISNUMBER(SEARCH("#",B2182)),VALUE(MID(B2182,FIND("#",B2182)+1,1000)),1)</f>
        <v>1</v>
      </c>
      <c r="H2182" t="str">
        <f>IF(AND(regexMatch(B2182,".*#[0-9]*$"),ISNUMBER(SEARCH("#",B2182))),CONCATENATE(TRIM(F2182)," #",G2182),B2182)</f>
        <v>FIB Broken Window</v>
      </c>
    </row>
    <row r="2183" spans="1:8" ht="15.75" thickBot="1" x14ac:dyDescent="0.3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>IF(ISNUMBER(SEARCH("#",B2183)), LEFT(B2183,FIND("#",B2183)-1), B2183)</f>
        <v xml:space="preserve">FIB Broken Window With Blinds </v>
      </c>
      <c r="G2183" s="26">
        <f>IF(ISNUMBER(SEARCH("#",B2183)),VALUE(MID(B2183,FIND("#",B2183)+1,1000)),1)</f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.75" thickBot="1" x14ac:dyDescent="0.3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>IF(ISNUMBER(SEARCH("#",B2184)), LEFT(B2184,FIND("#",B2184)-1), B2184)</f>
        <v xml:space="preserve">FIB Broken Window With Blinds </v>
      </c>
      <c r="G2184" s="26">
        <f>IF(ISNUMBER(SEARCH("#",B2184)),VALUE(MID(B2184,FIND("#",B2184)+1,1000)),1)</f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.75" thickBot="1" x14ac:dyDescent="0.3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>IF(ISNUMBER(SEARCH("#",B2185)), LEFT(B2185,FIND("#",B2185)-1), B2185)</f>
        <v>FIB Skylight Piece</v>
      </c>
      <c r="G2185" s="26">
        <f>IF(ISNUMBER(SEARCH("#",B2185)),VALUE(MID(B2185,FIND("#",B2185)+1,1000)),1)</f>
        <v>1</v>
      </c>
      <c r="H2185" t="str">
        <f>IF(AND(regexMatch(B2185,".*#[0-9]*$"),ISNUMBER(SEARCH("#",B2185))),CONCATENATE(TRIM(F2185)," #",G2185),B2185)</f>
        <v>FIB Skylight Piece</v>
      </c>
    </row>
    <row r="2186" spans="1:8" ht="15.75" thickBot="1" x14ac:dyDescent="0.3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>IF(ISNUMBER(SEARCH("#",B2186)), LEFT(B2186,FIND("#",B2186)-1), B2186)</f>
        <v xml:space="preserve">Glass Panel </v>
      </c>
      <c r="G2186" s="26">
        <f>IF(ISNUMBER(SEARCH("#",B2186)),VALUE(MID(B2186,FIND("#",B2186)+1,1000)),1)</f>
        <v>1</v>
      </c>
      <c r="H2186" t="str">
        <f>IF(AND(regexMatch(B2186,".*#[0-9]*$"),ISNUMBER(SEARCH("#",B2186))),CONCATENATE(TRIM(F2186)," #",G2186),B2186)</f>
        <v>Glass Panel #1</v>
      </c>
    </row>
    <row r="2187" spans="1:8" ht="15.75" thickBot="1" x14ac:dyDescent="0.3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>IF(ISNUMBER(SEARCH("#",B2187)), LEFT(B2187,FIND("#",B2187)-1), B2187)</f>
        <v xml:space="preserve">Glass Panel </v>
      </c>
      <c r="G2187" s="26">
        <f>IF(ISNUMBER(SEARCH("#",B2187)),VALUE(MID(B2187,FIND("#",B2187)+1,1000)),1)</f>
        <v>2</v>
      </c>
      <c r="H2187" t="str">
        <f>IF(AND(regexMatch(B2187,".*#[0-9]*$"),ISNUMBER(SEARCH("#",B2187))),CONCATENATE(TRIM(F2187)," #",G2187),B2187)</f>
        <v>Glass Panel #2</v>
      </c>
    </row>
    <row r="2188" spans="1:8" ht="15.75" thickBot="1" x14ac:dyDescent="0.3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>IF(ISNUMBER(SEARCH("#",B2188)), LEFT(B2188,FIND("#",B2188)-1), B2188)</f>
        <v xml:space="preserve">Glass Panel </v>
      </c>
      <c r="G2188" s="26">
        <f>IF(ISNUMBER(SEARCH("#",B2188)),VALUE(MID(B2188,FIND("#",B2188)+1,1000)),1)</f>
        <v>3</v>
      </c>
      <c r="H2188" t="str">
        <f>IF(AND(regexMatch(B2188,".*#[0-9]*$"),ISNUMBER(SEARCH("#",B2188))),CONCATENATE(TRIM(F2188)," #",G2188),B2188)</f>
        <v>Glass Panel #3</v>
      </c>
    </row>
    <row r="2189" spans="1:8" ht="15.75" thickBot="1" x14ac:dyDescent="0.3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>IF(ISNUMBER(SEARCH("#",B2189)), LEFT(B2189,FIND("#",B2189)-1), B2189)</f>
        <v xml:space="preserve">Glass Panel </v>
      </c>
      <c r="G2189" s="26">
        <f>IF(ISNUMBER(SEARCH("#",B2189)),VALUE(MID(B2189,FIND("#",B2189)+1,1000)),1)</f>
        <v>4</v>
      </c>
      <c r="H2189" t="str">
        <f>IF(AND(regexMatch(B2189,".*#[0-9]*$"),ISNUMBER(SEARCH("#",B2189))),CONCATENATE(TRIM(F2189)," #",G2189),B2189)</f>
        <v>Glass Panel #4</v>
      </c>
    </row>
    <row r="2190" spans="1:8" ht="15.75" thickBot="1" x14ac:dyDescent="0.3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>IF(ISNUMBER(SEARCH("#",B2190)), LEFT(B2190,FIND("#",B2190)-1), B2190)</f>
        <v xml:space="preserve">Glass Panel </v>
      </c>
      <c r="G2190" s="26">
        <f>IF(ISNUMBER(SEARCH("#",B2190)),VALUE(MID(B2190,FIND("#",B2190)+1,1000)),1)</f>
        <v>5</v>
      </c>
      <c r="H2190" t="str">
        <f>IF(AND(regexMatch(B2190,".*#[0-9]*$"),ISNUMBER(SEARCH("#",B2190))),CONCATENATE(TRIM(F2190)," #",G2190),B2190)</f>
        <v>Glass Panel #5</v>
      </c>
    </row>
    <row r="2191" spans="1:8" ht="15.75" thickBot="1" x14ac:dyDescent="0.3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>IF(ISNUMBER(SEARCH("#",B2191)), LEFT(B2191,FIND("#",B2191)-1), B2191)</f>
        <v xml:space="preserve">Glass Panel </v>
      </c>
      <c r="G2191" s="26">
        <f>IF(ISNUMBER(SEARCH("#",B2191)),VALUE(MID(B2191,FIND("#",B2191)+1,1000)),1)</f>
        <v>6</v>
      </c>
      <c r="H2191" t="str">
        <f>IF(AND(regexMatch(B2191,".*#[0-9]*$"),ISNUMBER(SEARCH("#",B2191))),CONCATENATE(TRIM(F2191)," #",G2191),B2191)</f>
        <v>Glass Panel #6</v>
      </c>
    </row>
    <row r="2192" spans="1:8" ht="15.75" thickBot="1" x14ac:dyDescent="0.3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>IF(ISNUMBER(SEARCH("#",B2192)), LEFT(B2192,FIND("#",B2192)-1), B2192)</f>
        <v xml:space="preserve">Glass Panel </v>
      </c>
      <c r="G2192" s="26">
        <f>IF(ISNUMBER(SEARCH("#",B2192)),VALUE(MID(B2192,FIND("#",B2192)+1,1000)),1)</f>
        <v>7</v>
      </c>
      <c r="H2192" t="str">
        <f>IF(AND(regexMatch(B2192,".*#[0-9]*$"),ISNUMBER(SEARCH("#",B2192))),CONCATENATE(TRIM(F2192)," #",G2192),B2192)</f>
        <v>Glass Panel #7</v>
      </c>
    </row>
    <row r="2193" spans="1:8" ht="15.75" thickBot="1" x14ac:dyDescent="0.3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>IF(ISNUMBER(SEARCH("#",B2193)), LEFT(B2193,FIND("#",B2193)-1), B2193)</f>
        <v>Guard Tower Glass</v>
      </c>
      <c r="G2193" s="26">
        <f>IF(ISNUMBER(SEARCH("#",B2193)),VALUE(MID(B2193,FIND("#",B2193)+1,1000)),1)</f>
        <v>1</v>
      </c>
      <c r="H2193" t="str">
        <f>IF(AND(regexMatch(B2193,".*#[0-9]*$"),ISNUMBER(SEARCH("#",B2193))),CONCATENATE(TRIM(F2193)," #",G2193),B2193)</f>
        <v>Guard Tower Glass</v>
      </c>
    </row>
    <row r="2194" spans="1:8" ht="15.75" thickBot="1" x14ac:dyDescent="0.3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>IF(ISNUMBER(SEARCH("#",B2194)), LEFT(B2194,FIND("#",B2194)-1), B2194)</f>
        <v>Jewel Glass</v>
      </c>
      <c r="G2194" s="26">
        <f>IF(ISNUMBER(SEARCH("#",B2194)),VALUE(MID(B2194,FIND("#",B2194)+1,1000)),1)</f>
        <v>1</v>
      </c>
      <c r="H2194" t="str">
        <f>IF(AND(regexMatch(B2194,".*#[0-9]*$"),ISNUMBER(SEARCH("#",B2194))),CONCATENATE(TRIM(F2194)," #",G2194),B2194)</f>
        <v>Jewel Glass</v>
      </c>
    </row>
    <row r="2195" spans="1:8" ht="15.75" thickBot="1" x14ac:dyDescent="0.3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>IF(ISNUMBER(SEARCH("#",B2195)), LEFT(B2195,FIND("#",B2195)-1), B2195)</f>
        <v>Jewel Glass Root</v>
      </c>
      <c r="G2195" s="26">
        <f>IF(ISNUMBER(SEARCH("#",B2195)),VALUE(MID(B2195,FIND("#",B2195)+1,1000)),1)</f>
        <v>1</v>
      </c>
      <c r="H2195" t="str">
        <f>IF(AND(regexMatch(B2195,".*#[0-9]*$"),ISNUMBER(SEARCH("#",B2195))),CONCATENATE(TRIM(F2195)," #",G2195),B2195)</f>
        <v>Jewel Glass Root</v>
      </c>
    </row>
    <row r="2196" spans="1:8" ht="15.75" thickBot="1" x14ac:dyDescent="0.3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>IF(ISNUMBER(SEARCH("#",B2196)), LEFT(B2196,FIND("#",B2196)-1), B2196)</f>
        <v xml:space="preserve">Rcyl Win </v>
      </c>
      <c r="G2196" s="26">
        <f>IF(ISNUMBER(SEARCH("#",B2196)),VALUE(MID(B2196,FIND("#",B2196)+1,1000)),1)</f>
        <v>1</v>
      </c>
      <c r="H2196" t="str">
        <f>IF(AND(regexMatch(B2196,".*#[0-9]*$"),ISNUMBER(SEARCH("#",B2196))),CONCATENATE(TRIM(F2196)," #",G2196),B2196)</f>
        <v>Rcyl Win #1</v>
      </c>
    </row>
    <row r="2197" spans="1:8" ht="15.75" thickBot="1" x14ac:dyDescent="0.3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>IF(ISNUMBER(SEARCH("#",B2197)), LEFT(B2197,FIND("#",B2197)-1), B2197)</f>
        <v xml:space="preserve">Rcyl Win </v>
      </c>
      <c r="G2197" s="26">
        <f>IF(ISNUMBER(SEARCH("#",B2197)),VALUE(MID(B2197,FIND("#",B2197)+1,1000)),1)</f>
        <v>2</v>
      </c>
      <c r="H2197" t="str">
        <f>IF(AND(regexMatch(B2197,".*#[0-9]*$"),ISNUMBER(SEARCH("#",B2197))),CONCATENATE(TRIM(F2197)," #",G2197),B2197)</f>
        <v>Rcyl Win #2</v>
      </c>
    </row>
    <row r="2198" spans="1:8" ht="15.75" thickBot="1" x14ac:dyDescent="0.3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>IF(ISNUMBER(SEARCH("#",B2198)), LEFT(B2198,FIND("#",B2198)-1), B2198)</f>
        <v xml:space="preserve">Rcyl Win </v>
      </c>
      <c r="G2198" s="26">
        <f>IF(ISNUMBER(SEARCH("#",B2198)),VALUE(MID(B2198,FIND("#",B2198)+1,1000)),1)</f>
        <v>3</v>
      </c>
      <c r="H2198" t="str">
        <f>IF(AND(regexMatch(B2198,".*#[0-9]*$"),ISNUMBER(SEARCH("#",B2198))),CONCATENATE(TRIM(F2198)," #",G2198),B2198)</f>
        <v>Rcyl Win #3</v>
      </c>
    </row>
    <row r="2199" spans="1:8" ht="15.75" thickBot="1" x14ac:dyDescent="0.3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>IF(ISNUMBER(SEARCH("#",B2199)), LEFT(B2199,FIND("#",B2199)-1), B2199)</f>
        <v>Rectangular Glass Pane</v>
      </c>
      <c r="G2199" s="26">
        <f>IF(ISNUMBER(SEARCH("#",B2199)),VALUE(MID(B2199,FIND("#",B2199)+1,1000)),1)</f>
        <v>1</v>
      </c>
      <c r="H2199" t="str">
        <f>IF(AND(regexMatch(B2199,".*#[0-9]*$"),ISNUMBER(SEARCH("#",B2199))),CONCATENATE(TRIM(F2199)," #",G2199),B2199)</f>
        <v>Rectangular Glass Pane</v>
      </c>
    </row>
    <row r="2200" spans="1:8" ht="15.75" thickBot="1" x14ac:dyDescent="0.3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>IF(ISNUMBER(SEARCH("#",B2200)), LEFT(B2200,FIND("#",B2200)-1), B2200)</f>
        <v>Scrapyard Windows</v>
      </c>
      <c r="G2200" s="26">
        <f>IF(ISNUMBER(SEARCH("#",B2200)),VALUE(MID(B2200,FIND("#",B2200)+1,1000)),1)</f>
        <v>1</v>
      </c>
      <c r="H2200" t="str">
        <f>IF(AND(regexMatch(B2200,".*#[0-9]*$"),ISNUMBER(SEARCH("#",B2200))),CONCATENATE(TRIM(F2200)," #",G2200),B2200)</f>
        <v>Scrapyard Windows</v>
      </c>
    </row>
    <row r="2201" spans="1:8" ht="15.75" thickBot="1" x14ac:dyDescent="0.3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>IF(ISNUMBER(SEARCH("#",B2201)), LEFT(B2201,FIND("#",B2201)-1), B2201)</f>
        <v>Showroom Glass</v>
      </c>
      <c r="G2201" s="26">
        <f>IF(ISNUMBER(SEARCH("#",B2201)),VALUE(MID(B2201,FIND("#",B2201)+1,1000)),1)</f>
        <v>1</v>
      </c>
      <c r="H2201" t="str">
        <f>IF(AND(regexMatch(B2201,".*#[0-9]*$"),ISNUMBER(SEARCH("#",B2201))),CONCATENATE(TRIM(F2201)," #",G2201),B2201)</f>
        <v>Showroom Glass</v>
      </c>
    </row>
    <row r="2202" spans="1:8" ht="15.75" thickBot="1" x14ac:dyDescent="0.3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>IF(ISNUMBER(SEARCH("#",B2202)), LEFT(B2202,FIND("#",B2202)-1), B2202)</f>
        <v xml:space="preserve">Showroom Glass </v>
      </c>
      <c r="G2202" s="26">
        <f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.75" thickBot="1" x14ac:dyDescent="0.3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>IF(ISNUMBER(SEARCH("#",B2203)), LEFT(B2203,FIND("#",B2203)-1), B2203)</f>
        <v xml:space="preserve">Showroom Glass </v>
      </c>
      <c r="G2203" s="26">
        <f>IF(ISNUMBER(SEARCH("#",B2203)),VALUE(MID(B2203,FIND("#",B2203)+1,1000)),1)</f>
        <v>2</v>
      </c>
      <c r="H2203" t="str">
        <f>IF(AND(regexMatch(B2203,".*#[0-9]*$"),ISNUMBER(SEARCH("#",B2203))),CONCATENATE(TRIM(F2203)," #",G2203),B2203)</f>
        <v>Showroom Glass #2</v>
      </c>
    </row>
    <row r="2204" spans="1:8" ht="15.75" thickBot="1" x14ac:dyDescent="0.3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>IF(ISNUMBER(SEARCH("#",B2204)), LEFT(B2204,FIND("#",B2204)-1), B2204)</f>
        <v xml:space="preserve">Showroom Glass </v>
      </c>
      <c r="G2204" s="26">
        <f>IF(ISNUMBER(SEARCH("#",B2204)),VALUE(MID(B2204,FIND("#",B2204)+1,1000)),1)</f>
        <v>3</v>
      </c>
      <c r="H2204" t="str">
        <f>IF(AND(regexMatch(B2204,".*#[0-9]*$"),ISNUMBER(SEARCH("#",B2204))),CONCATENATE(TRIM(F2204)," #",G2204),B2204)</f>
        <v>Showroom Glass #3</v>
      </c>
    </row>
    <row r="2205" spans="1:8" ht="15.75" thickBot="1" x14ac:dyDescent="0.3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>IF(ISNUMBER(SEARCH("#",B2205)), LEFT(B2205,FIND("#",B2205)-1), B2205)</f>
        <v xml:space="preserve">Showroom Glass </v>
      </c>
      <c r="G2205" s="26">
        <f>IF(ISNUMBER(SEARCH("#",B2205)),VALUE(MID(B2205,FIND("#",B2205)+1,1000)),1)</f>
        <v>4</v>
      </c>
      <c r="H2205" t="str">
        <f>IF(AND(regexMatch(B2205,".*#[0-9]*$"),ISNUMBER(SEARCH("#",B2205))),CONCATENATE(TRIM(F2205)," #",G2205),B2205)</f>
        <v>Showroom Glass #4</v>
      </c>
    </row>
    <row r="2206" spans="1:8" ht="15.75" thickBot="1" x14ac:dyDescent="0.3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>IF(ISNUMBER(SEARCH("#",B2206)), LEFT(B2206,FIND("#",B2206)-1), B2206)</f>
        <v xml:space="preserve">Showroom Glass </v>
      </c>
      <c r="G2206" s="26">
        <f>IF(ISNUMBER(SEARCH("#",B2206)),VALUE(MID(B2206,FIND("#",B2206)+1,1000)),1)</f>
        <v>5</v>
      </c>
      <c r="H2206" t="str">
        <f>IF(AND(regexMatch(B2206,".*#[0-9]*$"),ISNUMBER(SEARCH("#",B2206))),CONCATENATE(TRIM(F2206)," #",G2206),B2206)</f>
        <v>Showroom Glass #5</v>
      </c>
    </row>
    <row r="2207" spans="1:8" ht="15.75" thickBot="1" x14ac:dyDescent="0.3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>IF(ISNUMBER(SEARCH("#",B2207)), LEFT(B2207,FIND("#",B2207)-1), B2207)</f>
        <v xml:space="preserve">Showroom Glass </v>
      </c>
      <c r="G2207" s="26">
        <f>IF(ISNUMBER(SEARCH("#",B2207)),VALUE(MID(B2207,FIND("#",B2207)+1,1000)),1)</f>
        <v>6</v>
      </c>
      <c r="H2207" t="str">
        <f>IF(AND(regexMatch(B2207,".*#[0-9]*$"),ISNUMBER(SEARCH("#",B2207))),CONCATENATE(TRIM(F2207)," #",G2207),B2207)</f>
        <v>Showroom Glass #6</v>
      </c>
    </row>
    <row r="2208" spans="1:8" ht="15.75" thickBot="1" x14ac:dyDescent="0.3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>IF(ISNUMBER(SEARCH("#",B2208)), LEFT(B2208,FIND("#",B2208)-1), B2208)</f>
        <v xml:space="preserve">Golf Ball </v>
      </c>
      <c r="G2208" s="26">
        <f>IF(ISNUMBER(SEARCH("#",B2208)),VALUE(MID(B2208,FIND("#",B2208)+1,1000)),1)</f>
        <v>1</v>
      </c>
      <c r="H2208" t="str">
        <f>IF(AND(regexMatch(B2208,".*#[0-9]*$"),ISNUMBER(SEARCH("#",B2208))),CONCATENATE(TRIM(F2208)," #",G2208),B2208)</f>
        <v>Golf Ball #1</v>
      </c>
    </row>
    <row r="2209" spans="1:8" ht="15.75" thickBot="1" x14ac:dyDescent="0.3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>IF(ISNUMBER(SEARCH("#",B2209)), LEFT(B2209,FIND("#",B2209)-1), B2209)</f>
        <v xml:space="preserve">Golf Ball </v>
      </c>
      <c r="G2209" s="26">
        <f>IF(ISNUMBER(SEARCH("#",B2209)),VALUE(MID(B2209,FIND("#",B2209)+1,1000)),1)</f>
        <v>2</v>
      </c>
      <c r="H2209" t="str">
        <f>IF(AND(regexMatch(B2209,".*#[0-9]*$"),ISNUMBER(SEARCH("#",B2209))),CONCATENATE(TRIM(F2209)," #",G2209),B2209)</f>
        <v>Golf Ball #2</v>
      </c>
    </row>
    <row r="2210" spans="1:8" ht="15.75" thickBot="1" x14ac:dyDescent="0.3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>IF(ISNUMBER(SEARCH("#",B2210)), LEFT(B2210,FIND("#",B2210)-1), B2210)</f>
        <v xml:space="preserve">Golf Ball </v>
      </c>
      <c r="G2210" s="26">
        <f>IF(ISNUMBER(SEARCH("#",B2210)),VALUE(MID(B2210,FIND("#",B2210)+1,1000)),1)</f>
        <v>3</v>
      </c>
      <c r="H2210" t="str">
        <f>IF(AND(regexMatch(B2210,".*#[0-9]*$"),ISNUMBER(SEARCH("#",B2210))),CONCATENATE(TRIM(F2210)," #",G2210),B2210)</f>
        <v>Golf Ball #3</v>
      </c>
    </row>
    <row r="2211" spans="1:8" ht="15.75" thickBot="1" x14ac:dyDescent="0.3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>IF(ISNUMBER(SEARCH("#",B2211)), LEFT(B2211,FIND("#",B2211)-1), B2211)</f>
        <v xml:space="preserve">Golf Ball </v>
      </c>
      <c r="G2211" s="26">
        <f>IF(ISNUMBER(SEARCH("#",B2211)),VALUE(MID(B2211,FIND("#",B2211)+1,1000)),1)</f>
        <v>4</v>
      </c>
      <c r="H2211" t="str">
        <f>IF(AND(regexMatch(B2211,".*#[0-9]*$"),ISNUMBER(SEARCH("#",B2211))),CONCATENATE(TRIM(F2211)," #",G2211),B2211)</f>
        <v>Golf Ball #4</v>
      </c>
    </row>
    <row r="2212" spans="1:8" ht="15.75" thickBot="1" x14ac:dyDescent="0.3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>IF(ISNUMBER(SEARCH("#",B2212)), LEFT(B2212,FIND("#",B2212)-1), B2212)</f>
        <v>Golf Ball Tee</v>
      </c>
      <c r="G2212" s="26">
        <f>IF(ISNUMBER(SEARCH("#",B2212)),VALUE(MID(B2212,FIND("#",B2212)+1,1000)),1)</f>
        <v>1</v>
      </c>
      <c r="H2212" t="str">
        <f>IF(AND(regexMatch(B2212,".*#[0-9]*$"),ISNUMBER(SEARCH("#",B2212))),CONCATENATE(TRIM(F2212)," #",G2212),B2212)</f>
        <v>Golf Ball Tee</v>
      </c>
    </row>
    <row r="2213" spans="1:8" ht="15.75" thickBot="1" x14ac:dyDescent="0.3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>IF(ISNUMBER(SEARCH("#",B2213)), LEFT(B2213,FIND("#",B2213)-1), B2213)</f>
        <v>Golf Driver</v>
      </c>
      <c r="G2213" s="26">
        <f>IF(ISNUMBER(SEARCH("#",B2213)),VALUE(MID(B2213,FIND("#",B2213)+1,1000)),1)</f>
        <v>1</v>
      </c>
      <c r="H2213" t="str">
        <f>IF(AND(regexMatch(B2213,".*#[0-9]*$"),ISNUMBER(SEARCH("#",B2213))),CONCATENATE(TRIM(F2213)," #",G2213),B2213)</f>
        <v>Golf Driver</v>
      </c>
    </row>
    <row r="2214" spans="1:8" ht="15.75" thickBot="1" x14ac:dyDescent="0.3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>IF(ISNUMBER(SEARCH("#",B2214)), LEFT(B2214,FIND("#",B2214)-1), B2214)</f>
        <v>Golf Flag</v>
      </c>
      <c r="G2214" s="26">
        <f>IF(ISNUMBER(SEARCH("#",B2214)),VALUE(MID(B2214,FIND("#",B2214)+1,1000)),1)</f>
        <v>1</v>
      </c>
      <c r="H2214" t="str">
        <f>IF(AND(regexMatch(B2214,".*#[0-9]*$"),ISNUMBER(SEARCH("#",B2214))),CONCATENATE(TRIM(F2214)," #",G2214),B2214)</f>
        <v>Golf Flag</v>
      </c>
    </row>
    <row r="2215" spans="1:8" ht="15.75" thickBot="1" x14ac:dyDescent="0.3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>IF(ISNUMBER(SEARCH("#",B2215)), LEFT(B2215,FIND("#",B2215)-1), B2215)</f>
        <v>Golf Iron</v>
      </c>
      <c r="G2215" s="26">
        <f>IF(ISNUMBER(SEARCH("#",B2215)),VALUE(MID(B2215,FIND("#",B2215)+1,1000)),1)</f>
        <v>1</v>
      </c>
      <c r="H2215" t="str">
        <f>IF(AND(regexMatch(B2215,".*#[0-9]*$"),ISNUMBER(SEARCH("#",B2215))),CONCATENATE(TRIM(F2215)," #",G2215),B2215)</f>
        <v>Golf Iron</v>
      </c>
    </row>
    <row r="2216" spans="1:8" ht="15.75" thickBot="1" x14ac:dyDescent="0.3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>IF(ISNUMBER(SEARCH("#",B2216)), LEFT(B2216,FIND("#",B2216)-1), B2216)</f>
        <v>Golf Marker</v>
      </c>
      <c r="G2216" s="26">
        <f>IF(ISNUMBER(SEARCH("#",B2216)),VALUE(MID(B2216,FIND("#",B2216)+1,1000)),1)</f>
        <v>1</v>
      </c>
      <c r="H2216" t="str">
        <f>IF(AND(regexMatch(B2216,".*#[0-9]*$"),ISNUMBER(SEARCH("#",B2216))),CONCATENATE(TRIM(F2216)," #",G2216),B2216)</f>
        <v>Golf Marker</v>
      </c>
    </row>
    <row r="2217" spans="1:8" ht="15.75" thickBot="1" x14ac:dyDescent="0.3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>IF(ISNUMBER(SEARCH("#",B2217)), LEFT(B2217,FIND("#",B2217)-1), B2217)</f>
        <v>Golf Pitcher</v>
      </c>
      <c r="G2217" s="26">
        <f>IF(ISNUMBER(SEARCH("#",B2217)),VALUE(MID(B2217,FIND("#",B2217)+1,1000)),1)</f>
        <v>1</v>
      </c>
      <c r="H2217" t="str">
        <f>IF(AND(regexMatch(B2217,".*#[0-9]*$"),ISNUMBER(SEARCH("#",B2217))),CONCATENATE(TRIM(F2217)," #",G2217),B2217)</f>
        <v>Golf Pitcher</v>
      </c>
    </row>
    <row r="2218" spans="1:8" ht="15.75" thickBot="1" x14ac:dyDescent="0.3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>IF(ISNUMBER(SEARCH("#",B2218)), LEFT(B2218,FIND("#",B2218)-1), B2218)</f>
        <v>Golf Putter</v>
      </c>
      <c r="G2218" s="26">
        <f>IF(ISNUMBER(SEARCH("#",B2218)),VALUE(MID(B2218,FIND("#",B2218)+1,1000)),1)</f>
        <v>1</v>
      </c>
      <c r="H2218" t="str">
        <f>IF(AND(regexMatch(B2218,".*#[0-9]*$"),ISNUMBER(SEARCH("#",B2218))),CONCATENATE(TRIM(F2218)," #",G2218),B2218)</f>
        <v>Golf Putter</v>
      </c>
    </row>
    <row r="2219" spans="1:8" ht="15.75" thickBot="1" x14ac:dyDescent="0.3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>IF(ISNUMBER(SEARCH("#",B2219)), LEFT(B2219,FIND("#",B2219)-1), B2219)</f>
        <v>Golf Roller</v>
      </c>
      <c r="G2219" s="26">
        <f>IF(ISNUMBER(SEARCH("#",B2219)),VALUE(MID(B2219,FIND("#",B2219)+1,1000)),1)</f>
        <v>1</v>
      </c>
      <c r="H2219" t="str">
        <f>IF(AND(regexMatch(B2219,".*#[0-9]*$"),ISNUMBER(SEARCH("#",B2219))),CONCATENATE(TRIM(F2219)," #",G2219),B2219)</f>
        <v>Golf Roller</v>
      </c>
    </row>
    <row r="2220" spans="1:8" ht="15.75" thickBot="1" x14ac:dyDescent="0.3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>IF(ISNUMBER(SEARCH("#",B2220)), LEFT(B2220,FIND("#",B2220)-1), B2220)</f>
        <v>Golf Spreader</v>
      </c>
      <c r="G2220" s="26">
        <f>IF(ISNUMBER(SEARCH("#",B2220)),VALUE(MID(B2220,FIND("#",B2220)+1,1000)),1)</f>
        <v>1</v>
      </c>
      <c r="H2220" t="str">
        <f>IF(AND(regexMatch(B2220,".*#[0-9]*$"),ISNUMBER(SEARCH("#",B2220))),CONCATENATE(TRIM(F2220)," #",G2220),B2220)</f>
        <v>Golf Spreader</v>
      </c>
    </row>
    <row r="2221" spans="1:8" ht="15.75" thickBot="1" x14ac:dyDescent="0.3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>IF(ISNUMBER(SEARCH("#",B2221)), LEFT(B2221,FIND("#",B2221)-1), B2221)</f>
        <v>Golf Tee</v>
      </c>
      <c r="G2221" s="26">
        <f>IF(ISNUMBER(SEARCH("#",B2221)),VALUE(MID(B2221,FIND("#",B2221)+1,1000)),1)</f>
        <v>1</v>
      </c>
      <c r="H2221" t="str">
        <f>IF(AND(regexMatch(B2221,".*#[0-9]*$"),ISNUMBER(SEARCH("#",B2221))),CONCATENATE(TRIM(F2221)," #",G2221),B2221)</f>
        <v>Golf Tee</v>
      </c>
    </row>
    <row r="2222" spans="1:8" ht="15.75" thickBot="1" x14ac:dyDescent="0.3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>IF(ISNUMBER(SEARCH("#",B2222)), LEFT(B2222,FIND("#",B2222)-1), B2222)</f>
        <v>Golf Wood</v>
      </c>
      <c r="G2222" s="26">
        <f>IF(ISNUMBER(SEARCH("#",B2222)),VALUE(MID(B2222,FIND("#",B2222)+1,1000)),1)</f>
        <v>1</v>
      </c>
      <c r="H2222" t="str">
        <f>IF(AND(regexMatch(B2222,".*#[0-9]*$"),ISNUMBER(SEARCH("#",B2222))),CONCATENATE(TRIM(F2222)," #",G2222),B2222)</f>
        <v>Golf Wood</v>
      </c>
    </row>
    <row r="2223" spans="1:8" ht="15.75" thickBot="1" x14ac:dyDescent="0.3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>IF(ISNUMBER(SEARCH("#",B2223)), LEFT(B2223,FIND("#",B2223)-1), B2223)</f>
        <v xml:space="preserve">Coffin </v>
      </c>
      <c r="G2223" s="26">
        <f>IF(ISNUMBER(SEARCH("#",B2223)),VALUE(MID(B2223,FIND("#",B2223)+1,1000)),1)</f>
        <v>1</v>
      </c>
      <c r="H2223" t="str">
        <f>IF(AND(regexMatch(B2223,".*#[0-9]*$"),ISNUMBER(SEARCH("#",B2223))),CONCATENATE(TRIM(F2223)," #",G2223),B2223)</f>
        <v>Coffin #1</v>
      </c>
    </row>
    <row r="2224" spans="1:8" ht="15.75" thickBot="1" x14ac:dyDescent="0.3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>IF(ISNUMBER(SEARCH("#",B2224)), LEFT(B2224,FIND("#",B2224)-1), B2224)</f>
        <v xml:space="preserve">Coffin </v>
      </c>
      <c r="G2224" s="26">
        <f>IF(ISNUMBER(SEARCH("#",B2224)),VALUE(MID(B2224,FIND("#",B2224)+1,1000)),1)</f>
        <v>2</v>
      </c>
      <c r="H2224" t="str">
        <f>IF(AND(regexMatch(B2224,".*#[0-9]*$"),ISNUMBER(SEARCH("#",B2224))),CONCATENATE(TRIM(F2224)," #",G2224),B2224)</f>
        <v>Coffin #2</v>
      </c>
    </row>
    <row r="2225" spans="1:8" ht="15.75" thickBot="1" x14ac:dyDescent="0.3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>IF(ISNUMBER(SEARCH("#",B2225)), LEFT(B2225,FIND("#",B2225)-1), B2225)</f>
        <v xml:space="preserve">Coffin </v>
      </c>
      <c r="G2225" s="26">
        <f>IF(ISNUMBER(SEARCH("#",B2225)),VALUE(MID(B2225,FIND("#",B2225)+1,1000)),1)</f>
        <v>3</v>
      </c>
      <c r="H2225" t="str">
        <f>IF(AND(regexMatch(B2225,".*#[0-9]*$"),ISNUMBER(SEARCH("#",B2225))),CONCATENATE(TRIM(F2225)," #",G2225),B2225)</f>
        <v>Coffin #3</v>
      </c>
    </row>
    <row r="2226" spans="1:8" ht="15.75" thickBot="1" x14ac:dyDescent="0.3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>IF(ISNUMBER(SEARCH("#",B2226)), LEFT(B2226,FIND("#",B2226)-1), B2226)</f>
        <v xml:space="preserve">N Yankton Gravestone </v>
      </c>
      <c r="G2226" s="26">
        <f>IF(ISNUMBER(SEARCH("#",B2226)),VALUE(MID(B2226,FIND("#",B2226)+1,1000)),1)</f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.75" thickBot="1" x14ac:dyDescent="0.3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>IF(ISNUMBER(SEARCH("#",B2227)), LEFT(B2227,FIND("#",B2227)-1), B2227)</f>
        <v xml:space="preserve">N Yankton Gravestone </v>
      </c>
      <c r="G2227" s="26">
        <f>IF(ISNUMBER(SEARCH("#",B2227)),VALUE(MID(B2227,FIND("#",B2227)+1,1000)),1)</f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.75" thickBot="1" x14ac:dyDescent="0.3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>IF(ISNUMBER(SEARCH("#",B2228)), LEFT(B2228,FIND("#",B2228)-1), B2228)</f>
        <v xml:space="preserve">N Yankton Gravestone </v>
      </c>
      <c r="G2228" s="26">
        <f>IF(ISNUMBER(SEARCH("#",B2228)),VALUE(MID(B2228,FIND("#",B2228)+1,1000)),1)</f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.75" thickBot="1" x14ac:dyDescent="0.3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>IF(ISNUMBER(SEARCH("#",B2229)), LEFT(B2229,FIND("#",B2229)-1), B2229)</f>
        <v xml:space="preserve">N Yankton Gravestone </v>
      </c>
      <c r="G2229" s="26">
        <f>IF(ISNUMBER(SEARCH("#",B2229)),VALUE(MID(B2229,FIND("#",B2229)+1,1000)),1)</f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.75" thickBot="1" x14ac:dyDescent="0.3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>IF(ISNUMBER(SEARCH("#",B2230)), LEFT(B2230,FIND("#",B2230)-1), B2230)</f>
        <v xml:space="preserve">N Yankton Gravestone </v>
      </c>
      <c r="G2230" s="26">
        <f>IF(ISNUMBER(SEARCH("#",B2230)),VALUE(MID(B2230,FIND("#",B2230)+1,1000)),1)</f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.75" thickBot="1" x14ac:dyDescent="0.3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>IF(ISNUMBER(SEARCH("#",B2231)), LEFT(B2231,FIND("#",B2231)-1), B2231)</f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.75" thickBot="1" x14ac:dyDescent="0.3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>IF(ISNUMBER(SEARCH("#",B2232)), LEFT(B2232,FIND("#",B2232)-1), B2232)</f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.75" thickBot="1" x14ac:dyDescent="0.3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>IF(ISNUMBER(SEARCH("#",B2233)), LEFT(B2233,FIND("#",B2233)-1), B2233)</f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.75" thickBot="1" x14ac:dyDescent="0.3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>IF(ISNUMBER(SEARCH("#",B2234)), LEFT(B2234,FIND("#",B2234)-1), B2234)</f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.75" thickBot="1" x14ac:dyDescent="0.3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>IF(ISNUMBER(SEARCH("#",B2235)), LEFT(B2235,FIND("#",B2235)-1), B2235)</f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.75" thickBot="1" x14ac:dyDescent="0.3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>IF(ISNUMBER(SEARCH("#",B2236)), LEFT(B2236,FIND("#",B2236)-1), B2236)</f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.75" thickBot="1" x14ac:dyDescent="0.3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>IF(ISNUMBER(SEARCH("#",B2237)), LEFT(B2237,FIND("#",B2237)-1), B2237)</f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.75" thickBot="1" x14ac:dyDescent="0.3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>IF(ISNUMBER(SEARCH("#",B2238)), LEFT(B2238,FIND("#",B2238)-1), B2238)</f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.75" thickBot="1" x14ac:dyDescent="0.3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>IF(ISNUMBER(SEARCH("#",B2239)), LEFT(B2239,FIND("#",B2239)-1), B2239)</f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.75" thickBot="1" x14ac:dyDescent="0.3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>IF(ISNUMBER(SEARCH("#",B2240)), LEFT(B2240,FIND("#",B2240)-1), B2240)</f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.75" thickBot="1" x14ac:dyDescent="0.3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>IF(ISNUMBER(SEARCH("#",B2241)), LEFT(B2241,FIND("#",B2241)-1), B2241)</f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.75" thickBot="1" x14ac:dyDescent="0.3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>IF(ISNUMBER(SEARCH("#",B2242)), LEFT(B2242,FIND("#",B2242)-1), B2242)</f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.75" thickBot="1" x14ac:dyDescent="0.3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>IF(ISNUMBER(SEARCH("#",B2243)), LEFT(B2243,FIND("#",B2243)-1), B2243)</f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.75" thickBot="1" x14ac:dyDescent="0.3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>IF(ISNUMBER(SEARCH("#",B2244)), LEFT(B2244,FIND("#",B2244)-1), B2244)</f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.75" thickBot="1" x14ac:dyDescent="0.3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>IF(ISNUMBER(SEARCH("#",B2245)), LEFT(B2245,FIND("#",B2245)-1), B2245)</f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.75" thickBot="1" x14ac:dyDescent="0.3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>IF(ISNUMBER(SEARCH("#",B2246)), LEFT(B2246,FIND("#",B2246)-1), B2246)</f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.75" thickBot="1" x14ac:dyDescent="0.3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>IF(ISNUMBER(SEARCH("#",B2247)), LEFT(B2247,FIND("#",B2247)-1), B2247)</f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.75" thickBot="1" x14ac:dyDescent="0.3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>IF(ISNUMBER(SEARCH("#",B2248)), LEFT(B2248,FIND("#",B2248)-1), B2248)</f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.75" thickBot="1" x14ac:dyDescent="0.3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>IF(ISNUMBER(SEARCH("#",B2249)), LEFT(B2249,FIND("#",B2249)-1), B2249)</f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.75" thickBot="1" x14ac:dyDescent="0.3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>IF(ISNUMBER(SEARCH("#",B2250)), LEFT(B2250,FIND("#",B2250)-1), B2250)</f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.75" thickBot="1" x14ac:dyDescent="0.3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>IF(ISNUMBER(SEARCH("#",B2251)), LEFT(B2251,FIND("#",B2251)-1), B2251)</f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.75" thickBot="1" x14ac:dyDescent="0.3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.75" thickBot="1" x14ac:dyDescent="0.3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>IF(ISNUMBER(SEARCH("#",B2253)), LEFT(B2253,FIND("#",B2253)-1), B2253)</f>
        <v>Planning Photo</v>
      </c>
      <c r="G2253" s="26">
        <f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.75" thickBot="1" x14ac:dyDescent="0.3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>IF(ISNUMBER(SEARCH("#",B2254)), LEFT(B2254,FIND("#",B2254)-1), B2254)</f>
        <v>Post-It (Driver)</v>
      </c>
      <c r="G2254" s="26">
        <f>IF(ISNUMBER(SEARCH("#",B2254)),VALUE(MID(B2254,FIND("#",B2254)+1,1000)),1)</f>
        <v>1</v>
      </c>
      <c r="H2254" t="str">
        <f>IF(AND(regexMatch(B2254,".*#[0-9]*$"),ISNUMBER(SEARCH("#",B2254))),CONCATENATE(TRIM(F2254)," #",G2254),B2254)</f>
        <v>Post-It (Driver)</v>
      </c>
    </row>
    <row r="2255" spans="1:8" ht="15.75" thickBot="1" x14ac:dyDescent="0.3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>IF(ISNUMBER(SEARCH("#",B2255)), LEFT(B2255,FIND("#",B2255)-1), B2255)</f>
        <v>Post-It (Gun)</v>
      </c>
      <c r="G2255" s="26">
        <f>IF(ISNUMBER(SEARCH("#",B2255)),VALUE(MID(B2255,FIND("#",B2255)+1,1000)),1)</f>
        <v>1</v>
      </c>
      <c r="H2255" t="str">
        <f>IF(AND(regexMatch(B2255,".*#[0-9]*$"),ISNUMBER(SEARCH("#",B2255))),CONCATENATE(TRIM(F2255)," #",G2255),B2255)</f>
        <v>Post-It (Gun)</v>
      </c>
    </row>
    <row r="2256" spans="1:8" ht="15.75" thickBot="1" x14ac:dyDescent="0.3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>IF(ISNUMBER(SEARCH("#",B2256)), LEFT(B2256,FIND("#",B2256)-1), B2256)</f>
        <v>Post-It (IT)</v>
      </c>
      <c r="G2256" s="26">
        <f>IF(ISNUMBER(SEARCH("#",B2256)),VALUE(MID(B2256,FIND("#",B2256)+1,1000)),1)</f>
        <v>1</v>
      </c>
      <c r="H2256" t="str">
        <f>IF(AND(regexMatch(B2256,".*#[0-9]*$"),ISNUMBER(SEARCH("#",B2256))),CONCATENATE(TRIM(F2256)," #",G2256),B2256)</f>
        <v>Post-It (IT)</v>
      </c>
    </row>
    <row r="2257" spans="1:8" ht="15.75" thickBot="1" x14ac:dyDescent="0.3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>IF(ISNUMBER(SEARCH("#",B2257)), LEFT(B2257,FIND("#",B2257)-1), B2257)</f>
        <v>Post-It (Lock)</v>
      </c>
      <c r="G2257" s="26">
        <f>IF(ISNUMBER(SEARCH("#",B2257)),VALUE(MID(B2257,FIND("#",B2257)+1,1000)),1)</f>
        <v>1</v>
      </c>
      <c r="H2257" t="str">
        <f>IF(AND(regexMatch(B2257,".*#[0-9]*$"),ISNUMBER(SEARCH("#",B2257))),CONCATENATE(TRIM(F2257)," #",G2257),B2257)</f>
        <v>Post-It (Lock)</v>
      </c>
    </row>
    <row r="2258" spans="1:8" ht="15.75" thickBot="1" x14ac:dyDescent="0.3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>IF(ISNUMBER(SEARCH("#",B2258)), LEFT(B2258,FIND("#",B2258)-1), B2258)</f>
        <v>Blox Spray</v>
      </c>
      <c r="G2258" s="26">
        <f>IF(ISNUMBER(SEARCH("#",B2258)),VALUE(MID(B2258,FIND("#",B2258)+1,1000)),1)</f>
        <v>1</v>
      </c>
      <c r="H2258" t="str">
        <f>IF(AND(regexMatch(B2258,".*#[0-9]*$"),ISNUMBER(SEARCH("#",B2258))),CONCATENATE(TRIM(F2258)," #",G2258),B2258)</f>
        <v>Blox Spray</v>
      </c>
    </row>
    <row r="2259" spans="1:8" ht="15.75" thickBot="1" x14ac:dyDescent="0.3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>IF(ISNUMBER(SEARCH("#",B2259)), LEFT(B2259,FIND("#",B2259)-1), B2259)</f>
        <v>Christmas Tree</v>
      </c>
      <c r="G2259" s="26">
        <f>IF(ISNUMBER(SEARCH("#",B2259)),VALUE(MID(B2259,FIND("#",B2259)+1,1000)),1)</f>
        <v>1</v>
      </c>
      <c r="H2259" t="str">
        <f>IF(AND(regexMatch(B2259,".*#[0-9]*$"),ISNUMBER(SEARCH("#",B2259))),CONCATENATE(TRIM(F2259)," #",G2259),B2259)</f>
        <v>Christmas Tree</v>
      </c>
    </row>
    <row r="2260" spans="1:8" ht="15.75" thickBot="1" x14ac:dyDescent="0.3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>IF(ISNUMBER(SEARCH("#",B2260)), LEFT(B2260,FIND("#",B2260)-1), B2260)</f>
        <v>Clothes Rail</v>
      </c>
      <c r="G2260" s="26">
        <f>IF(ISNUMBER(SEARCH("#",B2260)),VALUE(MID(B2260,FIND("#",B2260)+1,1000)),1)</f>
        <v>1</v>
      </c>
      <c r="H2260" t="str">
        <f>IF(AND(regexMatch(B2260,".*#[0-9]*$"),ISNUMBER(SEARCH("#",B2260))),CONCATENATE(TRIM(F2260)," #",G2260),B2260)</f>
        <v>Clothes Rail</v>
      </c>
    </row>
    <row r="2261" spans="1:8" ht="15.75" thickBot="1" x14ac:dyDescent="0.3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>IF(ISNUMBER(SEARCH("#",B2261)), LEFT(B2261,FIND("#",B2261)-1), B2261)</f>
        <v>Clothes Tub</v>
      </c>
      <c r="G2261" s="26">
        <f>IF(ISNUMBER(SEARCH("#",B2261)),VALUE(MID(B2261,FIND("#",B2261)+1,1000)),1)</f>
        <v>1</v>
      </c>
      <c r="H2261" t="str">
        <f>IF(AND(regexMatch(B2261,".*#[0-9]*$"),ISNUMBER(SEARCH("#",B2261))),CONCATENATE(TRIM(F2261)," #",G2261),B2261)</f>
        <v>Clothes Tub</v>
      </c>
    </row>
    <row r="2262" spans="1:8" ht="15.75" thickBot="1" x14ac:dyDescent="0.3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>IF(ISNUMBER(SEARCH("#",B2262)), LEFT(B2262,FIND("#",B2262)-1), B2262)</f>
        <v xml:space="preserve">Detergent </v>
      </c>
      <c r="G2262" s="26">
        <f>IF(ISNUMBER(SEARCH("#",B2262)),VALUE(MID(B2262,FIND("#",B2262)+1,1000)),1)</f>
        <v>1</v>
      </c>
      <c r="H2262" t="str">
        <f>IF(AND(regexMatch(B2262,".*#[0-9]*$"),ISNUMBER(SEARCH("#",B2262))),CONCATENATE(TRIM(F2262)," #",G2262),B2262)</f>
        <v>Detergent #1</v>
      </c>
    </row>
    <row r="2263" spans="1:8" ht="15.75" thickBot="1" x14ac:dyDescent="0.3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>IF(ISNUMBER(SEARCH("#",B2263)), LEFT(B2263,FIND("#",B2263)-1), B2263)</f>
        <v xml:space="preserve">Detergent </v>
      </c>
      <c r="G2263" s="26">
        <f>IF(ISNUMBER(SEARCH("#",B2263)),VALUE(MID(B2263,FIND("#",B2263)+1,1000)),1)</f>
        <v>2</v>
      </c>
      <c r="H2263" t="str">
        <f>IF(AND(regexMatch(B2263,".*#[0-9]*$"),ISNUMBER(SEARCH("#",B2263))),CONCATENATE(TRIM(F2263)," #",G2263),B2263)</f>
        <v>Detergent #2</v>
      </c>
    </row>
    <row r="2264" spans="1:8" ht="15.75" thickBot="1" x14ac:dyDescent="0.3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>IF(ISNUMBER(SEARCH("#",B2264)), LEFT(B2264,FIND("#",B2264)-1), B2264)</f>
        <v>Duck Tape</v>
      </c>
      <c r="G2264" s="26">
        <f>IF(ISNUMBER(SEARCH("#",B2264)),VALUE(MID(B2264,FIND("#",B2264)+1,1000)),1)</f>
        <v>1</v>
      </c>
      <c r="H2264" t="str">
        <f>IF(AND(regexMatch(B2264,".*#[0-9]*$"),ISNUMBER(SEARCH("#",B2264))),CONCATENATE(TRIM(F2264)," #",G2264),B2264)</f>
        <v>Duck Tape</v>
      </c>
    </row>
    <row r="2265" spans="1:8" ht="15.75" thickBot="1" x14ac:dyDescent="0.3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>IF(ISNUMBER(SEARCH("#",B2265)), LEFT(B2265,FIND("#",B2265)-1), B2265)</f>
        <v>Four Plastic Crates</v>
      </c>
      <c r="G2265" s="26">
        <f>IF(ISNUMBER(SEARCH("#",B2265)),VALUE(MID(B2265,FIND("#",B2265)+1,1000)),1)</f>
        <v>1</v>
      </c>
      <c r="H2265" t="str">
        <f>IF(AND(regexMatch(B2265,".*#[0-9]*$"),ISNUMBER(SEARCH("#",B2265))),CONCATENATE(TRIM(F2265)," #",G2265),B2265)</f>
        <v>Four Plastic Crates</v>
      </c>
    </row>
    <row r="2266" spans="1:8" ht="15.75" thickBot="1" x14ac:dyDescent="0.3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>IF(ISNUMBER(SEARCH("#",B2266)), LEFT(B2266,FIND("#",B2266)-1), B2266)</f>
        <v xml:space="preserve">Ironing Board </v>
      </c>
      <c r="G2266" s="26">
        <f>IF(ISNUMBER(SEARCH("#",B2266)),VALUE(MID(B2266,FIND("#",B2266)+1,1000)),1)</f>
        <v>1</v>
      </c>
      <c r="H2266" t="str">
        <f>IF(AND(regexMatch(B2266,".*#[0-9]*$"),ISNUMBER(SEARCH("#",B2266))),CONCATENATE(TRIM(F2266)," #",G2266),B2266)</f>
        <v>Ironing Board #1</v>
      </c>
    </row>
    <row r="2267" spans="1:8" ht="15.75" thickBot="1" x14ac:dyDescent="0.3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>IF(ISNUMBER(SEARCH("#",B2267)), LEFT(B2267,FIND("#",B2267)-1), B2267)</f>
        <v xml:space="preserve">Ironing Board </v>
      </c>
      <c r="G2267" s="26">
        <f>IF(ISNUMBER(SEARCH("#",B2267)),VALUE(MID(B2267,FIND("#",B2267)+1,1000)),1)</f>
        <v>2</v>
      </c>
      <c r="H2267" t="str">
        <f>IF(AND(regexMatch(B2267,".*#[0-9]*$"),ISNUMBER(SEARCH("#",B2267))),CONCATENATE(TRIM(F2267)," #",G2267),B2267)</f>
        <v>Ironing Board #2</v>
      </c>
    </row>
    <row r="2268" spans="1:8" ht="15.75" thickBot="1" x14ac:dyDescent="0.3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>IF(ISNUMBER(SEARCH("#",B2268)), LEFT(B2268,FIND("#",B2268)-1), B2268)</f>
        <v>Mop</v>
      </c>
      <c r="G2268" s="26">
        <f>IF(ISNUMBER(SEARCH("#",B2268)),VALUE(MID(B2268,FIND("#",B2268)+1,1000)),1)</f>
        <v>1</v>
      </c>
      <c r="H2268" t="str">
        <f>IF(AND(regexMatch(B2268,".*#[0-9]*$"),ISNUMBER(SEARCH("#",B2268))),CONCATENATE(TRIM(F2268)," #",G2268),B2268)</f>
        <v>Mop</v>
      </c>
    </row>
    <row r="2269" spans="1:8" ht="15.75" thickBot="1" x14ac:dyDescent="0.3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>IF(ISNUMBER(SEARCH("#",B2269)), LEFT(B2269,FIND("#",B2269)-1), B2269)</f>
        <v xml:space="preserve">Mop Bucket </v>
      </c>
      <c r="G2269" s="26">
        <f>IF(ISNUMBER(SEARCH("#",B2269)),VALUE(MID(B2269,FIND("#",B2269)+1,1000)),1)</f>
        <v>1</v>
      </c>
      <c r="H2269" t="str">
        <f>IF(AND(regexMatch(B2269,".*#[0-9]*$"),ISNUMBER(SEARCH("#",B2269))),CONCATENATE(TRIM(F2269)," #",G2269),B2269)</f>
        <v>Mop Bucket #1</v>
      </c>
    </row>
    <row r="2270" spans="1:8" ht="15.75" thickBot="1" x14ac:dyDescent="0.3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>IF(ISNUMBER(SEARCH("#",B2270)), LEFT(B2270,FIND("#",B2270)-1), B2270)</f>
        <v xml:space="preserve">Mop Bucket </v>
      </c>
      <c r="G2270" s="26">
        <f>IF(ISNUMBER(SEARCH("#",B2270)),VALUE(MID(B2270,FIND("#",B2270)+1,1000)),1)</f>
        <v>2</v>
      </c>
      <c r="H2270" t="str">
        <f>IF(AND(regexMatch(B2270,".*#[0-9]*$"),ISNUMBER(SEARCH("#",B2270))),CONCATENATE(TRIM(F2270)," #",G2270),B2270)</f>
        <v>Mop Bucket #2</v>
      </c>
    </row>
    <row r="2271" spans="1:8" ht="15.75" thickBot="1" x14ac:dyDescent="0.3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>IF(ISNUMBER(SEARCH("#",B2271)), LEFT(B2271,FIND("#",B2271)-1), B2271)</f>
        <v>Rag</v>
      </c>
      <c r="G2271" s="26">
        <f>IF(ISNUMBER(SEARCH("#",B2271)),VALUE(MID(B2271,FIND("#",B2271)+1,1000)),1)</f>
        <v>1</v>
      </c>
      <c r="H2271" t="str">
        <f>IF(AND(regexMatch(B2271,".*#[0-9]*$"),ISNUMBER(SEARCH("#",B2271))),CONCATENATE(TRIM(F2271)," #",G2271),B2271)</f>
        <v>Rag</v>
      </c>
    </row>
    <row r="2272" spans="1:8" ht="15.75" thickBot="1" x14ac:dyDescent="0.3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>IF(ISNUMBER(SEARCH("#",B2272)), LEFT(B2272,FIND("#",B2272)-1), B2272)</f>
        <v>Soap Powder</v>
      </c>
      <c r="G2272" s="26">
        <f>IF(ISNUMBER(SEARCH("#",B2272)),VALUE(MID(B2272,FIND("#",B2272)+1,1000)),1)</f>
        <v>1</v>
      </c>
      <c r="H2272" t="str">
        <f>IF(AND(regexMatch(B2272,".*#[0-9]*$"),ISNUMBER(SEARCH("#",B2272))),CONCATENATE(TRIM(F2272)," #",G2272),B2272)</f>
        <v>Soap Powder</v>
      </c>
    </row>
    <row r="2273" spans="1:8" ht="15.75" thickBot="1" x14ac:dyDescent="0.3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>IF(ISNUMBER(SEARCH("#",B2273)), LEFT(B2273,FIND("#",B2273)-1), B2273)</f>
        <v>Steam Iron</v>
      </c>
      <c r="G2273" s="26">
        <f>IF(ISNUMBER(SEARCH("#",B2273)),VALUE(MID(B2273,FIND("#",B2273)+1,1000)),1)</f>
        <v>1</v>
      </c>
      <c r="H2273" t="str">
        <f>IF(AND(regexMatch(B2273,".*#[0-9]*$"),ISNUMBER(SEARCH("#",B2273))),CONCATENATE(TRIM(F2273)," #",G2273),B2273)</f>
        <v>Steam Iron</v>
      </c>
    </row>
    <row r="2274" spans="1:8" ht="15.75" thickBot="1" x14ac:dyDescent="0.3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>IF(ISNUMBER(SEARCH("#",B2274)), LEFT(B2274,FIND("#",B2274)-1), B2274)</f>
        <v>Tumble Drier</v>
      </c>
      <c r="G2274" s="26">
        <f>IF(ISNUMBER(SEARCH("#",B2274)),VALUE(MID(B2274,FIND("#",B2274)+1,1000)),1)</f>
        <v>1</v>
      </c>
      <c r="H2274" t="str">
        <f>IF(AND(regexMatch(B2274,".*#[0-9]*$"),ISNUMBER(SEARCH("#",B2274))),CONCATENATE(TRIM(F2274)," #",G2274),B2274)</f>
        <v>Tumble Drier</v>
      </c>
    </row>
    <row r="2275" spans="1:8" ht="15.75" thickBot="1" x14ac:dyDescent="0.3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>IF(ISNUMBER(SEARCH("#",B2275)), LEFT(B2275,FIND("#",B2275)-1), B2275)</f>
        <v>Washing Basket</v>
      </c>
      <c r="G2275" s="26">
        <f>IF(ISNUMBER(SEARCH("#",B2275)),VALUE(MID(B2275,FIND("#",B2275)+1,1000)),1)</f>
        <v>1</v>
      </c>
      <c r="H2275" t="str">
        <f>IF(AND(regexMatch(B2275,".*#[0-9]*$"),ISNUMBER(SEARCH("#",B2275))),CONCATENATE(TRIM(F2275)," #",G2275),B2275)</f>
        <v>Washing Basket</v>
      </c>
    </row>
    <row r="2276" spans="1:8" ht="15.75" thickBot="1" x14ac:dyDescent="0.3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>IF(ISNUMBER(SEARCH("#",B2276)), LEFT(B2276,FIND("#",B2276)-1), B2276)</f>
        <v>Washing Machine</v>
      </c>
      <c r="G2276" s="26">
        <f>IF(ISNUMBER(SEARCH("#",B2276)),VALUE(MID(B2276,FIND("#",B2276)+1,1000)),1)</f>
        <v>1</v>
      </c>
      <c r="H2276" t="str">
        <f>IF(AND(regexMatch(B2276,".*#[0-9]*$"),ISNUMBER(SEARCH("#",B2276))),CONCATENATE(TRIM(F2276)," #",G2276),B2276)</f>
        <v>Washing Machine</v>
      </c>
    </row>
    <row r="2277" spans="1:8" ht="15.75" thickBot="1" x14ac:dyDescent="0.3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>IF(ISNUMBER(SEARCH("#",B2277)), LEFT(B2277,FIND("#",B2277)-1), B2277)</f>
        <v>Base Jump Target</v>
      </c>
      <c r="G2277" s="26">
        <f>IF(ISNUMBER(SEARCH("#",B2277)),VALUE(MID(B2277,FIND("#",B2277)+1,1000)),1)</f>
        <v>1</v>
      </c>
      <c r="H2277" t="str">
        <f>IF(AND(regexMatch(B2277,".*#[0-9]*$"),ISNUMBER(SEARCH("#",B2277))),CONCATENATE(TRIM(F2277)," #",G2277),B2277)</f>
        <v>Base Jump Target</v>
      </c>
    </row>
    <row r="2278" spans="1:8" ht="15.75" thickBot="1" x14ac:dyDescent="0.3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>IF(ISNUMBER(SEARCH("#",B2278)), LEFT(B2278,FIND("#",B2278)-1), B2278)</f>
        <v>Base Marker</v>
      </c>
      <c r="G2278" s="26">
        <f>IF(ISNUMBER(SEARCH("#",B2278)),VALUE(MID(B2278,FIND("#",B2278)+1,1000)),1)</f>
        <v>1</v>
      </c>
      <c r="H2278" t="str">
        <f>IF(AND(regexMatch(B2278,".*#[0-9]*$"),ISNUMBER(SEARCH("#",B2278))),CONCATENATE(TRIM(F2278)," #",G2278),B2278)</f>
        <v>Base Marker</v>
      </c>
    </row>
    <row r="2279" spans="1:8" ht="15.75" thickBot="1" x14ac:dyDescent="0.3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>IF(ISNUMBER(SEARCH("#",B2279)), LEFT(B2279,FIND("#",B2279)-1), B2279)</f>
        <v>Boost</v>
      </c>
      <c r="G2279" s="26">
        <f>IF(ISNUMBER(SEARCH("#",B2279)),VALUE(MID(B2279,FIND("#",B2279)+1,1000)),1)</f>
        <v>1</v>
      </c>
      <c r="H2279" t="str">
        <f>IF(AND(regexMatch(B2279,".*#[0-9]*$"),ISNUMBER(SEARCH("#",B2279))),CONCATENATE(TRIM(F2279)," #",G2279),B2279)</f>
        <v>Boost</v>
      </c>
    </row>
    <row r="2280" spans="1:8" ht="15.75" thickBot="1" x14ac:dyDescent="0.3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>IF(ISNUMBER(SEARCH("#",B2280)), LEFT(B2280,FIND("#",B2280)-1), B2280)</f>
        <v>Cannot Place Large</v>
      </c>
      <c r="G2280" s="26">
        <f>IF(ISNUMBER(SEARCH("#",B2280)),VALUE(MID(B2280,FIND("#",B2280)+1,1000)),1)</f>
        <v>1</v>
      </c>
      <c r="H2280" t="str">
        <f>IF(AND(regexMatch(B2280,".*#[0-9]*$"),ISNUMBER(SEARCH("#",B2280))),CONCATENATE(TRIM(F2280)," #",G2280),B2280)</f>
        <v>Cannot Place Large</v>
      </c>
    </row>
    <row r="2281" spans="1:8" ht="15.75" thickBot="1" x14ac:dyDescent="0.3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>IF(ISNUMBER(SEARCH("#",B2281)), LEFT(B2281,FIND("#",B2281)-1), B2281)</f>
        <v>Cannot Place Medium</v>
      </c>
      <c r="G2281" s="26">
        <f>IF(ISNUMBER(SEARCH("#",B2281)),VALUE(MID(B2281,FIND("#",B2281)+1,1000)),1)</f>
        <v>1</v>
      </c>
      <c r="H2281" t="str">
        <f>IF(AND(regexMatch(B2281,".*#[0-9]*$"),ISNUMBER(SEARCH("#",B2281))),CONCATENATE(TRIM(F2281)," #",G2281),B2281)</f>
        <v>Cannot Place Medium</v>
      </c>
    </row>
    <row r="2282" spans="1:8" ht="15.75" thickBot="1" x14ac:dyDescent="0.3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>IF(ISNUMBER(SEARCH("#",B2282)), LEFT(B2282,FIND("#",B2282)-1), B2282)</f>
        <v>Cannot Place Small</v>
      </c>
      <c r="G2282" s="26">
        <f>IF(ISNUMBER(SEARCH("#",B2282)),VALUE(MID(B2282,FIND("#",B2282)+1,1000)),1)</f>
        <v>1</v>
      </c>
      <c r="H2282" t="str">
        <f>IF(AND(regexMatch(B2282,".*#[0-9]*$"),ISNUMBER(SEARCH("#",B2282))),CONCATENATE(TRIM(F2282)," #",G2282),B2282)</f>
        <v>Cannot Place Small</v>
      </c>
    </row>
    <row r="2283" spans="1:8" ht="15.75" thickBot="1" x14ac:dyDescent="0.3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>IF(ISNUMBER(SEARCH("#",B2283)), LEFT(B2283,FIND("#",B2283)-1), B2283)</f>
        <v>Error</v>
      </c>
      <c r="G2283" s="26">
        <f>IF(ISNUMBER(SEARCH("#",B2283)),VALUE(MID(B2283,FIND("#",B2283)+1,1000)),1)</f>
        <v>1</v>
      </c>
      <c r="H2283" t="str">
        <f>IF(AND(regexMatch(B2283,".*#[0-9]*$"),ISNUMBER(SEARCH("#",B2283))),CONCATENATE(TRIM(F2283)," #",G2283),B2283)</f>
        <v>Error</v>
      </c>
    </row>
    <row r="2284" spans="1:8" ht="15.75" thickBot="1" x14ac:dyDescent="0.3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>IF(ISNUMBER(SEARCH("#",B2284)), LEFT(B2284,FIND("#",B2284)-1), B2284)</f>
        <v>Finish Line</v>
      </c>
      <c r="G2284" s="26">
        <f>IF(ISNUMBER(SEARCH("#",B2284)),VALUE(MID(B2284,FIND("#",B2284)+1,1000)),1)</f>
        <v>1</v>
      </c>
      <c r="H2284" t="str">
        <f>IF(AND(regexMatch(B2284,".*#[0-9]*$"),ISNUMBER(SEARCH("#",B2284))),CONCATENATE(TRIM(F2284)," #",G2284),B2284)</f>
        <v>Finish Line</v>
      </c>
    </row>
    <row r="2285" spans="1:8" ht="15.75" thickBot="1" x14ac:dyDescent="0.3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>IF(ISNUMBER(SEARCH("#",B2285)), LEFT(B2285,FIND("#",B2285)-1), B2285)</f>
        <v>Finish Line (1X Width)</v>
      </c>
      <c r="G2285" s="26">
        <f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.75" thickBot="1" x14ac:dyDescent="0.3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>IF(ISNUMBER(SEARCH("#",B2286)), LEFT(B2286,FIND("#",B2286)-1), B2286)</f>
        <v>Finish Line (2X Width)</v>
      </c>
      <c r="G2286" s="26">
        <f>IF(ISNUMBER(SEARCH("#",B2286)),VALUE(MID(B2286,FIND("#",B2286)+1,1000)),1)</f>
        <v>1</v>
      </c>
      <c r="H2286" t="str">
        <f>IF(AND(regexMatch(B2286,".*#[0-9]*$"),ISNUMBER(SEARCH("#",B2286))),CONCATENATE(TRIM(F2286)," #",G2286),B2286)</f>
        <v>Finish Line (2X Width)</v>
      </c>
    </row>
    <row r="2287" spans="1:8" ht="15.75" thickBot="1" x14ac:dyDescent="0.3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>IF(ISNUMBER(SEARCH("#",B2287)), LEFT(B2287,FIND("#",B2287)-1), B2287)</f>
        <v>Finish Line (3X Width)</v>
      </c>
      <c r="G2287" s="26">
        <f>IF(ISNUMBER(SEARCH("#",B2287)),VALUE(MID(B2287,FIND("#",B2287)+1,1000)),1)</f>
        <v>1</v>
      </c>
      <c r="H2287" t="str">
        <f>IF(AND(regexMatch(B2287,".*#[0-9]*$"),ISNUMBER(SEARCH("#",B2287))),CONCATENATE(TRIM(F2287)," #",G2287),B2287)</f>
        <v>Finish Line (3X Width)</v>
      </c>
    </row>
    <row r="2288" spans="1:8" ht="15.75" thickBot="1" x14ac:dyDescent="0.3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>IF(ISNUMBER(SEARCH("#",B2288)), LEFT(B2288,FIND("#",B2288)-1), B2288)</f>
        <v>Finish Line (4X Width)</v>
      </c>
      <c r="G2288" s="26">
        <f>IF(ISNUMBER(SEARCH("#",B2288)),VALUE(MID(B2288,FIND("#",B2288)+1,1000)),1)</f>
        <v>1</v>
      </c>
      <c r="H2288" t="str">
        <f>IF(AND(regexMatch(B2288,".*#[0-9]*$"),ISNUMBER(SEARCH("#",B2288))),CONCATENATE(TRIM(F2288)," #",G2288),B2288)</f>
        <v>Finish Line (4X Width)</v>
      </c>
    </row>
    <row r="2289" spans="1:8" ht="15.75" thickBot="1" x14ac:dyDescent="0.3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>IF(ISNUMBER(SEARCH("#",B2289)), LEFT(B2289,FIND("#",B2289)-1), B2289)</f>
        <v>Flat Arrow</v>
      </c>
      <c r="G2289" s="26">
        <f>IF(ISNUMBER(SEARCH("#",B2289)),VALUE(MID(B2289,FIND("#",B2289)+1,1000)),1)</f>
        <v>1</v>
      </c>
      <c r="H2289" t="str">
        <f>IF(AND(regexMatch(B2289,".*#[0-9]*$"),ISNUMBER(SEARCH("#",B2289))),CONCATENATE(TRIM(F2289)," #",G2289),B2289)</f>
        <v>Flat Arrow</v>
      </c>
    </row>
    <row r="2290" spans="1:8" ht="15.75" thickBot="1" x14ac:dyDescent="0.3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>IF(ISNUMBER(SEARCH("#",B2290)), LEFT(B2290,FIND("#",B2290)-1), B2290)</f>
        <v xml:space="preserve">Flat Number </v>
      </c>
      <c r="G2290" s="26">
        <f>IF(ISNUMBER(SEARCH("#",B2290)),VALUE(MID(B2290,FIND("#",B2290)+1,1000)),1)</f>
        <v>0</v>
      </c>
      <c r="H2290" t="str">
        <f>IF(AND(regexMatch(B2290,".*#[0-9]*$"),ISNUMBER(SEARCH("#",B2290))),CONCATENATE(TRIM(F2290)," #",G2290),B2290)</f>
        <v>Flat Number #0</v>
      </c>
    </row>
    <row r="2291" spans="1:8" ht="15.75" thickBot="1" x14ac:dyDescent="0.3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>IF(ISNUMBER(SEARCH("#",B2291)), LEFT(B2291,FIND("#",B2291)-1), B2291)</f>
        <v xml:space="preserve">Flat Number </v>
      </c>
      <c r="G2291" s="26">
        <f>IF(ISNUMBER(SEARCH("#",B2291)),VALUE(MID(B2291,FIND("#",B2291)+1,1000)),1)</f>
        <v>1</v>
      </c>
      <c r="H2291" t="str">
        <f>IF(AND(regexMatch(B2291,".*#[0-9]*$"),ISNUMBER(SEARCH("#",B2291))),CONCATENATE(TRIM(F2291)," #",G2291),B2291)</f>
        <v>Flat Number #1</v>
      </c>
    </row>
    <row r="2292" spans="1:8" ht="15.75" thickBot="1" x14ac:dyDescent="0.3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>IF(ISNUMBER(SEARCH("#",B2292)), LEFT(B2292,FIND("#",B2292)-1), B2292)</f>
        <v xml:space="preserve">Flat Number </v>
      </c>
      <c r="G2292" s="26">
        <f>IF(ISNUMBER(SEARCH("#",B2292)),VALUE(MID(B2292,FIND("#",B2292)+1,1000)),1)</f>
        <v>2</v>
      </c>
      <c r="H2292" t="str">
        <f>IF(AND(regexMatch(B2292,".*#[0-9]*$"),ISNUMBER(SEARCH("#",B2292))),CONCATENATE(TRIM(F2292)," #",G2292),B2292)</f>
        <v>Flat Number #2</v>
      </c>
    </row>
    <row r="2293" spans="1:8" ht="15.75" thickBot="1" x14ac:dyDescent="0.3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>IF(ISNUMBER(SEARCH("#",B2293)), LEFT(B2293,FIND("#",B2293)-1), B2293)</f>
        <v xml:space="preserve">Flat Number </v>
      </c>
      <c r="G2293" s="26">
        <f>IF(ISNUMBER(SEARCH("#",B2293)),VALUE(MID(B2293,FIND("#",B2293)+1,1000)),1)</f>
        <v>3</v>
      </c>
      <c r="H2293" t="str">
        <f>IF(AND(regexMatch(B2293,".*#[0-9]*$"),ISNUMBER(SEARCH("#",B2293))),CONCATENATE(TRIM(F2293)," #",G2293),B2293)</f>
        <v>Flat Number #3</v>
      </c>
    </row>
    <row r="2294" spans="1:8" ht="15.75" thickBot="1" x14ac:dyDescent="0.3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>IF(ISNUMBER(SEARCH("#",B2294)), LEFT(B2294,FIND("#",B2294)-1), B2294)</f>
        <v xml:space="preserve">Flat Number </v>
      </c>
      <c r="G2294" s="26">
        <f>IF(ISNUMBER(SEARCH("#",B2294)),VALUE(MID(B2294,FIND("#",B2294)+1,1000)),1)</f>
        <v>4</v>
      </c>
      <c r="H2294" t="str">
        <f>IF(AND(regexMatch(B2294,".*#[0-9]*$"),ISNUMBER(SEARCH("#",B2294))),CONCATENATE(TRIM(F2294)," #",G2294),B2294)</f>
        <v>Flat Number #4</v>
      </c>
    </row>
    <row r="2295" spans="1:8" ht="15.75" thickBot="1" x14ac:dyDescent="0.3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>IF(ISNUMBER(SEARCH("#",B2295)), LEFT(B2295,FIND("#",B2295)-1), B2295)</f>
        <v xml:space="preserve">Flat Number </v>
      </c>
      <c r="G2295" s="26">
        <f>IF(ISNUMBER(SEARCH("#",B2295)),VALUE(MID(B2295,FIND("#",B2295)+1,1000)),1)</f>
        <v>5</v>
      </c>
      <c r="H2295" t="str">
        <f>IF(AND(regexMatch(B2295,".*#[0-9]*$"),ISNUMBER(SEARCH("#",B2295))),CONCATENATE(TRIM(F2295)," #",G2295),B2295)</f>
        <v>Flat Number #5</v>
      </c>
    </row>
    <row r="2296" spans="1:8" ht="15.75" thickBot="1" x14ac:dyDescent="0.3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>IF(ISNUMBER(SEARCH("#",B2296)), LEFT(B2296,FIND("#",B2296)-1), B2296)</f>
        <v xml:space="preserve">Flat Number </v>
      </c>
      <c r="G2296" s="26">
        <f>IF(ISNUMBER(SEARCH("#",B2296)),VALUE(MID(B2296,FIND("#",B2296)+1,1000)),1)</f>
        <v>6</v>
      </c>
      <c r="H2296" t="str">
        <f>IF(AND(regexMatch(B2296,".*#[0-9]*$"),ISNUMBER(SEARCH("#",B2296))),CONCATENATE(TRIM(F2296)," #",G2296),B2296)</f>
        <v>Flat Number #6</v>
      </c>
    </row>
    <row r="2297" spans="1:8" ht="15.75" thickBot="1" x14ac:dyDescent="0.3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>IF(ISNUMBER(SEARCH("#",B2297)), LEFT(B2297,FIND("#",B2297)-1), B2297)</f>
        <v xml:space="preserve">Flat Number </v>
      </c>
      <c r="G2297" s="26">
        <f>IF(ISNUMBER(SEARCH("#",B2297)),VALUE(MID(B2297,FIND("#",B2297)+1,1000)),1)</f>
        <v>7</v>
      </c>
      <c r="H2297" t="str">
        <f>IF(AND(regexMatch(B2297,".*#[0-9]*$"),ISNUMBER(SEARCH("#",B2297))),CONCATENATE(TRIM(F2297)," #",G2297),B2297)</f>
        <v>Flat Number #7</v>
      </c>
    </row>
    <row r="2298" spans="1:8" ht="15.75" thickBot="1" x14ac:dyDescent="0.3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>IF(ISNUMBER(SEARCH("#",B2298)), LEFT(B2298,FIND("#",B2298)-1), B2298)</f>
        <v xml:space="preserve">Flat Number </v>
      </c>
      <c r="G2298" s="26">
        <f>IF(ISNUMBER(SEARCH("#",B2298)),VALUE(MID(B2298,FIND("#",B2298)+1,1000)),1)</f>
        <v>8</v>
      </c>
      <c r="H2298" t="str">
        <f>IF(AND(regexMatch(B2298,".*#[0-9]*$"),ISNUMBER(SEARCH("#",B2298))),CONCATENATE(TRIM(F2298)," #",G2298),B2298)</f>
        <v>Flat Number #8</v>
      </c>
    </row>
    <row r="2299" spans="1:8" ht="15.75" thickBot="1" x14ac:dyDescent="0.3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>IF(ISNUMBER(SEARCH("#",B2299)), LEFT(B2299,FIND("#",B2299)-1), B2299)</f>
        <v xml:space="preserve">Flat Number </v>
      </c>
      <c r="G2299" s="26">
        <f>IF(ISNUMBER(SEARCH("#",B2299)),VALUE(MID(B2299,FIND("#",B2299)+1,1000)),1)</f>
        <v>9</v>
      </c>
      <c r="H2299" t="str">
        <f>IF(AND(regexMatch(B2299,".*#[0-9]*$"),ISNUMBER(SEARCH("#",B2299))),CONCATENATE(TRIM(F2299)," #",G2299),B2299)</f>
        <v>Flat Number #9</v>
      </c>
    </row>
    <row r="2300" spans="1:8" ht="15.75" thickBot="1" x14ac:dyDescent="0.3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>IF(ISNUMBER(SEARCH("#",B2300)), LEFT(B2300,FIND("#",B2300)-1), B2300)</f>
        <v>Maxed Out Large</v>
      </c>
      <c r="G2300" s="26">
        <f>IF(ISNUMBER(SEARCH("#",B2300)),VALUE(MID(B2300,FIND("#",B2300)+1,1000)),1)</f>
        <v>1</v>
      </c>
      <c r="H2300" t="str">
        <f>IF(AND(regexMatch(B2300,".*#[0-9]*$"),ISNUMBER(SEARCH("#",B2300))),CONCATENATE(TRIM(F2300)," #",G2300),B2300)</f>
        <v>Maxed Out Large</v>
      </c>
    </row>
    <row r="2301" spans="1:8" ht="15.75" thickBot="1" x14ac:dyDescent="0.3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>IF(ISNUMBER(SEARCH("#",B2301)), LEFT(B2301,FIND("#",B2301)-1), B2301)</f>
        <v>Maxed Out Medium</v>
      </c>
      <c r="G2301" s="26">
        <f>IF(ISNUMBER(SEARCH("#",B2301)),VALUE(MID(B2301,FIND("#",B2301)+1,1000)),1)</f>
        <v>1</v>
      </c>
      <c r="H2301" t="str">
        <f>IF(AND(regexMatch(B2301,".*#[0-9]*$"),ISNUMBER(SEARCH("#",B2301))),CONCATENATE(TRIM(F2301)," #",G2301),B2301)</f>
        <v>Maxed Out Medium</v>
      </c>
    </row>
    <row r="2302" spans="1:8" ht="15.75" thickBot="1" x14ac:dyDescent="0.3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>IF(ISNUMBER(SEARCH("#",B2302)), LEFT(B2302,FIND("#",B2302)-1), B2302)</f>
        <v>Maxed Out Small</v>
      </c>
      <c r="G2302" s="26">
        <f>IF(ISNUMBER(SEARCH("#",B2302)),VALUE(MID(B2302,FIND("#",B2302)+1,1000)),1)</f>
        <v>1</v>
      </c>
      <c r="H2302" t="str">
        <f>IF(AND(regexMatch(B2302,".*#[0-9]*$"),ISNUMBER(SEARCH("#",B2302))),CONCATENATE(TRIM(F2302)," #",G2302),B2302)</f>
        <v>Maxed Out Small</v>
      </c>
    </row>
    <row r="2303" spans="1:8" ht="15.75" thickBot="1" x14ac:dyDescent="0.3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>IF(ISNUMBER(SEARCH("#",B2303)), LEFT(B2303,FIND("#",B2303)-1), B2303)</f>
        <v>Number 0</v>
      </c>
      <c r="G2303" s="26">
        <f>IF(ISNUMBER(SEARCH("#",B2303)),VALUE(MID(B2303,FIND("#",B2303)+1,1000)),1)</f>
        <v>1</v>
      </c>
      <c r="H2303" t="str">
        <f>IF(AND(regexMatch(B2303,".*#[0-9]*$"),ISNUMBER(SEARCH("#",B2303))),CONCATENATE(TRIM(F2303)," #",G2303),B2303)</f>
        <v>Number 0</v>
      </c>
    </row>
    <row r="2304" spans="1:8" ht="15.75" thickBot="1" x14ac:dyDescent="0.3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>IF(ISNUMBER(SEARCH("#",B2304)), LEFT(B2304,FIND("#",B2304)-1), B2304)</f>
        <v>Number 1</v>
      </c>
      <c r="G2304" s="26">
        <f>IF(ISNUMBER(SEARCH("#",B2304)),VALUE(MID(B2304,FIND("#",B2304)+1,1000)),1)</f>
        <v>1</v>
      </c>
      <c r="H2304" t="str">
        <f>IF(AND(regexMatch(B2304,".*#[0-9]*$"),ISNUMBER(SEARCH("#",B2304))),CONCATENATE(TRIM(F2304)," #",G2304),B2304)</f>
        <v>Number 1</v>
      </c>
    </row>
    <row r="2305" spans="1:8" ht="15.75" thickBot="1" x14ac:dyDescent="0.3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>IF(ISNUMBER(SEARCH("#",B2305)), LEFT(B2305,FIND("#",B2305)-1), B2305)</f>
        <v>Number 2</v>
      </c>
      <c r="G2305" s="26">
        <f>IF(ISNUMBER(SEARCH("#",B2305)),VALUE(MID(B2305,FIND("#",B2305)+1,1000)),1)</f>
        <v>1</v>
      </c>
      <c r="H2305" t="str">
        <f>IF(AND(regexMatch(B2305,".*#[0-9]*$"),ISNUMBER(SEARCH("#",B2305))),CONCATENATE(TRIM(F2305)," #",G2305),B2305)</f>
        <v>Number 2</v>
      </c>
    </row>
    <row r="2306" spans="1:8" ht="15.75" thickBot="1" x14ac:dyDescent="0.3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>IF(ISNUMBER(SEARCH("#",B2306)), LEFT(B2306,FIND("#",B2306)-1), B2306)</f>
        <v>Number 3</v>
      </c>
      <c r="G2306" s="26">
        <f>IF(ISNUMBER(SEARCH("#",B2306)),VALUE(MID(B2306,FIND("#",B2306)+1,1000)),1)</f>
        <v>1</v>
      </c>
      <c r="H2306" t="str">
        <f>IF(AND(regexMatch(B2306,".*#[0-9]*$"),ISNUMBER(SEARCH("#",B2306))),CONCATENATE(TRIM(F2306)," #",G2306),B2306)</f>
        <v>Number 3</v>
      </c>
    </row>
    <row r="2307" spans="1:8" ht="15.75" thickBot="1" x14ac:dyDescent="0.3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>IF(ISNUMBER(SEARCH("#",B2307)), LEFT(B2307,FIND("#",B2307)-1), B2307)</f>
        <v>Number 4</v>
      </c>
      <c r="G2307" s="26">
        <f>IF(ISNUMBER(SEARCH("#",B2307)),VALUE(MID(B2307,FIND("#",B2307)+1,1000)),1)</f>
        <v>1</v>
      </c>
      <c r="H2307" t="str">
        <f>IF(AND(regexMatch(B2307,".*#[0-9]*$"),ISNUMBER(SEARCH("#",B2307))),CONCATENATE(TRIM(F2307)," #",G2307),B2307)</f>
        <v>Number 4</v>
      </c>
    </row>
    <row r="2308" spans="1:8" ht="15.75" thickBot="1" x14ac:dyDescent="0.3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>IF(ISNUMBER(SEARCH("#",B2308)), LEFT(B2308,FIND("#",B2308)-1), B2308)</f>
        <v>Number 5</v>
      </c>
      <c r="G2308" s="26">
        <f>IF(ISNUMBER(SEARCH("#",B2308)),VALUE(MID(B2308,FIND("#",B2308)+1,1000)),1)</f>
        <v>1</v>
      </c>
      <c r="H2308" t="str">
        <f>IF(AND(regexMatch(B2308,".*#[0-9]*$"),ISNUMBER(SEARCH("#",B2308))),CONCATENATE(TRIM(F2308)," #",G2308),B2308)</f>
        <v>Number 5</v>
      </c>
    </row>
    <row r="2309" spans="1:8" ht="15.75" thickBot="1" x14ac:dyDescent="0.3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>IF(ISNUMBER(SEARCH("#",B2309)), LEFT(B2309,FIND("#",B2309)-1), B2309)</f>
        <v>Number 6</v>
      </c>
      <c r="G2309" s="26">
        <f>IF(ISNUMBER(SEARCH("#",B2309)),VALUE(MID(B2309,FIND("#",B2309)+1,1000)),1)</f>
        <v>1</v>
      </c>
      <c r="H2309" t="str">
        <f>IF(AND(regexMatch(B2309,".*#[0-9]*$"),ISNUMBER(SEARCH("#",B2309))),CONCATENATE(TRIM(F2309)," #",G2309),B2309)</f>
        <v>Number 6</v>
      </c>
    </row>
    <row r="2310" spans="1:8" ht="15.75" thickBot="1" x14ac:dyDescent="0.3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>IF(ISNUMBER(SEARCH("#",B2310)), LEFT(B2310,FIND("#",B2310)-1), B2310)</f>
        <v>Number 7</v>
      </c>
      <c r="G2310" s="26">
        <f>IF(ISNUMBER(SEARCH("#",B2310)),VALUE(MID(B2310,FIND("#",B2310)+1,1000)),1)</f>
        <v>1</v>
      </c>
      <c r="H2310" t="str">
        <f>IF(AND(regexMatch(B2310,".*#[0-9]*$"),ISNUMBER(SEARCH("#",B2310))),CONCATENATE(TRIM(F2310)," #",G2310),B2310)</f>
        <v>Number 7</v>
      </c>
    </row>
    <row r="2311" spans="1:8" ht="15.75" thickBot="1" x14ac:dyDescent="0.3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>IF(ISNUMBER(SEARCH("#",B2311)), LEFT(B2311,FIND("#",B2311)-1), B2311)</f>
        <v>Number 8</v>
      </c>
      <c r="G2311" s="26">
        <f>IF(ISNUMBER(SEARCH("#",B2311)),VALUE(MID(B2311,FIND("#",B2311)+1,1000)),1)</f>
        <v>1</v>
      </c>
      <c r="H2311" t="str">
        <f>IF(AND(regexMatch(B2311,".*#[0-9]*$"),ISNUMBER(SEARCH("#",B2311))),CONCATENATE(TRIM(F2311)," #",G2311),B2311)</f>
        <v>Number 8</v>
      </c>
    </row>
    <row r="2312" spans="1:8" ht="15.75" thickBot="1" x14ac:dyDescent="0.3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>IF(ISNUMBER(SEARCH("#",B2312)), LEFT(B2312,FIND("#",B2312)-1), B2312)</f>
        <v>Number 9</v>
      </c>
      <c r="G2312" s="26">
        <f>IF(ISNUMBER(SEARCH("#",B2312)),VALUE(MID(B2312,FIND("#",B2312)+1,1000)),1)</f>
        <v>1</v>
      </c>
      <c r="H2312" t="str">
        <f>IF(AND(regexMatch(B2312,".*#[0-9]*$"),ISNUMBER(SEARCH("#",B2312))),CONCATENATE(TRIM(F2312)," #",G2312),B2312)</f>
        <v>Number 9</v>
      </c>
    </row>
    <row r="2313" spans="1:8" ht="15.75" thickBot="1" x14ac:dyDescent="0.3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>IF(ISNUMBER(SEARCH("#",B2313)), LEFT(B2313,FIND("#",B2313)-1), B2313)</f>
        <v>Plain Ring</v>
      </c>
      <c r="G2313" s="26">
        <f>IF(ISNUMBER(SEARCH("#",B2313)),VALUE(MID(B2313,FIND("#",B2313)+1,1000)),1)</f>
        <v>1</v>
      </c>
      <c r="H2313" t="str">
        <f>IF(AND(regexMatch(B2313,".*#[0-9]*$"),ISNUMBER(SEARCH("#",B2313))),CONCATENATE(TRIM(F2313)," #",G2313),B2313)</f>
        <v>Plain Ring</v>
      </c>
    </row>
    <row r="2314" spans="1:8" ht="15.75" thickBot="1" x14ac:dyDescent="0.3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>IF(ISNUMBER(SEARCH("#",B2314)), LEFT(B2314,FIND("#",B2314)-1), B2314)</f>
        <v>Plane Icon</v>
      </c>
      <c r="G2314" s="26">
        <f>IF(ISNUMBER(SEARCH("#",B2314)),VALUE(MID(B2314,FIND("#",B2314)+1,1000)),1)</f>
        <v>1</v>
      </c>
      <c r="H2314" t="str">
        <f>IF(AND(regexMatch(B2314,".*#[0-9]*$"),ISNUMBER(SEARCH("#",B2314))),CONCATENATE(TRIM(F2314)," #",G2314),B2314)</f>
        <v>Plane Icon</v>
      </c>
    </row>
    <row r="2315" spans="1:8" ht="15.75" thickBot="1" x14ac:dyDescent="0.3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>IF(ISNUMBER(SEARCH("#",B2315)), LEFT(B2315,FIND("#",B2315)-1), B2315)</f>
        <v>Pointer Ring</v>
      </c>
      <c r="G2315" s="26">
        <f>IF(ISNUMBER(SEARCH("#",B2315)),VALUE(MID(B2315,FIND("#",B2315)+1,1000)),1)</f>
        <v>1</v>
      </c>
      <c r="H2315" t="str">
        <f>IF(AND(regexMatch(B2315,".*#[0-9]*$"),ISNUMBER(SEARCH("#",B2315))),CONCATENATE(TRIM(F2315)," #",G2315),B2315)</f>
        <v>Pointer Ring</v>
      </c>
    </row>
    <row r="2316" spans="1:8" ht="15.75" thickBot="1" x14ac:dyDescent="0.3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>IF(ISNUMBER(SEARCH("#",B2316)), LEFT(B2316,FIND("#",B2316)-1), B2316)</f>
        <v>Red X</v>
      </c>
      <c r="G2316" s="26">
        <f>IF(ISNUMBER(SEARCH("#",B2316)),VALUE(MID(B2316,FIND("#",B2316)+1,1000)),1)</f>
        <v>1</v>
      </c>
      <c r="H2316" t="str">
        <f>IF(AND(regexMatch(B2316,".*#[0-9]*$"),ISNUMBER(SEARCH("#",B2316))),CONCATENATE(TRIM(F2316)," #",G2316),B2316)</f>
        <v>Red X</v>
      </c>
    </row>
    <row r="2317" spans="1:8" ht="15.75" thickBot="1" x14ac:dyDescent="0.3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>IF(ISNUMBER(SEARCH("#",B2317)), LEFT(B2317,FIND("#",B2317)-1), B2317)</f>
        <v>Repair Blue</v>
      </c>
      <c r="G2317" s="26">
        <f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.75" thickBot="1" x14ac:dyDescent="0.3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>IF(ISNUMBER(SEARCH("#",B2318)), LEFT(B2318,FIND("#",B2318)-1), B2318)</f>
        <v>Repair White</v>
      </c>
      <c r="G2318" s="26">
        <f>IF(ISNUMBER(SEARCH("#",B2318)),VALUE(MID(B2318,FIND("#",B2318)+1,1000)),1)</f>
        <v>1</v>
      </c>
      <c r="H2318" t="str">
        <f>IF(AND(regexMatch(B2318,".*#[0-9]*$"),ISNUMBER(SEARCH("#",B2318))),CONCATENATE(TRIM(F2318)," #",G2318),B2318)</f>
        <v>Repair White</v>
      </c>
    </row>
    <row r="2319" spans="1:8" ht="15.75" thickBot="1" x14ac:dyDescent="0.3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>IF(ISNUMBER(SEARCH("#",B2319)), LEFT(B2319,FIND("#",B2319)-1), B2319)</f>
        <v>Respawn</v>
      </c>
      <c r="G2319" s="26">
        <f>IF(ISNUMBER(SEARCH("#",B2319)),VALUE(MID(B2319,FIND("#",B2319)+1,1000)),1)</f>
        <v>1</v>
      </c>
      <c r="H2319" t="str">
        <f>IF(AND(regexMatch(B2319,".*#[0-9]*$"),ISNUMBER(SEARCH("#",B2319))),CONCATENATE(TRIM(F2319)," #",G2319),B2319)</f>
        <v>Respawn</v>
      </c>
    </row>
    <row r="2320" spans="1:8" ht="15.75" thickBot="1" x14ac:dyDescent="0.3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>IF(ISNUMBER(SEARCH("#",B2320)), LEFT(B2320,FIND("#",B2320)-1), B2320)</f>
        <v>Ring Of Arrows</v>
      </c>
      <c r="G2320" s="26">
        <f>IF(ISNUMBER(SEARCH("#",B2320)),VALUE(MID(B2320,FIND("#",B2320)+1,1000)),1)</f>
        <v>1</v>
      </c>
      <c r="H2320" t="str">
        <f>IF(AND(regexMatch(B2320,".*#[0-9]*$"),ISNUMBER(SEARCH("#",B2320))),CONCATENATE(TRIM(F2320)," #",G2320),B2320)</f>
        <v>Ring Of Arrows</v>
      </c>
    </row>
    <row r="2321" spans="1:8" ht="15.75" thickBot="1" x14ac:dyDescent="0.3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>IF(ISNUMBER(SEARCH("#",B2321)), LEFT(B2321,FIND("#",B2321)-1), B2321)</f>
        <v>Rocket</v>
      </c>
      <c r="G2321" s="26">
        <f>IF(ISNUMBER(SEARCH("#",B2321)),VALUE(MID(B2321,FIND("#",B2321)+1,1000)),1)</f>
        <v>1</v>
      </c>
      <c r="H2321" t="str">
        <f>IF(AND(regexMatch(B2321,".*#[0-9]*$"),ISNUMBER(SEARCH("#",B2321))),CONCATENATE(TRIM(F2321)," #",G2321),B2321)</f>
        <v>Rocket</v>
      </c>
    </row>
    <row r="2322" spans="1:8" ht="15.75" thickBot="1" x14ac:dyDescent="0.3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>IF(ISNUMBER(SEARCH("#",B2322)), LEFT(B2322,FIND("#",B2322)-1), B2322)</f>
        <v>Shade Large</v>
      </c>
      <c r="G2322" s="26">
        <f>IF(ISNUMBER(SEARCH("#",B2322)),VALUE(MID(B2322,FIND("#",B2322)+1,1000)),1)</f>
        <v>1</v>
      </c>
      <c r="H2322" t="str">
        <f>IF(AND(regexMatch(B2322,".*#[0-9]*$"),ISNUMBER(SEARCH("#",B2322))),CONCATENATE(TRIM(F2322)," #",G2322),B2322)</f>
        <v>Shade Large</v>
      </c>
    </row>
    <row r="2323" spans="1:8" ht="15.75" thickBot="1" x14ac:dyDescent="0.3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>IF(ISNUMBER(SEARCH("#",B2323)), LEFT(B2323,FIND("#",B2323)-1), B2323)</f>
        <v>Shade Medium</v>
      </c>
      <c r="G2323" s="26">
        <f>IF(ISNUMBER(SEARCH("#",B2323)),VALUE(MID(B2323,FIND("#",B2323)+1,1000)),1)</f>
        <v>1</v>
      </c>
      <c r="H2323" t="str">
        <f>IF(AND(regexMatch(B2323,".*#[0-9]*$"),ISNUMBER(SEARCH("#",B2323))),CONCATENATE(TRIM(F2323)," #",G2323),B2323)</f>
        <v>Shade Medium</v>
      </c>
    </row>
    <row r="2324" spans="1:8" ht="15.75" thickBot="1" x14ac:dyDescent="0.3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>IF(ISNUMBER(SEARCH("#",B2324)), LEFT(B2324,FIND("#",B2324)-1), B2324)</f>
        <v>Shade Small</v>
      </c>
      <c r="G2324" s="26">
        <f>IF(ISNUMBER(SEARCH("#",B2324)),VALUE(MID(B2324,FIND("#",B2324)+1,1000)),1)</f>
        <v>1</v>
      </c>
      <c r="H2324" t="str">
        <f>IF(AND(regexMatch(B2324,".*#[0-9]*$"),ISNUMBER(SEARCH("#",B2324))),CONCATENATE(TRIM(F2324)," #",G2324),B2324)</f>
        <v>Shade Small</v>
      </c>
    </row>
    <row r="2325" spans="1:8" ht="15.75" thickBot="1" x14ac:dyDescent="0.3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>IF(ISNUMBER(SEARCH("#",B2325)), LEFT(B2325,FIND("#",B2325)-1), B2325)</f>
        <v>Small Black Tick</v>
      </c>
      <c r="G2325" s="26">
        <f>IF(ISNUMBER(SEARCH("#",B2325)),VALUE(MID(B2325,FIND("#",B2325)+1,1000)),1)</f>
        <v>1</v>
      </c>
      <c r="H2325" t="str">
        <f>IF(AND(regexMatch(B2325,".*#[0-9]*$"),ISNUMBER(SEARCH("#",B2325))),CONCATENATE(TRIM(F2325)," #",G2325),B2325)</f>
        <v>Small Black Tick</v>
      </c>
    </row>
    <row r="2326" spans="1:8" ht="15.75" thickBot="1" x14ac:dyDescent="0.3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>IF(ISNUMBER(SEARCH("#",B2326)), LEFT(B2326,FIND("#",B2326)-1), B2326)</f>
        <v>Small Red Tick</v>
      </c>
      <c r="G2326" s="26">
        <f>IF(ISNUMBER(SEARCH("#",B2326)),VALUE(MID(B2326,FIND("#",B2326)+1,1000)),1)</f>
        <v>1</v>
      </c>
      <c r="H2326" t="str">
        <f>IF(AND(regexMatch(B2326,".*#[0-9]*$"),ISNUMBER(SEARCH("#",B2326))),CONCATENATE(TRIM(F2326)," #",G2326),B2326)</f>
        <v>Small Red Tick</v>
      </c>
    </row>
    <row r="2327" spans="1:8" ht="15.75" thickBot="1" x14ac:dyDescent="0.3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>IF(ISNUMBER(SEARCH("#",B2327)), LEFT(B2327,FIND("#",B2327)-1), B2327)</f>
        <v>Spike</v>
      </c>
      <c r="G2327" s="26">
        <f>IF(ISNUMBER(SEARCH("#",B2327)),VALUE(MID(B2327,FIND("#",B2327)+1,1000)),1)</f>
        <v>1</v>
      </c>
      <c r="H2327" t="str">
        <f>IF(AND(regexMatch(B2327,".*#[0-9]*$"),ISNUMBER(SEARCH("#",B2327))),CONCATENATE(TRIM(F2327)," #",G2327),B2327)</f>
        <v>Spike</v>
      </c>
    </row>
    <row r="2328" spans="1:8" ht="15.75" thickBot="1" x14ac:dyDescent="0.3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>IF(ISNUMBER(SEARCH("#",B2328)), LEFT(B2328,FIND("#",B2328)-1), B2328)</f>
        <v>Start Grid Place</v>
      </c>
      <c r="G2328" s="26">
        <f>IF(ISNUMBER(SEARCH("#",B2328)),VALUE(MID(B2328,FIND("#",B2328)+1,1000)),1)</f>
        <v>1</v>
      </c>
      <c r="H2328" t="str">
        <f>IF(AND(regexMatch(B2328,".*#[0-9]*$"),ISNUMBER(SEARCH("#",B2328))),CONCATENATE(TRIM(F2328)," #",G2328),B2328)</f>
        <v>Start Grid Place</v>
      </c>
    </row>
    <row r="2329" spans="1:8" ht="15.75" thickBot="1" x14ac:dyDescent="0.3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>IF(ISNUMBER(SEARCH("#",B2329)), LEFT(B2329,FIND("#",B2329)-1), B2329)</f>
        <v>White X</v>
      </c>
      <c r="G2329" s="26">
        <f>IF(ISNUMBER(SEARCH("#",B2329)),VALUE(MID(B2329,FIND("#",B2329)+1,1000)),1)</f>
        <v>1</v>
      </c>
      <c r="H2329" t="str">
        <f>IF(AND(regexMatch(B2329,".*#[0-9]*$"),ISNUMBER(SEARCH("#",B2329))),CONCATENATE(TRIM(F2329)," #",G2329),B2329)</f>
        <v>White X</v>
      </c>
    </row>
    <row r="2330" spans="1:8" ht="15.75" thickBot="1" x14ac:dyDescent="0.3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>IF(ISNUMBER(SEARCH("#",B2330)), LEFT(B2330,FIND("#",B2330)-1), B2330)</f>
        <v>White X Large</v>
      </c>
      <c r="G2330" s="26">
        <f>IF(ISNUMBER(SEARCH("#",B2330)),VALUE(MID(B2330,FIND("#",B2330)+1,1000)),1)</f>
        <v>1</v>
      </c>
      <c r="H2330" t="str">
        <f>IF(AND(regexMatch(B2330,".*#[0-9]*$"),ISNUMBER(SEARCH("#",B2330))),CONCATENATE(TRIM(F2330)," #",G2330),B2330)</f>
        <v>White X Large</v>
      </c>
    </row>
    <row r="2331" spans="1:8" ht="15.75" thickBot="1" x14ac:dyDescent="0.3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>IF(ISNUMBER(SEARCH("#",B2331)), LEFT(B2331,FIND("#",B2331)-1), B2331)</f>
        <v>White X Medium</v>
      </c>
      <c r="G2331" s="26">
        <f>IF(ISNUMBER(SEARCH("#",B2331)),VALUE(MID(B2331,FIND("#",B2331)+1,1000)),1)</f>
        <v>1</v>
      </c>
      <c r="H2331" t="str">
        <f>IF(AND(regexMatch(B2331,".*#[0-9]*$"),ISNUMBER(SEARCH("#",B2331))),CONCATENATE(TRIM(F2331)," #",G2331),B2331)</f>
        <v>White X Medium</v>
      </c>
    </row>
    <row r="2332" spans="1:8" ht="15.75" thickBot="1" x14ac:dyDescent="0.3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>IF(ISNUMBER(SEARCH("#",B2332)), LEFT(B2332,FIND("#",B2332)-1), B2332)</f>
        <v>White X Small</v>
      </c>
      <c r="G2332" s="26">
        <f>IF(ISNUMBER(SEARCH("#",B2332)),VALUE(MID(B2332,FIND("#",B2332)+1,1000)),1)</f>
        <v>1</v>
      </c>
      <c r="H2332" t="str">
        <f>IF(AND(regexMatch(B2332,".*#[0-9]*$"),ISNUMBER(SEARCH("#",B2332))),CONCATENATE(TRIM(F2332)," #",G2332),B2332)</f>
        <v>White X Small</v>
      </c>
    </row>
    <row r="2333" spans="1:8" ht="15.75" thickBot="1" x14ac:dyDescent="0.3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>IF(ISNUMBER(SEARCH("#",B2333)), LEFT(B2333,FIND("#",B2333)-1), B2333)</f>
        <v>Bakery Bread Rack</v>
      </c>
      <c r="G2333" s="26">
        <f>IF(ISNUMBER(SEARCH("#",B2333)),VALUE(MID(B2333,FIND("#",B2333)+1,1000)),1)</f>
        <v>1</v>
      </c>
      <c r="H2333" t="str">
        <f>IF(AND(regexMatch(B2333,".*#[0-9]*$"),ISNUMBER(SEARCH("#",B2333))),CONCATENATE(TRIM(F2333)," #",G2333),B2333)</f>
        <v>Bakery Bread Rack</v>
      </c>
    </row>
    <row r="2334" spans="1:8" ht="15.75" thickBot="1" x14ac:dyDescent="0.3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>IF(ISNUMBER(SEARCH("#",B2334)), LEFT(B2334,FIND("#",B2334)-1), B2334)</f>
        <v>Beef Splitting Machine</v>
      </c>
      <c r="G2334" s="26">
        <f>IF(ISNUMBER(SEARCH("#",B2334)),VALUE(MID(B2334,FIND("#",B2334)+1,1000)),1)</f>
        <v>1</v>
      </c>
      <c r="H2334" t="str">
        <f>IF(AND(regexMatch(B2334,".*#[0-9]*$"),ISNUMBER(SEARCH("#",B2334))),CONCATENATE(TRIM(F2334)," #",G2334),B2334)</f>
        <v>Beef Splitting Machine</v>
      </c>
    </row>
    <row r="2335" spans="1:8" ht="15.75" thickBot="1" x14ac:dyDescent="0.3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>IF(ISNUMBER(SEARCH("#",B2335)), LEFT(B2335,FIND("#",B2335)-1), B2335)</f>
        <v>Biotech Machine</v>
      </c>
      <c r="G2335" s="26">
        <f>IF(ISNUMBER(SEARCH("#",B2335)),VALUE(MID(B2335,FIND("#",B2335)+1,1000)),1)</f>
        <v>1</v>
      </c>
      <c r="H2335" t="str">
        <f>IF(AND(regexMatch(B2335,".*#[0-9]*$"),ISNUMBER(SEARCH("#",B2335))),CONCATENATE(TRIM(F2335)," #",G2335),B2335)</f>
        <v>Biotech Machine</v>
      </c>
    </row>
    <row r="2336" spans="1:8" ht="15.75" thickBot="1" x14ac:dyDescent="0.3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>IF(ISNUMBER(SEARCH("#",B2336)), LEFT(B2336,FIND("#",B2336)-1), B2336)</f>
        <v>Chemical Bottle</v>
      </c>
      <c r="G2336" s="26">
        <f>IF(ISNUMBER(SEARCH("#",B2336)),VALUE(MID(B2336,FIND("#",B2336)+1,1000)),1)</f>
        <v>1</v>
      </c>
      <c r="H2336" t="str">
        <f>IF(AND(regexMatch(B2336,".*#[0-9]*$"),ISNUMBER(SEARCH("#",B2336))),CONCATENATE(TRIM(F2336)," #",G2336),B2336)</f>
        <v>Chemical Bottle</v>
      </c>
    </row>
    <row r="2337" spans="1:8" ht="15.75" thickBot="1" x14ac:dyDescent="0.3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>IF(ISNUMBER(SEARCH("#",B2337)), LEFT(B2337,FIND("#",B2337)-1), B2337)</f>
        <v xml:space="preserve">Chemical Vial </v>
      </c>
      <c r="G2337" s="26">
        <f>IF(ISNUMBER(SEARCH("#",B2337)),VALUE(MID(B2337,FIND("#",B2337)+1,1000)),1)</f>
        <v>1</v>
      </c>
      <c r="H2337" t="str">
        <f>IF(AND(regexMatch(B2337,".*#[0-9]*$"),ISNUMBER(SEARCH("#",B2337))),CONCATENATE(TRIM(F2337)," #",G2337),B2337)</f>
        <v>Chemical Vial #1</v>
      </c>
    </row>
    <row r="2338" spans="1:8" ht="15.75" thickBot="1" x14ac:dyDescent="0.3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>IF(ISNUMBER(SEARCH("#",B2338)), LEFT(B2338,FIND("#",B2338)-1), B2338)</f>
        <v xml:space="preserve">Chemical Vial </v>
      </c>
      <c r="G2338" s="26">
        <f>IF(ISNUMBER(SEARCH("#",B2338)),VALUE(MID(B2338,FIND("#",B2338)+1,1000)),1)</f>
        <v>2</v>
      </c>
      <c r="H2338" t="str">
        <f>IF(AND(regexMatch(B2338,".*#[0-9]*$"),ISNUMBER(SEARCH("#",B2338))),CONCATENATE(TRIM(F2338)," #",G2338),B2338)</f>
        <v>Chemical Vial #2</v>
      </c>
    </row>
    <row r="2339" spans="1:8" ht="15.75" thickBot="1" x14ac:dyDescent="0.3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>IF(ISNUMBER(SEARCH("#",B2339)), LEFT(B2339,FIND("#",B2339)-1), B2339)</f>
        <v>Conical Flask</v>
      </c>
      <c r="G2339" s="26">
        <f>IF(ISNUMBER(SEARCH("#",B2339)),VALUE(MID(B2339,FIND("#",B2339)+1,1000)),1)</f>
        <v>1</v>
      </c>
      <c r="H2339" t="str">
        <f>IF(AND(regexMatch(B2339,".*#[0-9]*$"),ISNUMBER(SEARCH("#",B2339))),CONCATENATE(TRIM(F2339)," #",G2339),B2339)</f>
        <v>Conical Flask</v>
      </c>
    </row>
    <row r="2340" spans="1:8" ht="15.75" thickBot="1" x14ac:dyDescent="0.3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>IF(ISNUMBER(SEARCH("#",B2340)), LEFT(B2340,FIND("#",B2340)-1), B2340)</f>
        <v xml:space="preserve">Crane Truck </v>
      </c>
      <c r="G2340" s="26">
        <f>IF(ISNUMBER(SEARCH("#",B2340)),VALUE(MID(B2340,FIND("#",B2340)+1,1000)),1)</f>
        <v>1</v>
      </c>
      <c r="H2340" t="str">
        <f>IF(AND(regexMatch(B2340,".*#[0-9]*$"),ISNUMBER(SEARCH("#",B2340))),CONCATENATE(TRIM(F2340)," #",G2340),B2340)</f>
        <v>Crane Truck #1</v>
      </c>
    </row>
    <row r="2341" spans="1:8" ht="15.75" thickBot="1" x14ac:dyDescent="0.3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>IF(ISNUMBER(SEARCH("#",B2341)), LEFT(B2341,FIND("#",B2341)-1), B2341)</f>
        <v xml:space="preserve">Crane Truck </v>
      </c>
      <c r="G2341" s="26">
        <f>IF(ISNUMBER(SEARCH("#",B2341)),VALUE(MID(B2341,FIND("#",B2341)+1,1000)),1)</f>
        <v>2</v>
      </c>
      <c r="H2341" t="str">
        <f>IF(AND(regexMatch(B2341,".*#[0-9]*$"),ISNUMBER(SEARCH("#",B2341))),CONCATENATE(TRIM(F2341)," #",G2341),B2341)</f>
        <v>Crane Truck #2</v>
      </c>
    </row>
    <row r="2342" spans="1:8" ht="15.75" thickBot="1" x14ac:dyDescent="0.3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>IF(ISNUMBER(SEARCH("#",B2342)), LEFT(B2342,FIND("#",B2342)-1), B2342)</f>
        <v xml:space="preserve">Dog Cage </v>
      </c>
      <c r="G2342" s="26">
        <f>IF(ISNUMBER(SEARCH("#",B2342)),VALUE(MID(B2342,FIND("#",B2342)+1,1000)),1)</f>
        <v>1</v>
      </c>
      <c r="H2342" t="str">
        <f>IF(AND(regexMatch(B2342,".*#[0-9]*$"),ISNUMBER(SEARCH("#",B2342))),CONCATENATE(TRIM(F2342)," #",G2342),B2342)</f>
        <v>Dog Cage #1</v>
      </c>
    </row>
    <row r="2343" spans="1:8" ht="15.75" thickBot="1" x14ac:dyDescent="0.3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>IF(ISNUMBER(SEARCH("#",B2343)), LEFT(B2343,FIND("#",B2343)-1), B2343)</f>
        <v xml:space="preserve">Dog Cage </v>
      </c>
      <c r="G2343" s="26">
        <f>IF(ISNUMBER(SEARCH("#",B2343)),VALUE(MID(B2343,FIND("#",B2343)+1,1000)),1)</f>
        <v>2</v>
      </c>
      <c r="H2343" t="str">
        <f>IF(AND(regexMatch(B2343,".*#[0-9]*$"),ISNUMBER(SEARCH("#",B2343))),CONCATENATE(TRIM(F2343)," #",G2343),B2343)</f>
        <v>Dog Cage #2</v>
      </c>
    </row>
    <row r="2344" spans="1:8" ht="15.75" thickBot="1" x14ac:dyDescent="0.3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>IF(ISNUMBER(SEARCH("#",B2344)), LEFT(B2344,FIND("#",B2344)-1), B2344)</f>
        <v>Gaffer Arm B Industrial</v>
      </c>
      <c r="G2344" s="26">
        <f>IF(ISNUMBER(SEARCH("#",B2344)),VALUE(MID(B2344,FIND("#",B2344)+1,1000)),1)</f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.75" thickBot="1" x14ac:dyDescent="0.3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>IF(ISNUMBER(SEARCH("#",B2345)), LEFT(B2345,FIND("#",B2345)-1), B2345)</f>
        <v>Gaffer Arm B Industrial Cut</v>
      </c>
      <c r="G2345" s="26">
        <f>IF(ISNUMBER(SEARCH("#",B2345)),VALUE(MID(B2345,FIND("#",B2345)+1,1000)),1)</f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.75" thickBot="1" x14ac:dyDescent="0.3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>IF(ISNUMBER(SEARCH("#",B2346)), LEFT(B2346,FIND("#",B2346)-1), B2346)</f>
        <v>Gaffer Leg B Industrial</v>
      </c>
      <c r="G2346" s="26">
        <f>IF(ISNUMBER(SEARCH("#",B2346)),VALUE(MID(B2346,FIND("#",B2346)+1,1000)),1)</f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.75" thickBot="1" x14ac:dyDescent="0.3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>IF(ISNUMBER(SEARCH("#",B2347)), LEFT(B2347,FIND("#",B2347)-1), B2347)</f>
        <v>Gaffer Leg B Industrial Cut</v>
      </c>
      <c r="G2347" s="26">
        <f>IF(ISNUMBER(SEARCH("#",B2347)),VALUE(MID(B2347,FIND("#",B2347)+1,1000)),1)</f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.75" thickBot="1" x14ac:dyDescent="0.3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>IF(ISNUMBER(SEARCH("#",B2348)), LEFT(B2348,FIND("#",B2348)-1), B2348)</f>
        <v>Gaffer Tape Roll</v>
      </c>
      <c r="G2348" s="26">
        <f>IF(ISNUMBER(SEARCH("#",B2348)),VALUE(MID(B2348,FIND("#",B2348)+1,1000)),1)</f>
        <v>1</v>
      </c>
      <c r="H2348" t="str">
        <f>IF(AND(regexMatch(B2348,".*#[0-9]*$"),ISNUMBER(SEARCH("#",B2348))),CONCATENATE(TRIM(F2348)," #",G2348),B2348)</f>
        <v>Gaffer Tape Roll</v>
      </c>
    </row>
    <row r="2349" spans="1:8" ht="15.75" thickBot="1" x14ac:dyDescent="0.3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>IF(ISNUMBER(SEARCH("#",B2349)), LEFT(B2349,FIND("#",B2349)-1), B2349)</f>
        <v>Gaffer Tape Strip</v>
      </c>
      <c r="G2349" s="26">
        <f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.75" thickBot="1" x14ac:dyDescent="0.3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>IF(ISNUMBER(SEARCH("#",B2350)), LEFT(B2350,FIND("#",B2350)-1), B2350)</f>
        <v>Gas Bottle Cage</v>
      </c>
      <c r="G2350" s="26">
        <f>IF(ISNUMBER(SEARCH("#",B2350)),VALUE(MID(B2350,FIND("#",B2350)+1,1000)),1)</f>
        <v>1</v>
      </c>
      <c r="H2350" t="str">
        <f>IF(AND(regexMatch(B2350,".*#[0-9]*$"),ISNUMBER(SEARCH("#",B2350))),CONCATENATE(TRIM(F2350)," #",G2350),B2350)</f>
        <v>Gas Bottle Cage</v>
      </c>
    </row>
    <row r="2351" spans="1:8" ht="15.75" thickBot="1" x14ac:dyDescent="0.3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>IF(ISNUMBER(SEARCH("#",B2351)), LEFT(B2351,FIND("#",B2351)-1), B2351)</f>
        <v xml:space="preserve">Gas Cylinder </v>
      </c>
      <c r="G2351" s="26">
        <f>IF(ISNUMBER(SEARCH("#",B2351)),VALUE(MID(B2351,FIND("#",B2351)+1,1000)),1)</f>
        <v>1</v>
      </c>
      <c r="H2351" t="str">
        <f>IF(AND(regexMatch(B2351,".*#[0-9]*$"),ISNUMBER(SEARCH("#",B2351))),CONCATENATE(TRIM(F2351)," #",G2351),B2351)</f>
        <v>Gas Cylinder #1</v>
      </c>
    </row>
    <row r="2352" spans="1:8" ht="15.75" thickBot="1" x14ac:dyDescent="0.3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>IF(ISNUMBER(SEARCH("#",B2352)), LEFT(B2352,FIND("#",B2352)-1), B2352)</f>
        <v xml:space="preserve">Gas Cylinder </v>
      </c>
      <c r="G2352" s="26">
        <f>IF(ISNUMBER(SEARCH("#",B2352)),VALUE(MID(B2352,FIND("#",B2352)+1,1000)),1)</f>
        <v>2</v>
      </c>
      <c r="H2352" t="str">
        <f>IF(AND(regexMatch(B2352,".*#[0-9]*$"),ISNUMBER(SEARCH("#",B2352))),CONCATENATE(TRIM(F2352)," #",G2352),B2352)</f>
        <v>Gas Cylinder #2</v>
      </c>
    </row>
    <row r="2353" spans="1:8" ht="15.75" thickBot="1" x14ac:dyDescent="0.3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>IF(ISNUMBER(SEARCH("#",B2353)), LEFT(B2353,FIND("#",B2353)-1), B2353)</f>
        <v xml:space="preserve">Gas Cylinder </v>
      </c>
      <c r="G2353" s="26">
        <f>IF(ISNUMBER(SEARCH("#",B2353)),VALUE(MID(B2353,FIND("#",B2353)+1,1000)),1)</f>
        <v>3</v>
      </c>
      <c r="H2353" t="str">
        <f>IF(AND(regexMatch(B2353,".*#[0-9]*$"),ISNUMBER(SEARCH("#",B2353))),CONCATENATE(TRIM(F2353)," #",G2353),B2353)</f>
        <v>Gas Cylinder #3</v>
      </c>
    </row>
    <row r="2354" spans="1:8" ht="15.75" thickBot="1" x14ac:dyDescent="0.3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>IF(ISNUMBER(SEARCH("#",B2354)), LEFT(B2354,FIND("#",B2354)-1), B2354)</f>
        <v xml:space="preserve">Gas Cylinder </v>
      </c>
      <c r="G2354" s="26">
        <f>IF(ISNUMBER(SEARCH("#",B2354)),VALUE(MID(B2354,FIND("#",B2354)+1,1000)),1)</f>
        <v>4</v>
      </c>
      <c r="H2354" t="str">
        <f>IF(AND(regexMatch(B2354,".*#[0-9]*$"),ISNUMBER(SEARCH("#",B2354))),CONCATENATE(TRIM(F2354)," #",G2354),B2354)</f>
        <v>Gas Cylinder #4</v>
      </c>
    </row>
    <row r="2355" spans="1:8" ht="15.75" thickBot="1" x14ac:dyDescent="0.3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>IF(ISNUMBER(SEARCH("#",B2355)), LEFT(B2355,FIND("#",B2355)-1), B2355)</f>
        <v xml:space="preserve">Gas Cylinder </v>
      </c>
      <c r="G2355" s="26">
        <f>IF(ISNUMBER(SEARCH("#",B2355)),VALUE(MID(B2355,FIND("#",B2355)+1,1000)),1)</f>
        <v>5</v>
      </c>
      <c r="H2355" t="str">
        <f>IF(AND(regexMatch(B2355,".*#[0-9]*$"),ISNUMBER(SEARCH("#",B2355))),CONCATENATE(TRIM(F2355)," #",G2355),B2355)</f>
        <v>Gas Cylinder #5</v>
      </c>
    </row>
    <row r="2356" spans="1:8" ht="15.75" thickBot="1" x14ac:dyDescent="0.3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>IF(ISNUMBER(SEARCH("#",B2356)), LEFT(B2356,FIND("#",B2356)-1), B2356)</f>
        <v xml:space="preserve">Gas Cylinder </v>
      </c>
      <c r="G2356" s="26">
        <f>IF(ISNUMBER(SEARCH("#",B2356)),VALUE(MID(B2356,FIND("#",B2356)+1,1000)),1)</f>
        <v>6</v>
      </c>
      <c r="H2356" t="str">
        <f>IF(AND(regexMatch(B2356,".*#[0-9]*$"),ISNUMBER(SEARCH("#",B2356))),CONCATENATE(TRIM(F2356)," #",G2356),B2356)</f>
        <v>Gas Cylinder #6</v>
      </c>
    </row>
    <row r="2357" spans="1:8" ht="15.75" thickBot="1" x14ac:dyDescent="0.3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>IF(ISNUMBER(SEARCH("#",B2357)), LEFT(B2357,FIND("#",B2357)-1), B2357)</f>
        <v>Gas Cylinders Ramp</v>
      </c>
      <c r="G2357" s="26">
        <f>IF(ISNUMBER(SEARCH("#",B2357)),VALUE(MID(B2357,FIND("#",B2357)+1,1000)),1)</f>
        <v>1</v>
      </c>
      <c r="H2357" t="str">
        <f>IF(AND(regexMatch(B2357,".*#[0-9]*$"),ISNUMBER(SEARCH("#",B2357))),CONCATENATE(TRIM(F2357)," #",G2357),B2357)</f>
        <v>Gas Cylinders Ramp</v>
      </c>
    </row>
    <row r="2358" spans="1:8" ht="15.75" thickBot="1" x14ac:dyDescent="0.3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>IF(ISNUMBER(SEARCH("#",B2358)), LEFT(B2358,FIND("#",B2358)-1), B2358)</f>
        <v>Gas Cylinders Ramp Door</v>
      </c>
      <c r="G2358" s="26">
        <f>IF(ISNUMBER(SEARCH("#",B2358)),VALUE(MID(B2358,FIND("#",B2358)+1,1000)),1)</f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.75" thickBot="1" x14ac:dyDescent="0.3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>IF(ISNUMBER(SEARCH("#",B2359)), LEFT(B2359,FIND("#",B2359)-1), B2359)</f>
        <v xml:space="preserve">Gas Tank </v>
      </c>
      <c r="G2359" s="26">
        <f>IF(ISNUMBER(SEARCH("#",B2359)),VALUE(MID(B2359,FIND("#",B2359)+1,1000)),1)</f>
        <v>1</v>
      </c>
      <c r="H2359" t="str">
        <f>IF(AND(regexMatch(B2359,".*#[0-9]*$"),ISNUMBER(SEARCH("#",B2359))),CONCATENATE(TRIM(F2359)," #",G2359),B2359)</f>
        <v>Gas Tank #1</v>
      </c>
    </row>
    <row r="2360" spans="1:8" ht="15.75" thickBot="1" x14ac:dyDescent="0.3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>IF(ISNUMBER(SEARCH("#",B2360)), LEFT(B2360,FIND("#",B2360)-1), B2360)</f>
        <v xml:space="preserve">Gas Tank </v>
      </c>
      <c r="G2360" s="26">
        <f>IF(ISNUMBER(SEARCH("#",B2360)),VALUE(MID(B2360,FIND("#",B2360)+1,1000)),1)</f>
        <v>2</v>
      </c>
      <c r="H2360" t="str">
        <f>IF(AND(regexMatch(B2360,".*#[0-9]*$"),ISNUMBER(SEARCH("#",B2360))),CONCATENATE(TRIM(F2360)," #",G2360),B2360)</f>
        <v>Gas Tank #2</v>
      </c>
    </row>
    <row r="2361" spans="1:8" ht="15.75" thickBot="1" x14ac:dyDescent="0.3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>IF(ISNUMBER(SEARCH("#",B2361)), LEFT(B2361,FIND("#",B2361)-1), B2361)</f>
        <v xml:space="preserve">Gas Tank </v>
      </c>
      <c r="G2361" s="26">
        <f>IF(ISNUMBER(SEARCH("#",B2361)),VALUE(MID(B2361,FIND("#",B2361)+1,1000)),1)</f>
        <v>3</v>
      </c>
      <c r="H2361" t="str">
        <f>IF(AND(regexMatch(B2361,".*#[0-9]*$"),ISNUMBER(SEARCH("#",B2361))),CONCATENATE(TRIM(F2361)," #",G2361),B2361)</f>
        <v>Gas Tank #3</v>
      </c>
    </row>
    <row r="2362" spans="1:8" ht="15.75" thickBot="1" x14ac:dyDescent="0.3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>IF(ISNUMBER(SEARCH("#",B2362)), LEFT(B2362,FIND("#",B2362)-1), B2362)</f>
        <v xml:space="preserve">Gas Tank </v>
      </c>
      <c r="G2362" s="26">
        <f>IF(ISNUMBER(SEARCH("#",B2362)),VALUE(MID(B2362,FIND("#",B2362)+1,1000)),1)</f>
        <v>4</v>
      </c>
      <c r="H2362" t="str">
        <f>IF(AND(regexMatch(B2362,".*#[0-9]*$"),ISNUMBER(SEARCH("#",B2362))),CONCATENATE(TRIM(F2362)," #",G2362),B2362)</f>
        <v>Gas Tank #4</v>
      </c>
    </row>
    <row r="2363" spans="1:8" ht="15.75" thickBot="1" x14ac:dyDescent="0.3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>IF(ISNUMBER(SEARCH("#",B2363)), LEFT(B2363,FIND("#",B2363)-1), B2363)</f>
        <v>Hanging Chicken</v>
      </c>
      <c r="G2363" s="26">
        <f>IF(ISNUMBER(SEARCH("#",B2363)),VALUE(MID(B2363,FIND("#",B2363)+1,1000)),1)</f>
        <v>1</v>
      </c>
      <c r="H2363" t="str">
        <f>IF(AND(regexMatch(B2363,".*#[0-9]*$"),ISNUMBER(SEARCH("#",B2363))),CONCATENATE(TRIM(F2363)," #",G2363),B2363)</f>
        <v>Hanging Chicken</v>
      </c>
    </row>
    <row r="2364" spans="1:8" ht="15.75" thickBot="1" x14ac:dyDescent="0.3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>IF(ISNUMBER(SEARCH("#",B2364)), LEFT(B2364,FIND("#",B2364)-1), B2364)</f>
        <v xml:space="preserve">Hanging Chicken Hook </v>
      </c>
      <c r="G2364" s="26">
        <f>IF(ISNUMBER(SEARCH("#",B2364)),VALUE(MID(B2364,FIND("#",B2364)+1,1000)),1)</f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.75" thickBot="1" x14ac:dyDescent="0.3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>IF(ISNUMBER(SEARCH("#",B2365)), LEFT(B2365,FIND("#",B2365)-1), B2365)</f>
        <v xml:space="preserve">Hanging Chicken Hook </v>
      </c>
      <c r="G2365" s="26">
        <f>IF(ISNUMBER(SEARCH("#",B2365)),VALUE(MID(B2365,FIND("#",B2365)+1,1000)),1)</f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.75" thickBot="1" x14ac:dyDescent="0.3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>IF(ISNUMBER(SEARCH("#",B2366)), LEFT(B2366,FIND("#",B2366)-1), B2366)</f>
        <v xml:space="preserve">Industrial Conveyor </v>
      </c>
      <c r="G2366" s="26">
        <f>IF(ISNUMBER(SEARCH("#",B2366)),VALUE(MID(B2366,FIND("#",B2366)+1,1000)),1)</f>
        <v>1</v>
      </c>
      <c r="H2366" t="str">
        <f>IF(AND(regexMatch(B2366,".*#[0-9]*$"),ISNUMBER(SEARCH("#",B2366))),CONCATENATE(TRIM(F2366)," #",G2366),B2366)</f>
        <v>Industrial Conveyor #1</v>
      </c>
    </row>
    <row r="2367" spans="1:8" ht="15.75" thickBot="1" x14ac:dyDescent="0.3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>IF(ISNUMBER(SEARCH("#",B2367)), LEFT(B2367,FIND("#",B2367)-1), B2367)</f>
        <v xml:space="preserve">Industrial Conveyor </v>
      </c>
      <c r="G2367" s="26">
        <f>IF(ISNUMBER(SEARCH("#",B2367)),VALUE(MID(B2367,FIND("#",B2367)+1,1000)),1)</f>
        <v>2</v>
      </c>
      <c r="H2367" t="str">
        <f>IF(AND(regexMatch(B2367,".*#[0-9]*$"),ISNUMBER(SEARCH("#",B2367))),CONCATENATE(TRIM(F2367)," #",G2367),B2367)</f>
        <v>Industrial Conveyor #2</v>
      </c>
    </row>
    <row r="2368" spans="1:8" ht="15.75" thickBot="1" x14ac:dyDescent="0.3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>IF(ISNUMBER(SEARCH("#",B2368)), LEFT(B2368,FIND("#",B2368)-1), B2368)</f>
        <v xml:space="preserve">Industrial Conveyor </v>
      </c>
      <c r="G2368" s="26">
        <f>IF(ISNUMBER(SEARCH("#",B2368)),VALUE(MID(B2368,FIND("#",B2368)+1,1000)),1)</f>
        <v>3</v>
      </c>
      <c r="H2368" t="str">
        <f>IF(AND(regexMatch(B2368,".*#[0-9]*$"),ISNUMBER(SEARCH("#",B2368))),CONCATENATE(TRIM(F2368)," #",G2368),B2368)</f>
        <v>Industrial Conveyor #3</v>
      </c>
    </row>
    <row r="2369" spans="1:8" ht="15.75" thickBot="1" x14ac:dyDescent="0.3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>IF(ISNUMBER(SEARCH("#",B2369)), LEFT(B2369,FIND("#",B2369)-1), B2369)</f>
        <v>Industrial Crusher</v>
      </c>
      <c r="G2369" s="26">
        <f>IF(ISNUMBER(SEARCH("#",B2369)),VALUE(MID(B2369,FIND("#",B2369)+1,1000)),1)</f>
        <v>1</v>
      </c>
      <c r="H2369" t="str">
        <f>IF(AND(regexMatch(B2369,".*#[0-9]*$"),ISNUMBER(SEARCH("#",B2369))),CONCATENATE(TRIM(F2369)," #",G2369),B2369)</f>
        <v>Industrial Crusher</v>
      </c>
    </row>
    <row r="2370" spans="1:8" ht="15.75" thickBot="1" x14ac:dyDescent="0.3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>IF(ISNUMBER(SEARCH("#",B2370)), LEFT(B2370,FIND("#",B2370)-1), B2370)</f>
        <v>Industrial Diesel Tank</v>
      </c>
      <c r="G2370" s="26">
        <f>IF(ISNUMBER(SEARCH("#",B2370)),VALUE(MID(B2370,FIND("#",B2370)+1,1000)),1)</f>
        <v>1</v>
      </c>
      <c r="H2370" t="str">
        <f>IF(AND(regexMatch(B2370,".*#[0-9]*$"),ISNUMBER(SEARCH("#",B2370))),CONCATENATE(TRIM(F2370)," #",G2370),B2370)</f>
        <v>Industrial Diesel Tank</v>
      </c>
    </row>
    <row r="2371" spans="1:8" ht="15.75" thickBot="1" x14ac:dyDescent="0.3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>IF(ISNUMBER(SEARCH("#",B2371)), LEFT(B2371,FIND("#",B2371)-1), B2371)</f>
        <v xml:space="preserve">Industrial Light Pole </v>
      </c>
      <c r="G2371" s="26">
        <f>IF(ISNUMBER(SEARCH("#",B2371)),VALUE(MID(B2371,FIND("#",B2371)+1,1000)),1)</f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.75" thickBot="1" x14ac:dyDescent="0.3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>IF(ISNUMBER(SEARCH("#",B2372)), LEFT(B2372,FIND("#",B2372)-1), B2372)</f>
        <v xml:space="preserve">Industrial Light Pole </v>
      </c>
      <c r="G2372" s="26">
        <f>IF(ISNUMBER(SEARCH("#",B2372)),VALUE(MID(B2372,FIND("#",B2372)+1,1000)),1)</f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.75" thickBot="1" x14ac:dyDescent="0.3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>IF(ISNUMBER(SEARCH("#",B2373)), LEFT(B2373,FIND("#",B2373)-1), B2373)</f>
        <v xml:space="preserve">Industrial Light Pole </v>
      </c>
      <c r="G2373" s="26">
        <f>IF(ISNUMBER(SEARCH("#",B2373)),VALUE(MID(B2373,FIND("#",B2373)+1,1000)),1)</f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.75" thickBot="1" x14ac:dyDescent="0.3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>IF(ISNUMBER(SEARCH("#",B2374)), LEFT(B2374,FIND("#",B2374)-1), B2374)</f>
        <v xml:space="preserve">Industrial Light Pole </v>
      </c>
      <c r="G2374" s="26">
        <f>IF(ISNUMBER(SEARCH("#",B2374)),VALUE(MID(B2374,FIND("#",B2374)+1,1000)),1)</f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.75" thickBot="1" x14ac:dyDescent="0.3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>IF(ISNUMBER(SEARCH("#",B2375)), LEFT(B2375,FIND("#",B2375)-1), B2375)</f>
        <v xml:space="preserve">Industrial Light Pole </v>
      </c>
      <c r="G2375" s="26">
        <f>IF(ISNUMBER(SEARCH("#",B2375)),VALUE(MID(B2375,FIND("#",B2375)+1,1000)),1)</f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.75" thickBot="1" x14ac:dyDescent="0.3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>IF(ISNUMBER(SEARCH("#",B2376)), LEFT(B2376,FIND("#",B2376)-1), B2376)</f>
        <v xml:space="preserve">Industrial Light Pole </v>
      </c>
      <c r="G2376" s="26">
        <f>IF(ISNUMBER(SEARCH("#",B2376)),VALUE(MID(B2376,FIND("#",B2376)+1,1000)),1)</f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.75" thickBot="1" x14ac:dyDescent="0.3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>IF(ISNUMBER(SEARCH("#",B2377)), LEFT(B2377,FIND("#",B2377)-1), B2377)</f>
        <v xml:space="preserve">Industrial Light Pole </v>
      </c>
      <c r="G2377" s="26">
        <f>IF(ISNUMBER(SEARCH("#",B2377)),VALUE(MID(B2377,FIND("#",B2377)+1,1000)),1)</f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.75" thickBot="1" x14ac:dyDescent="0.3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>IF(ISNUMBER(SEARCH("#",B2378)), LEFT(B2378,FIND("#",B2378)-1), B2378)</f>
        <v xml:space="preserve">Industrial Light Pole </v>
      </c>
      <c r="G2378" s="26">
        <f>IF(ISNUMBER(SEARCH("#",B2378)),VALUE(MID(B2378,FIND("#",B2378)+1,1000)),1)</f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.75" thickBot="1" x14ac:dyDescent="0.3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>IF(ISNUMBER(SEARCH("#",B2379)), LEFT(B2379,FIND("#",B2379)-1), B2379)</f>
        <v xml:space="preserve">Industrial Machine </v>
      </c>
      <c r="G2379" s="26">
        <f>IF(ISNUMBER(SEARCH("#",B2379)),VALUE(MID(B2379,FIND("#",B2379)+1,1000)),1)</f>
        <v>1</v>
      </c>
      <c r="H2379" t="str">
        <f>IF(AND(regexMatch(B2379,".*#[0-9]*$"),ISNUMBER(SEARCH("#",B2379))),CONCATENATE(TRIM(F2379)," #",G2379),B2379)</f>
        <v>Industrial Machine #1</v>
      </c>
    </row>
    <row r="2380" spans="1:8" ht="15.75" thickBot="1" x14ac:dyDescent="0.3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>IF(ISNUMBER(SEARCH("#",B2380)), LEFT(B2380,FIND("#",B2380)-1), B2380)</f>
        <v xml:space="preserve">Industrial Machine </v>
      </c>
      <c r="G2380" s="26">
        <f>IF(ISNUMBER(SEARCH("#",B2380)),VALUE(MID(B2380,FIND("#",B2380)+1,1000)),1)</f>
        <v>2</v>
      </c>
      <c r="H2380" t="str">
        <f>IF(AND(regexMatch(B2380,".*#[0-9]*$"),ISNUMBER(SEARCH("#",B2380))),CONCATENATE(TRIM(F2380)," #",G2380),B2380)</f>
        <v>Industrial Machine #2</v>
      </c>
    </row>
    <row r="2381" spans="1:8" ht="15.75" thickBot="1" x14ac:dyDescent="0.3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>IF(ISNUMBER(SEARCH("#",B2381)), LEFT(B2381,FIND("#",B2381)-1), B2381)</f>
        <v xml:space="preserve">Industrial Machine </v>
      </c>
      <c r="G2381" s="26">
        <f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.75" thickBot="1" x14ac:dyDescent="0.3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>IF(ISNUMBER(SEARCH("#",B2382)), LEFT(B2382,FIND("#",B2382)-1), B2382)</f>
        <v>Industrial Pipe</v>
      </c>
      <c r="G2382" s="26">
        <f>IF(ISNUMBER(SEARCH("#",B2382)),VALUE(MID(B2382,FIND("#",B2382)+1,1000)),1)</f>
        <v>1</v>
      </c>
      <c r="H2382" t="str">
        <f>IF(AND(regexMatch(B2382,".*#[0-9]*$"),ISNUMBER(SEARCH("#",B2382))),CONCATENATE(TRIM(F2382)," #",G2382),B2382)</f>
        <v>Industrial Pipe</v>
      </c>
    </row>
    <row r="2383" spans="1:8" ht="15.75" thickBot="1" x14ac:dyDescent="0.3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>IF(ISNUMBER(SEARCH("#",B2383)), LEFT(B2383,FIND("#",B2383)-1), B2383)</f>
        <v>Industrial Roller</v>
      </c>
      <c r="G2383" s="26">
        <f>IF(ISNUMBER(SEARCH("#",B2383)),VALUE(MID(B2383,FIND("#",B2383)+1,1000)),1)</f>
        <v>1</v>
      </c>
      <c r="H2383" t="str">
        <f>IF(AND(regexMatch(B2383,".*#[0-9]*$"),ISNUMBER(SEARCH("#",B2383))),CONCATENATE(TRIM(F2383)," #",G2383),B2383)</f>
        <v>Industrial Roller</v>
      </c>
    </row>
    <row r="2384" spans="1:8" ht="15.75" thickBot="1" x14ac:dyDescent="0.3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>IF(ISNUMBER(SEARCH("#",B2384)), LEFT(B2384,FIND("#",B2384)-1), B2384)</f>
        <v>Industrial Tank</v>
      </c>
      <c r="G2384" s="26">
        <f>IF(ISNUMBER(SEARCH("#",B2384)),VALUE(MID(B2384,FIND("#",B2384)+1,1000)),1)</f>
        <v>1</v>
      </c>
      <c r="H2384" t="str">
        <f>IF(AND(regexMatch(B2384,".*#[0-9]*$"),ISNUMBER(SEARCH("#",B2384))),CONCATENATE(TRIM(F2384)," #",G2384),B2384)</f>
        <v>Industrial Tank</v>
      </c>
    </row>
    <row r="2385" spans="1:8" ht="15.75" thickBot="1" x14ac:dyDescent="0.3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>IF(ISNUMBER(SEARCH("#",B2385)), LEFT(B2385,FIND("#",B2385)-1), B2385)</f>
        <v>Loose Rag</v>
      </c>
      <c r="G2385" s="26">
        <f>IF(ISNUMBER(SEARCH("#",B2385)),VALUE(MID(B2385,FIND("#",B2385)+1,1000)),1)</f>
        <v>1</v>
      </c>
      <c r="H2385" t="str">
        <f>IF(AND(regexMatch(B2385,".*#[0-9]*$"),ISNUMBER(SEARCH("#",B2385))),CONCATENATE(TRIM(F2385)," #",G2385),B2385)</f>
        <v>Loose Rag</v>
      </c>
    </row>
    <row r="2386" spans="1:8" ht="15.75" thickBot="1" x14ac:dyDescent="0.3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>IF(ISNUMBER(SEARCH("#",B2386)), LEFT(B2386,FIND("#",B2386)-1), B2386)</f>
        <v xml:space="preserve">Meth Setup </v>
      </c>
      <c r="G2386" s="26">
        <f>IF(ISNUMBER(SEARCH("#",B2386)),VALUE(MID(B2386,FIND("#",B2386)+1,1000)),1)</f>
        <v>1</v>
      </c>
      <c r="H2386" t="str">
        <f>IF(AND(regexMatch(B2386,".*#[0-9]*$"),ISNUMBER(SEARCH("#",B2386))),CONCATENATE(TRIM(F2386)," #",G2386),B2386)</f>
        <v>Meth Setup #1</v>
      </c>
    </row>
    <row r="2387" spans="1:8" ht="15.75" thickBot="1" x14ac:dyDescent="0.3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>IF(ISNUMBER(SEARCH("#",B2387)), LEFT(B2387,FIND("#",B2387)-1), B2387)</f>
        <v>Mobile Steps</v>
      </c>
      <c r="G2387" s="26">
        <f>IF(ISNUMBER(SEARCH("#",B2387)),VALUE(MID(B2387,FIND("#",B2387)+1,1000)),1)</f>
        <v>1</v>
      </c>
      <c r="H2387" t="str">
        <f>IF(AND(regexMatch(B2387,".*#[0-9]*$"),ISNUMBER(SEARCH("#",B2387))),CONCATENATE(TRIM(F2387)," #",G2387),B2387)</f>
        <v>Mobile Steps</v>
      </c>
    </row>
    <row r="2388" spans="1:8" ht="15.75" thickBot="1" x14ac:dyDescent="0.3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>IF(ISNUMBER(SEARCH("#",B2388)), LEFT(B2388,FIND("#",B2388)-1), B2388)</f>
        <v>Oil Jack Large</v>
      </c>
      <c r="G2388" s="26">
        <f>IF(ISNUMBER(SEARCH("#",B2388)),VALUE(MID(B2388,FIND("#",B2388)+1,1000)),1)</f>
        <v>1</v>
      </c>
      <c r="H2388" t="str">
        <f>IF(AND(regexMatch(B2388,".*#[0-9]*$"),ISNUMBER(SEARCH("#",B2388))),CONCATENATE(TRIM(F2388)," #",G2388),B2388)</f>
        <v>Oil Jack Large</v>
      </c>
    </row>
    <row r="2389" spans="1:8" ht="15.75" thickBot="1" x14ac:dyDescent="0.3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>IF(ISNUMBER(SEARCH("#",B2389)), LEFT(B2389,FIND("#",B2389)-1), B2389)</f>
        <v>Oil Jack Medium</v>
      </c>
      <c r="G2389" s="26">
        <f>IF(ISNUMBER(SEARCH("#",B2389)),VALUE(MID(B2389,FIND("#",B2389)+1,1000)),1)</f>
        <v>1</v>
      </c>
      <c r="H2389" t="str">
        <f>IF(AND(regexMatch(B2389,".*#[0-9]*$"),ISNUMBER(SEARCH("#",B2389))),CONCATENATE(TRIM(F2389)," #",G2389),B2389)</f>
        <v>Oil Jack Medium</v>
      </c>
    </row>
    <row r="2390" spans="1:8" ht="15.75" thickBot="1" x14ac:dyDescent="0.3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>IF(ISNUMBER(SEARCH("#",B2390)), LEFT(B2390,FIND("#",B2390)-1), B2390)</f>
        <v>Oil Jack Small</v>
      </c>
      <c r="G2390" s="26">
        <f>IF(ISNUMBER(SEARCH("#",B2390)),VALUE(MID(B2390,FIND("#",B2390)+1,1000)),1)</f>
        <v>1</v>
      </c>
      <c r="H2390" t="str">
        <f>IF(AND(regexMatch(B2390,".*#[0-9]*$"),ISNUMBER(SEARCH("#",B2390))),CONCATENATE(TRIM(F2390)," #",G2390),B2390)</f>
        <v>Oil Jack Small</v>
      </c>
    </row>
    <row r="2391" spans="1:8" ht="15.75" thickBot="1" x14ac:dyDescent="0.3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>IF(ISNUMBER(SEARCH("#",B2391)), LEFT(B2391,FIND("#",B2391)-1), B2391)</f>
        <v>Pallet Truck</v>
      </c>
      <c r="G2391" s="26">
        <f>IF(ISNUMBER(SEARCH("#",B2391)),VALUE(MID(B2391,FIND("#",B2391)+1,1000)),1)</f>
        <v>1</v>
      </c>
      <c r="H2391" t="str">
        <f>IF(AND(regexMatch(B2391,".*#[0-9]*$"),ISNUMBER(SEARCH("#",B2391))),CONCATENATE(TRIM(F2391)," #",G2391),B2391)</f>
        <v>Pallet Truck</v>
      </c>
    </row>
    <row r="2392" spans="1:8" ht="15.75" thickBot="1" x14ac:dyDescent="0.3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>IF(ISNUMBER(SEARCH("#",B2392)), LEFT(B2392,FIND("#",B2392)-1), B2392)</f>
        <v xml:space="preserve">Power Cell </v>
      </c>
      <c r="G2392" s="26">
        <f>IF(ISNUMBER(SEARCH("#",B2392)),VALUE(MID(B2392,FIND("#",B2392)+1,1000)),1)</f>
        <v>2</v>
      </c>
      <c r="H2392" t="str">
        <f>IF(AND(regexMatch(B2392,".*#[0-9]*$"),ISNUMBER(SEARCH("#",B2392))),CONCATENATE(TRIM(F2392)," #",G2392),B2392)</f>
        <v>Power Cell #2</v>
      </c>
    </row>
    <row r="2393" spans="1:8" ht="15.75" thickBot="1" x14ac:dyDescent="0.3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>IF(ISNUMBER(SEARCH("#",B2393)), LEFT(B2393,FIND("#",B2393)-1), B2393)</f>
        <v>Sewing Fabric</v>
      </c>
      <c r="G2393" s="26">
        <f>IF(ISNUMBER(SEARCH("#",B2393)),VALUE(MID(B2393,FIND("#",B2393)+1,1000)),1)</f>
        <v>1</v>
      </c>
      <c r="H2393" t="str">
        <f>IF(AND(regexMatch(B2393,".*#[0-9]*$"),ISNUMBER(SEARCH("#",B2393))),CONCATENATE(TRIM(F2393)," #",G2393),B2393)</f>
        <v>Sewing Fabric</v>
      </c>
    </row>
    <row r="2394" spans="1:8" ht="15.75" thickBot="1" x14ac:dyDescent="0.3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>IF(ISNUMBER(SEARCH("#",B2394)), LEFT(B2394,FIND("#",B2394)-1), B2394)</f>
        <v>Sewing Machine</v>
      </c>
      <c r="G2394" s="26">
        <f>IF(ISNUMBER(SEARCH("#",B2394)),VALUE(MID(B2394,FIND("#",B2394)+1,1000)),1)</f>
        <v>1</v>
      </c>
      <c r="H2394" t="str">
        <f>IF(AND(regexMatch(B2394,".*#[0-9]*$"),ISNUMBER(SEARCH("#",B2394))),CONCATENATE(TRIM(F2394)," #",G2394),B2394)</f>
        <v>Sewing Machine</v>
      </c>
    </row>
    <row r="2395" spans="1:8" ht="15.75" thickBot="1" x14ac:dyDescent="0.3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>IF(ISNUMBER(SEARCH("#",B2395)), LEFT(B2395,FIND("#",B2395)-1), B2395)</f>
        <v>Storage Tank</v>
      </c>
      <c r="G2395" s="26">
        <f>IF(ISNUMBER(SEARCH("#",B2395)),VALUE(MID(B2395,FIND("#",B2395)+1,1000)),1)</f>
        <v>1</v>
      </c>
      <c r="H2395" t="str">
        <f>IF(AND(regexMatch(B2395,".*#[0-9]*$"),ISNUMBER(SEARCH("#",B2395))),CONCATENATE(TRIM(F2395)," #",G2395),B2395)</f>
        <v>Storage Tank</v>
      </c>
    </row>
    <row r="2396" spans="1:8" ht="15.75" thickBot="1" x14ac:dyDescent="0.3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>IF(ISNUMBER(SEARCH("#",B2396)), LEFT(B2396,FIND("#",B2396)-1), B2396)</f>
        <v>Storage Tanks With Stairs</v>
      </c>
      <c r="G2396" s="26">
        <f>IF(ISNUMBER(SEARCH("#",B2396)),VALUE(MID(B2396,FIND("#",B2396)+1,1000)),1)</f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.75" thickBot="1" x14ac:dyDescent="0.3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>IF(ISNUMBER(SEARCH("#",B2397)), LEFT(B2397,FIND("#",B2397)-1), B2397)</f>
        <v>Test Tube</v>
      </c>
      <c r="G2397" s="26">
        <f>IF(ISNUMBER(SEARCH("#",B2397)),VALUE(MID(B2397,FIND("#",B2397)+1,1000)),1)</f>
        <v>1</v>
      </c>
      <c r="H2397" t="str">
        <f>IF(AND(regexMatch(B2397,".*#[0-9]*$"),ISNUMBER(SEARCH("#",B2397))),CONCATENATE(TRIM(F2397)," #",G2397),B2397)</f>
        <v>Test Tube</v>
      </c>
    </row>
    <row r="2398" spans="1:8" ht="15.75" thickBot="1" x14ac:dyDescent="0.3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>IF(ISNUMBER(SEARCH("#",B2398)), LEFT(B2398,FIND("#",B2398)-1), B2398)</f>
        <v>Vial</v>
      </c>
      <c r="G2398" s="26">
        <f>IF(ISNUMBER(SEARCH("#",B2398)),VALUE(MID(B2398,FIND("#",B2398)+1,1000)),1)</f>
        <v>1</v>
      </c>
      <c r="H2398" t="str">
        <f>IF(AND(regexMatch(B2398,".*#[0-9]*$"),ISNUMBER(SEARCH("#",B2398))),CONCATENATE(TRIM(F2398)," #",G2398),B2398)</f>
        <v>Vial</v>
      </c>
    </row>
    <row r="2399" spans="1:8" ht="15.75" thickBot="1" x14ac:dyDescent="0.3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>IF(ISNUMBER(SEARCH("#",B2399)), LEFT(B2399,FIND("#",B2399)-1), B2399)</f>
        <v>Wind Turbine</v>
      </c>
      <c r="G2399" s="26">
        <f>IF(ISNUMBER(SEARCH("#",B2399)),VALUE(MID(B2399,FIND("#",B2399)+1,1000)),1)</f>
        <v>1</v>
      </c>
      <c r="H2399" t="str">
        <f>IF(AND(regexMatch(B2399,".*#[0-9]*$"),ISNUMBER(SEARCH("#",B2399))),CONCATENATE(TRIM(F2399)," #",G2399),B2399)</f>
        <v>Wind Turbine</v>
      </c>
    </row>
    <row r="2400" spans="1:8" ht="15.75" thickBot="1" x14ac:dyDescent="0.3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>IF(ISNUMBER(SEARCH("#",B2400)), LEFT(B2400,FIND("#",B2400)-1), B2400)</f>
        <v xml:space="preserve">Jewellers Display Tray </v>
      </c>
      <c r="G2400" s="26">
        <f>IF(ISNUMBER(SEARCH("#",B2400)),VALUE(MID(B2400,FIND("#",B2400)+1,1000)),1)</f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.75" thickBot="1" x14ac:dyDescent="0.3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>IF(ISNUMBER(SEARCH("#",B2401)), LEFT(B2401,FIND("#",B2401)-1), B2401)</f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.75" thickBot="1" x14ac:dyDescent="0.3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>IF(ISNUMBER(SEARCH("#",B2402)), LEFT(B2402,FIND("#",B2402)-1), B2402)</f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.75" thickBot="1" x14ac:dyDescent="0.3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>IF(ISNUMBER(SEARCH("#",B2403)), LEFT(B2403,FIND("#",B2403)-1), B2403)</f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.75" thickBot="1" x14ac:dyDescent="0.3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>IF(ISNUMBER(SEARCH("#",B2404)), LEFT(B2404,FIND("#",B2404)-1), B2404)</f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.75" thickBot="1" x14ac:dyDescent="0.3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>IF(ISNUMBER(SEARCH("#",B2405)), LEFT(B2405,FIND("#",B2405)-1), B2405)</f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.75" thickBot="1" x14ac:dyDescent="0.3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>IF(ISNUMBER(SEARCH("#",B2406)), LEFT(B2406,FIND("#",B2406)-1), B2406)</f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.75" thickBot="1" x14ac:dyDescent="0.3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>IF(ISNUMBER(SEARCH("#",B2407)), LEFT(B2407,FIND("#",B2407)-1), B2407)</f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.75" thickBot="1" x14ac:dyDescent="0.3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>IF(ISNUMBER(SEARCH("#",B2408)), LEFT(B2408,FIND("#",B2408)-1), B2408)</f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.75" thickBot="1" x14ac:dyDescent="0.3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>IF(ISNUMBER(SEARCH("#",B2409)), LEFT(B2409,FIND("#",B2409)-1), B2409)</f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.75" thickBot="1" x14ac:dyDescent="0.3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>IF(ISNUMBER(SEARCH("#",B2410)), LEFT(B2410,FIND("#",B2410)-1), B2410)</f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.75" thickBot="1" x14ac:dyDescent="0.3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>IF(ISNUMBER(SEARCH("#",B2411)), LEFT(B2411,FIND("#",B2411)-1), B2411)</f>
        <v xml:space="preserve">Jewellers Neck Display </v>
      </c>
      <c r="G2411" s="26">
        <f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.75" thickBot="1" x14ac:dyDescent="0.3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>IF(ISNUMBER(SEARCH("#",B2412)), LEFT(B2412,FIND("#",B2412)-1), B2412)</f>
        <v xml:space="preserve">Jewellers Neck Display </v>
      </c>
      <c r="G2412" s="26">
        <f>IF(ISNUMBER(SEARCH("#",B2412)),VALUE(MID(B2412,FIND("#",B2412)+1,1000)),1)</f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.75" thickBot="1" x14ac:dyDescent="0.3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>IF(ISNUMBER(SEARCH("#",B2413)), LEFT(B2413,FIND("#",B2413)-1), B2413)</f>
        <v xml:space="preserve">Jewellers Neck Display </v>
      </c>
      <c r="G2413" s="26">
        <f>IF(ISNUMBER(SEARCH("#",B2413)),VALUE(MID(B2413,FIND("#",B2413)+1,1000)),1)</f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.75" thickBot="1" x14ac:dyDescent="0.3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>IF(ISNUMBER(SEARCH("#",B2414)), LEFT(B2414,FIND("#",B2414)-1), B2414)</f>
        <v xml:space="preserve">Jewellery </v>
      </c>
      <c r="G2414" s="26">
        <f>IF(ISNUMBER(SEARCH("#",B2414)),VALUE(MID(B2414,FIND("#",B2414)+1,1000)),1)</f>
        <v>1</v>
      </c>
      <c r="H2414" t="str">
        <f>IF(AND(regexMatch(B2414,".*#[0-9]*$"),ISNUMBER(SEARCH("#",B2414))),CONCATENATE(TRIM(F2414)," #",G2414),B2414)</f>
        <v>Jewellery #1</v>
      </c>
    </row>
    <row r="2415" spans="1:8" ht="15.75" thickBot="1" x14ac:dyDescent="0.3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>IF(ISNUMBER(SEARCH("#",B2415)), LEFT(B2415,FIND("#",B2415)-1), B2415)</f>
        <v xml:space="preserve">Jewellery </v>
      </c>
      <c r="G2415" s="26">
        <f>IF(ISNUMBER(SEARCH("#",B2415)),VALUE(MID(B2415,FIND("#",B2415)+1,1000)),1)</f>
        <v>2</v>
      </c>
      <c r="H2415" t="str">
        <f>IF(AND(regexMatch(B2415,".*#[0-9]*$"),ISNUMBER(SEARCH("#",B2415))),CONCATENATE(TRIM(F2415)," #",G2415),B2415)</f>
        <v>Jewellery #2</v>
      </c>
    </row>
    <row r="2416" spans="1:8" ht="15.75" thickBot="1" x14ac:dyDescent="0.3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>IF(ISNUMBER(SEARCH("#",B2416)), LEFT(B2416,FIND("#",B2416)-1), B2416)</f>
        <v xml:space="preserve">Jewellery </v>
      </c>
      <c r="G2416" s="26">
        <f>IF(ISNUMBER(SEARCH("#",B2416)),VALUE(MID(B2416,FIND("#",B2416)+1,1000)),1)</f>
        <v>3</v>
      </c>
      <c r="H2416" t="str">
        <f>IF(AND(regexMatch(B2416,".*#[0-9]*$"),ISNUMBER(SEARCH("#",B2416))),CONCATENATE(TRIM(F2416)," #",G2416),B2416)</f>
        <v>Jewellery #3</v>
      </c>
    </row>
    <row r="2417" spans="1:8" ht="15.75" thickBot="1" x14ac:dyDescent="0.3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>IF(ISNUMBER(SEARCH("#",B2417)), LEFT(B2417,FIND("#",B2417)-1), B2417)</f>
        <v xml:space="preserve">Jewellery </v>
      </c>
      <c r="G2417" s="26">
        <f>IF(ISNUMBER(SEARCH("#",B2417)),VALUE(MID(B2417,FIND("#",B2417)+1,1000)),1)</f>
        <v>4</v>
      </c>
      <c r="H2417" t="str">
        <f>IF(AND(regexMatch(B2417,".*#[0-9]*$"),ISNUMBER(SEARCH("#",B2417))),CONCATENATE(TRIM(F2417)," #",G2417),B2417)</f>
        <v>Jewellery #4</v>
      </c>
    </row>
    <row r="2418" spans="1:8" ht="15.75" thickBot="1" x14ac:dyDescent="0.3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>IF(ISNUMBER(SEARCH("#",B2418)), LEFT(B2418,FIND("#",B2418)-1), B2418)</f>
        <v xml:space="preserve">Jewellery </v>
      </c>
      <c r="G2418" s="26">
        <f>IF(ISNUMBER(SEARCH("#",B2418)),VALUE(MID(B2418,FIND("#",B2418)+1,1000)),1)</f>
        <v>5</v>
      </c>
      <c r="H2418" t="str">
        <f>IF(AND(regexMatch(B2418,".*#[0-9]*$"),ISNUMBER(SEARCH("#",B2418))),CONCATENATE(TRIM(F2418)," #",G2418),B2418)</f>
        <v>Jewellery #5</v>
      </c>
    </row>
    <row r="2419" spans="1:8" ht="15.75" thickBot="1" x14ac:dyDescent="0.3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>IF(ISNUMBER(SEARCH("#",B2419)), LEFT(B2419,FIND("#",B2419)-1), B2419)</f>
        <v xml:space="preserve">Jewellery </v>
      </c>
      <c r="G2419" s="26">
        <f>IF(ISNUMBER(SEARCH("#",B2419)),VALUE(MID(B2419,FIND("#",B2419)+1,1000)),1)</f>
        <v>6</v>
      </c>
      <c r="H2419" t="str">
        <f>IF(AND(regexMatch(B2419,".*#[0-9]*$"),ISNUMBER(SEARCH("#",B2419))),CONCATENATE(TRIM(F2419)," #",G2419),B2419)</f>
        <v>Jewellery #6</v>
      </c>
    </row>
    <row r="2420" spans="1:8" ht="15.75" thickBot="1" x14ac:dyDescent="0.3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>IF(ISNUMBER(SEARCH("#",B2420)), LEFT(B2420,FIND("#",B2420)-1), B2420)</f>
        <v xml:space="preserve">Jewellery </v>
      </c>
      <c r="G2420" s="26">
        <f>IF(ISNUMBER(SEARCH("#",B2420)),VALUE(MID(B2420,FIND("#",B2420)+1,1000)),1)</f>
        <v>7</v>
      </c>
      <c r="H2420" t="str">
        <f>IF(AND(regexMatch(B2420,".*#[0-9]*$"),ISNUMBER(SEARCH("#",B2420))),CONCATENATE(TRIM(F2420)," #",G2420),B2420)</f>
        <v>Jewellery #7</v>
      </c>
    </row>
    <row r="2421" spans="1:8" ht="15.75" thickBot="1" x14ac:dyDescent="0.3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>IF(ISNUMBER(SEARCH("#",B2421)), LEFT(B2421,FIND("#",B2421)-1), B2421)</f>
        <v>Jewellery Pickup</v>
      </c>
      <c r="G2421" s="26">
        <f>IF(ISNUMBER(SEARCH("#",B2421)),VALUE(MID(B2421,FIND("#",B2421)+1,1000)),1)</f>
        <v>1</v>
      </c>
      <c r="H2421" t="str">
        <f>IF(AND(regexMatch(B2421,".*#[0-9]*$"),ISNUMBER(SEARCH("#",B2421))),CONCATENATE(TRIM(F2421)," #",G2421),B2421)</f>
        <v>Jewellery Pickup</v>
      </c>
    </row>
    <row r="2422" spans="1:8" ht="15.75" thickBot="1" x14ac:dyDescent="0.3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>IF(ISNUMBER(SEARCH("#",B2422)), LEFT(B2422,FIND("#",B2422)-1), B2422)</f>
        <v xml:space="preserve">Jewellery Store Counter </v>
      </c>
      <c r="G2422" s="26">
        <f>IF(ISNUMBER(SEARCH("#",B2422)),VALUE(MID(B2422,FIND("#",B2422)+1,1000)),1)</f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.75" thickBot="1" x14ac:dyDescent="0.3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>IF(ISNUMBER(SEARCH("#",B2423)), LEFT(B2423,FIND("#",B2423)-1), B2423)</f>
        <v xml:space="preserve">Jewellery Store Counter </v>
      </c>
      <c r="G2423" s="26">
        <f>IF(ISNUMBER(SEARCH("#",B2423)),VALUE(MID(B2423,FIND("#",B2423)+1,1000)),1)</f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.75" thickBot="1" x14ac:dyDescent="0.3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>IF(ISNUMBER(SEARCH("#",B2424)), LEFT(B2424,FIND("#",B2424)-1), B2424)</f>
        <v xml:space="preserve">Jewellery Store Counter </v>
      </c>
      <c r="G2424" s="26">
        <f>IF(ISNUMBER(SEARCH("#",B2424)),VALUE(MID(B2424,FIND("#",B2424)+1,1000)),1)</f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.75" thickBot="1" x14ac:dyDescent="0.3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>IF(ISNUMBER(SEARCH("#",B2425)), LEFT(B2425,FIND("#",B2425)-1), B2425)</f>
        <v>Jewellery Store Door L</v>
      </c>
      <c r="G2425" s="26">
        <f>IF(ISNUMBER(SEARCH("#",B2425)),VALUE(MID(B2425,FIND("#",B2425)+1,1000)),1)</f>
        <v>1</v>
      </c>
      <c r="H2425" t="str">
        <f>IF(AND(regexMatch(B2425,".*#[0-9]*$"),ISNUMBER(SEARCH("#",B2425))),CONCATENATE(TRIM(F2425)," #",G2425),B2425)</f>
        <v>Jewellery Store Door L</v>
      </c>
    </row>
    <row r="2426" spans="1:8" ht="15.75" thickBot="1" x14ac:dyDescent="0.3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>IF(ISNUMBER(SEARCH("#",B2426)), LEFT(B2426,FIND("#",B2426)-1), B2426)</f>
        <v>Jewellery Store Door R</v>
      </c>
      <c r="G2426" s="26">
        <f>IF(ISNUMBER(SEARCH("#",B2426)),VALUE(MID(B2426,FIND("#",B2426)+1,1000)),1)</f>
        <v>1</v>
      </c>
      <c r="H2426" t="str">
        <f>IF(AND(regexMatch(B2426,".*#[0-9]*$"),ISNUMBER(SEARCH("#",B2426))),CONCATENATE(TRIM(F2426)," #",G2426),B2426)</f>
        <v>Jewellery Store Door R</v>
      </c>
    </row>
    <row r="2427" spans="1:8" ht="15.75" thickBot="1" x14ac:dyDescent="0.3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>IF(ISNUMBER(SEARCH("#",B2427)), LEFT(B2427,FIND("#",B2427)-1), B2427)</f>
        <v xml:space="preserve">Jewellery Store Plant </v>
      </c>
      <c r="G2427" s="26">
        <f>IF(ISNUMBER(SEARCH("#",B2427)),VALUE(MID(B2427,FIND("#",B2427)+1,1000)),1)</f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.75" thickBot="1" x14ac:dyDescent="0.3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>IF(ISNUMBER(SEARCH("#",B2428)), LEFT(B2428,FIND("#",B2428)-1), B2428)</f>
        <v xml:space="preserve">Jewellery Store Plant </v>
      </c>
      <c r="G2428" s="26">
        <f>IF(ISNUMBER(SEARCH("#",B2428)),VALUE(MID(B2428,FIND("#",B2428)+1,1000)),1)</f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.75" thickBot="1" x14ac:dyDescent="0.3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>IF(ISNUMBER(SEARCH("#",B2429)), LEFT(B2429,FIND("#",B2429)-1), B2429)</f>
        <v>Jewellery Store Small Mirror</v>
      </c>
      <c r="G2429" s="26">
        <f>IF(ISNUMBER(SEARCH("#",B2429)),VALUE(MID(B2429,FIND("#",B2429)+1,1000)),1)</f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.75" thickBot="1" x14ac:dyDescent="0.3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>IF(ISNUMBER(SEARCH("#",B2430)), LEFT(B2430,FIND("#",B2430)-1), B2430)</f>
        <v>Necklace Board</v>
      </c>
      <c r="G2430" s="26">
        <f>IF(ISNUMBER(SEARCH("#",B2430)),VALUE(MID(B2430,FIND("#",B2430)+1,1000)),1)</f>
        <v>1</v>
      </c>
      <c r="H2430" t="str">
        <f>IF(AND(regexMatch(B2430,".*#[0-9]*$"),ISNUMBER(SEARCH("#",B2430))),CONCATENATE(TRIM(F2430)," #",G2430),B2430)</f>
        <v>Necklace Board</v>
      </c>
    </row>
    <row r="2431" spans="1:8" ht="15.75" thickBot="1" x14ac:dyDescent="0.3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>IF(ISNUMBER(SEARCH("#",B2431)), LEFT(B2431,FIND("#",B2431)-1), B2431)</f>
        <v xml:space="preserve">Bike </v>
      </c>
      <c r="G2431" s="26">
        <f>IF(ISNUMBER(SEARCH("#",B2431)),VALUE(MID(B2431,FIND("#",B2431)+1,1000)),1)</f>
        <v>1</v>
      </c>
      <c r="H2431" t="str">
        <f>IF(AND(regexMatch(B2431,".*#[0-9]*$"),ISNUMBER(SEARCH("#",B2431))),CONCATENATE(TRIM(F2431)," #",G2431),B2431)</f>
        <v>Bike #1</v>
      </c>
    </row>
    <row r="2432" spans="1:8" ht="15.75" thickBot="1" x14ac:dyDescent="0.3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>IF(ISNUMBER(SEARCH("#",B2432)), LEFT(B2432,FIND("#",B2432)-1), B2432)</f>
        <v xml:space="preserve">Bike </v>
      </c>
      <c r="G2432" s="26">
        <f>IF(ISNUMBER(SEARCH("#",B2432)),VALUE(MID(B2432,FIND("#",B2432)+1,1000)),1)</f>
        <v>2</v>
      </c>
      <c r="H2432" t="str">
        <f>IF(AND(regexMatch(B2432,".*#[0-9]*$"),ISNUMBER(SEARCH("#",B2432))),CONCATENATE(TRIM(F2432)," #",G2432),B2432)</f>
        <v>Bike #2</v>
      </c>
    </row>
    <row r="2433" spans="1:8" ht="15.75" thickBot="1" x14ac:dyDescent="0.3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>IF(ISNUMBER(SEARCH("#",B2433)), LEFT(B2433,FIND("#",B2433)-1), B2433)</f>
        <v xml:space="preserve">Bin Bag </v>
      </c>
      <c r="G2433" s="26">
        <f>IF(ISNUMBER(SEARCH("#",B2433)),VALUE(MID(B2433,FIND("#",B2433)+1,1000)),1)</f>
        <v>8</v>
      </c>
      <c r="H2433" t="str">
        <f>IF(AND(regexMatch(B2433,".*#[0-9]*$"),ISNUMBER(SEARCH("#",B2433))),CONCATENATE(TRIM(F2433)," #",G2433),B2433)</f>
        <v>Bin Bag #8</v>
      </c>
    </row>
    <row r="2434" spans="1:8" ht="15.75" thickBot="1" x14ac:dyDescent="0.3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>IF(ISNUMBER(SEARCH("#",B2434)), LEFT(B2434,FIND("#",B2434)-1), B2434)</f>
        <v xml:space="preserve">Bin Bag </v>
      </c>
      <c r="G2434" s="26">
        <f>IF(ISNUMBER(SEARCH("#",B2434)),VALUE(MID(B2434,FIND("#",B2434)+1,1000)),1)</f>
        <v>1</v>
      </c>
      <c r="H2434" t="str">
        <f>IF(AND(regexMatch(B2434,".*#[0-9]*$"),ISNUMBER(SEARCH("#",B2434))),CONCATENATE(TRIM(F2434)," #",G2434),B2434)</f>
        <v>Bin Bag #1</v>
      </c>
    </row>
    <row r="2435" spans="1:8" ht="15.75" thickBot="1" x14ac:dyDescent="0.3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>IF(ISNUMBER(SEARCH("#",B2435)), LEFT(B2435,FIND("#",B2435)-1), B2435)</f>
        <v xml:space="preserve">Bin Bag </v>
      </c>
      <c r="G2435" s="26">
        <f>IF(ISNUMBER(SEARCH("#",B2435)),VALUE(MID(B2435,FIND("#",B2435)+1,1000)),1)</f>
        <v>2</v>
      </c>
      <c r="H2435" t="str">
        <f>IF(AND(regexMatch(B2435,".*#[0-9]*$"),ISNUMBER(SEARCH("#",B2435))),CONCATENATE(TRIM(F2435)," #",G2435),B2435)</f>
        <v>Bin Bag #2</v>
      </c>
    </row>
    <row r="2436" spans="1:8" ht="15.75" thickBot="1" x14ac:dyDescent="0.3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>IF(ISNUMBER(SEARCH("#",B2436)), LEFT(B2436,FIND("#",B2436)-1), B2436)</f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.75" thickBot="1" x14ac:dyDescent="0.3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>IF(ISNUMBER(SEARCH("#",B2437)), LEFT(B2437,FIND("#",B2437)-1), B2437)</f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.75" thickBot="1" x14ac:dyDescent="0.3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>IF(ISNUMBER(SEARCH("#",B2438)), LEFT(B2438,FIND("#",B2438)-1), B2438)</f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.75" thickBot="1" x14ac:dyDescent="0.3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>IF(ISNUMBER(SEARCH("#",B2439)), LEFT(B2439,FIND("#",B2439)-1), B2439)</f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.75" thickBot="1" x14ac:dyDescent="0.3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>IF(ISNUMBER(SEARCH("#",B2440)), LEFT(B2440,FIND("#",B2440)-1), B2440)</f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.75" thickBot="1" x14ac:dyDescent="0.3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>IF(ISNUMBER(SEARCH("#",B2441)), LEFT(B2441,FIND("#",B2441)-1), B2441)</f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.75" thickBot="1" x14ac:dyDescent="0.3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>IF(ISNUMBER(SEARCH("#",B2442)), LEFT(B2442,FIND("#",B2442)-1), B2442)</f>
        <v xml:space="preserve">Bin Bags </v>
      </c>
      <c r="G2442" s="26">
        <f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.75" thickBot="1" x14ac:dyDescent="0.3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>IF(ISNUMBER(SEARCH("#",B2443)), LEFT(B2443,FIND("#",B2443)-1), B2443)</f>
        <v xml:space="preserve">Bin Bags </v>
      </c>
      <c r="G2443" s="26">
        <f>IF(ISNUMBER(SEARCH("#",B2443)),VALUE(MID(B2443,FIND("#",B2443)+1,1000)),1)</f>
        <v>2</v>
      </c>
      <c r="H2443" t="str">
        <f>IF(AND(regexMatch(B2443,".*#[0-9]*$"),ISNUMBER(SEARCH("#",B2443))),CONCATENATE(TRIM(F2443)," #",G2443),B2443)</f>
        <v>Bin Bags #2</v>
      </c>
    </row>
    <row r="2444" spans="1:8" ht="15.75" thickBot="1" x14ac:dyDescent="0.3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>IF(ISNUMBER(SEARCH("#",B2444)), LEFT(B2444,FIND("#",B2444)-1), B2444)</f>
        <v xml:space="preserve">Bin Bags </v>
      </c>
      <c r="G2444" s="26">
        <f>IF(ISNUMBER(SEARCH("#",B2444)),VALUE(MID(B2444,FIND("#",B2444)+1,1000)),1)</f>
        <v>3</v>
      </c>
      <c r="H2444" t="str">
        <f>IF(AND(regexMatch(B2444,".*#[0-9]*$"),ISNUMBER(SEARCH("#",B2444))),CONCATENATE(TRIM(F2444)," #",G2444),B2444)</f>
        <v>Bin Bags #3</v>
      </c>
    </row>
    <row r="2445" spans="1:8" ht="15.75" thickBot="1" x14ac:dyDescent="0.3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>IF(ISNUMBER(SEARCH("#",B2445)), LEFT(B2445,FIND("#",B2445)-1), B2445)</f>
        <v>Blue Sofa Damaged</v>
      </c>
      <c r="G2445" s="26">
        <f>IF(ISNUMBER(SEARCH("#",B2445)),VALUE(MID(B2445,FIND("#",B2445)+1,1000)),1)</f>
        <v>1</v>
      </c>
      <c r="H2445" t="str">
        <f>IF(AND(regexMatch(B2445,".*#[0-9]*$"),ISNUMBER(SEARCH("#",B2445))),CONCATENATE(TRIM(F2445)," #",G2445),B2445)</f>
        <v>Blue Sofa Damaged</v>
      </c>
    </row>
    <row r="2446" spans="1:8" ht="15.75" thickBot="1" x14ac:dyDescent="0.3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>IF(ISNUMBER(SEARCH("#",B2446)), LEFT(B2446,FIND("#",B2446)-1), B2446)</f>
        <v>Blue Sofa Destroyed</v>
      </c>
      <c r="G2446" s="26">
        <f>IF(ISNUMBER(SEARCH("#",B2446)),VALUE(MID(B2446,FIND("#",B2446)+1,1000)),1)</f>
        <v>1</v>
      </c>
      <c r="H2446" t="str">
        <f>IF(AND(regexMatch(B2446,".*#[0-9]*$"),ISNUMBER(SEARCH("#",B2446))),CONCATENATE(TRIM(F2446)," #",G2446),B2446)</f>
        <v>Blue Sofa Destroyed</v>
      </c>
    </row>
    <row r="2447" spans="1:8" ht="15.75" thickBot="1" x14ac:dyDescent="0.3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>IF(ISNUMBER(SEARCH("#",B2447)), LEFT(B2447,FIND("#",B2447)-1), B2447)</f>
        <v>Blue Sofa Soiled</v>
      </c>
      <c r="G2447" s="26">
        <f>IF(ISNUMBER(SEARCH("#",B2447)),VALUE(MID(B2447,FIND("#",B2447)+1,1000)),1)</f>
        <v>1</v>
      </c>
      <c r="H2447" t="str">
        <f>IF(AND(regexMatch(B2447,".*#[0-9]*$"),ISNUMBER(SEARCH("#",B2447))),CONCATENATE(TRIM(F2447)," #",G2447),B2447)</f>
        <v>Blue Sofa Soiled</v>
      </c>
    </row>
    <row r="2448" spans="1:8" ht="15.75" thickBot="1" x14ac:dyDescent="0.3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>IF(ISNUMBER(SEARCH("#",B2448)), LEFT(B2448,FIND("#",B2448)-1), B2448)</f>
        <v xml:space="preserve">Bus Door </v>
      </c>
      <c r="G2448" s="26">
        <f>IF(ISNUMBER(SEARCH("#",B2448)),VALUE(MID(B2448,FIND("#",B2448)+1,1000)),1)</f>
        <v>1</v>
      </c>
      <c r="H2448" t="str">
        <f>IF(AND(regexMatch(B2448,".*#[0-9]*$"),ISNUMBER(SEARCH("#",B2448))),CONCATENATE(TRIM(F2448)," #",G2448),B2448)</f>
        <v>Bus Door #1</v>
      </c>
    </row>
    <row r="2449" spans="1:8" ht="15.75" thickBot="1" x14ac:dyDescent="0.3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>IF(ISNUMBER(SEARCH("#",B2449)), LEFT(B2449,FIND("#",B2449)-1), B2449)</f>
        <v xml:space="preserve">Bus Door </v>
      </c>
      <c r="G2449" s="26">
        <f>IF(ISNUMBER(SEARCH("#",B2449)),VALUE(MID(B2449,FIND("#",B2449)+1,1000)),1)</f>
        <v>2</v>
      </c>
      <c r="H2449" t="str">
        <f>IF(AND(regexMatch(B2449,".*#[0-9]*$"),ISNUMBER(SEARCH("#",B2449))),CONCATENATE(TRIM(F2449)," #",G2449),B2449)</f>
        <v>Bus Door #2</v>
      </c>
    </row>
    <row r="2450" spans="1:8" ht="15.75" thickBot="1" x14ac:dyDescent="0.3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>IF(ISNUMBER(SEARCH("#",B2450)), LEFT(B2450,FIND("#",B2450)-1), B2450)</f>
        <v xml:space="preserve">Bus Wreck </v>
      </c>
      <c r="G2450" s="26">
        <f>IF(ISNUMBER(SEARCH("#",B2450)),VALUE(MID(B2450,FIND("#",B2450)+1,1000)),1)</f>
        <v>1</v>
      </c>
      <c r="H2450" t="str">
        <f>IF(AND(regexMatch(B2450,".*#[0-9]*$"),ISNUMBER(SEARCH("#",B2450))),CONCATENATE(TRIM(F2450)," #",G2450),B2450)</f>
        <v>Bus Wreck #1</v>
      </c>
    </row>
    <row r="2451" spans="1:8" ht="15.75" thickBot="1" x14ac:dyDescent="0.3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>IF(ISNUMBER(SEARCH("#",B2451)), LEFT(B2451,FIND("#",B2451)-1), B2451)</f>
        <v xml:space="preserve">Bus Wreck </v>
      </c>
      <c r="G2451" s="26">
        <f>IF(ISNUMBER(SEARCH("#",B2451)),VALUE(MID(B2451,FIND("#",B2451)+1,1000)),1)</f>
        <v>2</v>
      </c>
      <c r="H2451" t="str">
        <f>IF(AND(regexMatch(B2451,".*#[0-9]*$"),ISNUMBER(SEARCH("#",B2451))),CONCATENATE(TRIM(F2451)," #",G2451),B2451)</f>
        <v>Bus Wreck #2</v>
      </c>
    </row>
    <row r="2452" spans="1:8" ht="15.75" thickBot="1" x14ac:dyDescent="0.3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>IF(ISNUMBER(SEARCH("#",B2452)), LEFT(B2452,FIND("#",B2452)-1), B2452)</f>
        <v>Cage Trolley</v>
      </c>
      <c r="G2452" s="26">
        <f>IF(ISNUMBER(SEARCH("#",B2452)),VALUE(MID(B2452,FIND("#",B2452)+1,1000)),1)</f>
        <v>1</v>
      </c>
      <c r="H2452" t="str">
        <f>IF(AND(regexMatch(B2452,".*#[0-9]*$"),ISNUMBER(SEARCH("#",B2452))),CONCATENATE(TRIM(F2452)," #",G2452),B2452)</f>
        <v>Cage Trolley</v>
      </c>
    </row>
    <row r="2453" spans="1:8" ht="15.75" thickBot="1" x14ac:dyDescent="0.3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>IF(ISNUMBER(SEARCH("#",B2453)), LEFT(B2453,FIND("#",B2453)-1), B2453)</f>
        <v xml:space="preserve">Car Door </v>
      </c>
      <c r="G2453" s="26">
        <f>IF(ISNUMBER(SEARCH("#",B2453)),VALUE(MID(B2453,FIND("#",B2453)+1,1000)),1)</f>
        <v>1</v>
      </c>
      <c r="H2453" t="str">
        <f>IF(AND(regexMatch(B2453,".*#[0-9]*$"),ISNUMBER(SEARCH("#",B2453))),CONCATENATE(TRIM(F2453)," #",G2453),B2453)</f>
        <v>Car Door #1</v>
      </c>
    </row>
    <row r="2454" spans="1:8" ht="15.75" thickBot="1" x14ac:dyDescent="0.3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>IF(ISNUMBER(SEARCH("#",B2454)), LEFT(B2454,FIND("#",B2454)-1), B2454)</f>
        <v xml:space="preserve">Car Door </v>
      </c>
      <c r="G2454" s="26">
        <f>IF(ISNUMBER(SEARCH("#",B2454)),VALUE(MID(B2454,FIND("#",B2454)+1,1000)),1)</f>
        <v>2</v>
      </c>
      <c r="H2454" t="str">
        <f>IF(AND(regexMatch(B2454,".*#[0-9]*$"),ISNUMBER(SEARCH("#",B2454))),CONCATENATE(TRIM(F2454)," #",G2454),B2454)</f>
        <v>Car Door #2</v>
      </c>
    </row>
    <row r="2455" spans="1:8" ht="15.75" thickBot="1" x14ac:dyDescent="0.3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>IF(ISNUMBER(SEARCH("#",B2455)), LEFT(B2455,FIND("#",B2455)-1), B2455)</f>
        <v>Car Exhaust</v>
      </c>
      <c r="G2455" s="26">
        <f>IF(ISNUMBER(SEARCH("#",B2455)),VALUE(MID(B2455,FIND("#",B2455)+1,1000)),1)</f>
        <v>1</v>
      </c>
      <c r="H2455" t="str">
        <f>IF(AND(regexMatch(B2455,".*#[0-9]*$"),ISNUMBER(SEARCH("#",B2455))),CONCATENATE(TRIM(F2455)," #",G2455),B2455)</f>
        <v>Car Exhaust</v>
      </c>
    </row>
    <row r="2456" spans="1:8" ht="15.75" thickBot="1" x14ac:dyDescent="0.3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>IF(ISNUMBER(SEARCH("#",B2456)), LEFT(B2456,FIND("#",B2456)-1), B2456)</f>
        <v>Car Seat</v>
      </c>
      <c r="G2456" s="26">
        <f>IF(ISNUMBER(SEARCH("#",B2456)),VALUE(MID(B2456,FIND("#",B2456)+1,1000)),1)</f>
        <v>1</v>
      </c>
      <c r="H2456" t="str">
        <f>IF(AND(regexMatch(B2456,".*#[0-9]*$"),ISNUMBER(SEARCH("#",B2456))),CONCATENATE(TRIM(F2456)," #",G2456),B2456)</f>
        <v>Car Seat</v>
      </c>
    </row>
    <row r="2457" spans="1:8" ht="15.75" thickBot="1" x14ac:dyDescent="0.3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>IF(ISNUMBER(SEARCH("#",B2457)), LEFT(B2457,FIND("#",B2457)-1), B2457)</f>
        <v>Couch</v>
      </c>
      <c r="G2457" s="26">
        <f>IF(ISNUMBER(SEARCH("#",B2457)),VALUE(MID(B2457,FIND("#",B2457)+1,1000)),1)</f>
        <v>1</v>
      </c>
      <c r="H2457" t="str">
        <f>IF(AND(regexMatch(B2457,".*#[0-9]*$"),ISNUMBER(SEARCH("#",B2457))),CONCATENATE(TRIM(F2457)," #",G2457),B2457)</f>
        <v>Couch</v>
      </c>
    </row>
    <row r="2458" spans="1:8" ht="15.75" thickBot="1" x14ac:dyDescent="0.3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>IF(ISNUMBER(SEARCH("#",B2458)), LEFT(B2458,FIND("#",B2458)-1), B2458)</f>
        <v xml:space="preserve">Couch </v>
      </c>
      <c r="G2458" s="26">
        <f>IF(ISNUMBER(SEARCH("#",B2458)),VALUE(MID(B2458,FIND("#",B2458)+1,1000)),1)</f>
        <v>1</v>
      </c>
      <c r="H2458" t="str">
        <f>IF(AND(regexMatch(B2458,".*#[0-9]*$"),ISNUMBER(SEARCH("#",B2458))),CONCATENATE(TRIM(F2458)," #",G2458),B2458)</f>
        <v>Couch #1</v>
      </c>
    </row>
    <row r="2459" spans="1:8" ht="15.75" thickBot="1" x14ac:dyDescent="0.3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>IF(ISNUMBER(SEARCH("#",B2459)), LEFT(B2459,FIND("#",B2459)-1), B2459)</f>
        <v xml:space="preserve">Couch </v>
      </c>
      <c r="G2459" s="26">
        <f>IF(ISNUMBER(SEARCH("#",B2459)),VALUE(MID(B2459,FIND("#",B2459)+1,1000)),1)</f>
        <v>2</v>
      </c>
      <c r="H2459" t="str">
        <f>IF(AND(regexMatch(B2459,".*#[0-9]*$"),ISNUMBER(SEARCH("#",B2459))),CONCATENATE(TRIM(F2459)," #",G2459),B2459)</f>
        <v>Couch #2</v>
      </c>
    </row>
    <row r="2460" spans="1:8" ht="15.75" thickBot="1" x14ac:dyDescent="0.3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>IF(ISNUMBER(SEARCH("#",B2460)), LEFT(B2460,FIND("#",B2460)-1), B2460)</f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.75" thickBot="1" x14ac:dyDescent="0.3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>IF(ISNUMBER(SEARCH("#",B2461)), LEFT(B2461,FIND("#",B2461)-1), B2461)</f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.75" thickBot="1" x14ac:dyDescent="0.3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>IF(ISNUMBER(SEARCH("#",B2462)), LEFT(B2462,FIND("#",B2462)-1), B2462)</f>
        <v xml:space="preserve">Flotsam </v>
      </c>
      <c r="G2462" s="26">
        <f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.75" thickBot="1" x14ac:dyDescent="0.3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>IF(ISNUMBER(SEARCH("#",B2463)), LEFT(B2463,FIND("#",B2463)-1), B2463)</f>
        <v xml:space="preserve">Flotsam </v>
      </c>
      <c r="G2463" s="26">
        <f>IF(ISNUMBER(SEARCH("#",B2463)),VALUE(MID(B2463,FIND("#",B2463)+1,1000)),1)</f>
        <v>2</v>
      </c>
      <c r="H2463" t="str">
        <f>IF(AND(regexMatch(B2463,".*#[0-9]*$"),ISNUMBER(SEARCH("#",B2463))),CONCATENATE(TRIM(F2463)," #",G2463),B2463)</f>
        <v>Flotsam #2</v>
      </c>
    </row>
    <row r="2464" spans="1:8" ht="15.75" thickBot="1" x14ac:dyDescent="0.3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>IF(ISNUMBER(SEARCH("#",B2464)), LEFT(B2464,FIND("#",B2464)-1), B2464)</f>
        <v xml:space="preserve">Flotsam </v>
      </c>
      <c r="G2464" s="26">
        <f>IF(ISNUMBER(SEARCH("#",B2464)),VALUE(MID(B2464,FIND("#",B2464)+1,1000)),1)</f>
        <v>3</v>
      </c>
      <c r="H2464" t="str">
        <f>IF(AND(regexMatch(B2464,".*#[0-9]*$"),ISNUMBER(SEARCH("#",B2464))),CONCATENATE(TRIM(F2464)," #",G2464),B2464)</f>
        <v>Flotsam #3</v>
      </c>
    </row>
    <row r="2465" spans="1:8" ht="15.75" thickBot="1" x14ac:dyDescent="0.3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>IF(ISNUMBER(SEARCH("#",B2465)), LEFT(B2465,FIND("#",B2465)-1), B2465)</f>
        <v>Generator</v>
      </c>
      <c r="G2465" s="26">
        <f>IF(ISNUMBER(SEARCH("#",B2465)),VALUE(MID(B2465,FIND("#",B2465)+1,1000)),1)</f>
        <v>1</v>
      </c>
      <c r="H2465" t="str">
        <f>IF(AND(regexMatch(B2465,".*#[0-9]*$"),ISNUMBER(SEARCH("#",B2465))),CONCATENATE(TRIM(F2465)," #",G2465),B2465)</f>
        <v>Generator</v>
      </c>
    </row>
    <row r="2466" spans="1:8" ht="15.75" thickBot="1" x14ac:dyDescent="0.3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>IF(ISNUMBER(SEARCH("#",B2466)), LEFT(B2466,FIND("#",B2466)-1), B2466)</f>
        <v>Glass Scrap</v>
      </c>
      <c r="G2466" s="26">
        <f>IF(ISNUMBER(SEARCH("#",B2466)),VALUE(MID(B2466,FIND("#",B2466)+1,1000)),1)</f>
        <v>1</v>
      </c>
      <c r="H2466" t="str">
        <f>IF(AND(regexMatch(B2466,".*#[0-9]*$"),ISNUMBER(SEARCH("#",B2466))),CONCATENATE(TRIM(F2466)," #",G2466),B2466)</f>
        <v>Glass Scrap</v>
      </c>
    </row>
    <row r="2467" spans="1:8" ht="15.75" thickBot="1" x14ac:dyDescent="0.3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>IF(ISNUMBER(SEARCH("#",B2467)), LEFT(B2467,FIND("#",B2467)-1), B2467)</f>
        <v>Homeless Shelter</v>
      </c>
      <c r="G2467" s="26">
        <f>IF(ISNUMBER(SEARCH("#",B2467)),VALUE(MID(B2467,FIND("#",B2467)+1,1000)),1)</f>
        <v>1</v>
      </c>
      <c r="H2467" t="str">
        <f>IF(AND(regexMatch(B2467,".*#[0-9]*$"),ISNUMBER(SEARCH("#",B2467))),CONCATENATE(TRIM(F2467)," #",G2467),B2467)</f>
        <v>Homeless Shelter</v>
      </c>
    </row>
    <row r="2468" spans="1:8" ht="15.75" thickBot="1" x14ac:dyDescent="0.3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>IF(ISNUMBER(SEARCH("#",B2468)), LEFT(B2468,FIND("#",B2468)-1), B2468)</f>
        <v xml:space="preserve">Homeless Shelter </v>
      </c>
      <c r="G2468" s="26">
        <f>IF(ISNUMBER(SEARCH("#",B2468)),VALUE(MID(B2468,FIND("#",B2468)+1,1000)),1)</f>
        <v>1</v>
      </c>
      <c r="H2468" t="str">
        <f>IF(AND(regexMatch(B2468,".*#[0-9]*$"),ISNUMBER(SEARCH("#",B2468))),CONCATENATE(TRIM(F2468)," #",G2468),B2468)</f>
        <v>Homeless Shelter #1</v>
      </c>
    </row>
    <row r="2469" spans="1:8" ht="15.75" thickBot="1" x14ac:dyDescent="0.3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>IF(ISNUMBER(SEARCH("#",B2469)), LEFT(B2469,FIND("#",B2469)-1), B2469)</f>
        <v>Junkyard Concrete Block</v>
      </c>
      <c r="G2469" s="26">
        <f>IF(ISNUMBER(SEARCH("#",B2469)),VALUE(MID(B2469,FIND("#",B2469)+1,1000)),1)</f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.75" thickBot="1" x14ac:dyDescent="0.3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>IF(ISNUMBER(SEARCH("#",B2470)), LEFT(B2470,FIND("#",B2470)-1), B2470)</f>
        <v>Monitor</v>
      </c>
      <c r="G2470" s="26">
        <f>IF(ISNUMBER(SEARCH("#",B2470)),VALUE(MID(B2470,FIND("#",B2470)+1,1000)),1)</f>
        <v>1</v>
      </c>
      <c r="H2470" t="str">
        <f>IF(AND(regexMatch(B2470,".*#[0-9]*$"),ISNUMBER(SEARCH("#",B2470))),CONCATENATE(TRIM(F2470)," #",G2470),B2470)</f>
        <v>Monitor</v>
      </c>
    </row>
    <row r="2471" spans="1:8" ht="15.75" thickBot="1" x14ac:dyDescent="0.3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>IF(ISNUMBER(SEARCH("#",B2471)), LEFT(B2471,FIND("#",B2471)-1), B2471)</f>
        <v>Motorbike</v>
      </c>
      <c r="G2471" s="26">
        <f>IF(ISNUMBER(SEARCH("#",B2471)),VALUE(MID(B2471,FIND("#",B2471)+1,1000)),1)</f>
        <v>1</v>
      </c>
      <c r="H2471" t="str">
        <f>IF(AND(regexMatch(B2471,".*#[0-9]*$"),ISNUMBER(SEARCH("#",B2471))),CONCATENATE(TRIM(F2471)," #",G2471),B2471)</f>
        <v>Motorbike</v>
      </c>
    </row>
    <row r="2472" spans="1:8" ht="15.75" thickBot="1" x14ac:dyDescent="0.3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>IF(ISNUMBER(SEARCH("#",B2472)), LEFT(B2472,FIND("#",B2472)-1), B2472)</f>
        <v xml:space="preserve">Planks </v>
      </c>
      <c r="G2472" s="26">
        <f>IF(ISNUMBER(SEARCH("#",B2472)),VALUE(MID(B2472,FIND("#",B2472)+1,1000)),1)</f>
        <v>1</v>
      </c>
      <c r="H2472" t="str">
        <f>IF(AND(regexMatch(B2472,".*#[0-9]*$"),ISNUMBER(SEARCH("#",B2472))),CONCATENATE(TRIM(F2472)," #",G2472),B2472)</f>
        <v>Planks #1</v>
      </c>
    </row>
    <row r="2473" spans="1:8" ht="15.75" thickBot="1" x14ac:dyDescent="0.3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>IF(ISNUMBER(SEARCH("#",B2473)), LEFT(B2473,FIND("#",B2473)-1), B2473)</f>
        <v xml:space="preserve">Planks </v>
      </c>
      <c r="G2473" s="26">
        <f>IF(ISNUMBER(SEARCH("#",B2473)),VALUE(MID(B2473,FIND("#",B2473)+1,1000)),1)</f>
        <v>2</v>
      </c>
      <c r="H2473" t="str">
        <f>IF(AND(regexMatch(B2473,".*#[0-9]*$"),ISNUMBER(SEARCH("#",B2473))),CONCATENATE(TRIM(F2473)," #",G2473),B2473)</f>
        <v>Planks #2</v>
      </c>
    </row>
    <row r="2474" spans="1:8" ht="15.75" thickBot="1" x14ac:dyDescent="0.3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>IF(ISNUMBER(SEARCH("#",B2474)), LEFT(B2474,FIND("#",B2474)-1), B2474)</f>
        <v xml:space="preserve">Planks </v>
      </c>
      <c r="G2474" s="26">
        <f>IF(ISNUMBER(SEARCH("#",B2474)),VALUE(MID(B2474,FIND("#",B2474)+1,1000)),1)</f>
        <v>3</v>
      </c>
      <c r="H2474" t="str">
        <f>IF(AND(regexMatch(B2474,".*#[0-9]*$"),ISNUMBER(SEARCH("#",B2474))),CONCATENATE(TRIM(F2474)," #",G2474),B2474)</f>
        <v>Planks #3</v>
      </c>
    </row>
    <row r="2475" spans="1:8" ht="15.75" thickBot="1" x14ac:dyDescent="0.3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>IF(ISNUMBER(SEARCH("#",B2475)), LEFT(B2475,FIND("#",B2475)-1), B2475)</f>
        <v xml:space="preserve">Planks </v>
      </c>
      <c r="G2475" s="26">
        <f>IF(ISNUMBER(SEARCH("#",B2475)),VALUE(MID(B2475,FIND("#",B2475)+1,1000)),1)</f>
        <v>4</v>
      </c>
      <c r="H2475" t="str">
        <f>IF(AND(regexMatch(B2475,".*#[0-9]*$"),ISNUMBER(SEARCH("#",B2475))),CONCATENATE(TRIM(F2475)," #",G2475),B2475)</f>
        <v>Planks #4</v>
      </c>
    </row>
    <row r="2476" spans="1:8" ht="15.75" thickBot="1" x14ac:dyDescent="0.3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>IF(ISNUMBER(SEARCH("#",B2476)), LEFT(B2476,FIND("#",B2476)-1), B2476)</f>
        <v xml:space="preserve">Rubbish: Binbag </v>
      </c>
      <c r="G2476" s="26">
        <f>IF(ISNUMBER(SEARCH("#",B2476)),VALUE(MID(B2476,FIND("#",B2476)+1,1000)),1)</f>
        <v>1</v>
      </c>
      <c r="H2476" t="str">
        <f>IF(AND(regexMatch(B2476,".*#[0-9]*$"),ISNUMBER(SEARCH("#",B2476))),CONCATENATE(TRIM(F2476)," #",G2476),B2476)</f>
        <v>Rubbish: Binbag #1</v>
      </c>
    </row>
    <row r="2477" spans="1:8" ht="15.75" thickBot="1" x14ac:dyDescent="0.3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>IF(ISNUMBER(SEARCH("#",B2477)), LEFT(B2477,FIND("#",B2477)-1), B2477)</f>
        <v xml:space="preserve">Rubbish: Box </v>
      </c>
      <c r="G2477" s="26">
        <f>IF(ISNUMBER(SEARCH("#",B2477)),VALUE(MID(B2477,FIND("#",B2477)+1,1000)),1)</f>
        <v>1</v>
      </c>
      <c r="H2477" t="str">
        <f>IF(AND(regexMatch(B2477,".*#[0-9]*$"),ISNUMBER(SEARCH("#",B2477))),CONCATENATE(TRIM(F2477)," #",G2477),B2477)</f>
        <v>Rubbish: Box #1</v>
      </c>
    </row>
    <row r="2478" spans="1:8" ht="15.75" thickBot="1" x14ac:dyDescent="0.3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>IF(ISNUMBER(SEARCH("#",B2478)), LEFT(B2478,FIND("#",B2478)-1), B2478)</f>
        <v xml:space="preserve">Rubbish: Box </v>
      </c>
      <c r="G2478" s="26">
        <f>IF(ISNUMBER(SEARCH("#",B2478)),VALUE(MID(B2478,FIND("#",B2478)+1,1000)),1)</f>
        <v>2</v>
      </c>
      <c r="H2478" t="str">
        <f>IF(AND(regexMatch(B2478,".*#[0-9]*$"),ISNUMBER(SEARCH("#",B2478))),CONCATENATE(TRIM(F2478)," #",G2478),B2478)</f>
        <v>Rubbish: Box #2</v>
      </c>
    </row>
    <row r="2479" spans="1:8" ht="15.75" thickBot="1" x14ac:dyDescent="0.3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>IF(ISNUMBER(SEARCH("#",B2479)), LEFT(B2479,FIND("#",B2479)-1), B2479)</f>
        <v xml:space="preserve">Rubble </v>
      </c>
      <c r="G2479" s="26">
        <f>IF(ISNUMBER(SEARCH("#",B2479)),VALUE(MID(B2479,FIND("#",B2479)+1,1000)),1)</f>
        <v>1</v>
      </c>
      <c r="H2479" t="str">
        <f>IF(AND(regexMatch(B2479,".*#[0-9]*$"),ISNUMBER(SEARCH("#",B2479))),CONCATENATE(TRIM(F2479)," #",G2479),B2479)</f>
        <v>Rubble #1</v>
      </c>
    </row>
    <row r="2480" spans="1:8" ht="15.75" thickBot="1" x14ac:dyDescent="0.3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>IF(ISNUMBER(SEARCH("#",B2480)), LEFT(B2480,FIND("#",B2480)-1), B2480)</f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.75" thickBot="1" x14ac:dyDescent="0.3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>IF(ISNUMBER(SEARCH("#",B2481)), LEFT(B2481,FIND("#",B2481)-1), B2481)</f>
        <v xml:space="preserve">Rubble </v>
      </c>
      <c r="G2481" s="26">
        <f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.75" thickBot="1" x14ac:dyDescent="0.3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>IF(ISNUMBER(SEARCH("#",B2482)), LEFT(B2482,FIND("#",B2482)-1), B2482)</f>
        <v xml:space="preserve">Rubble </v>
      </c>
      <c r="G2482" s="26">
        <f>IF(ISNUMBER(SEARCH("#",B2482)),VALUE(MID(B2482,FIND("#",B2482)+1,1000)),1)</f>
        <v>3</v>
      </c>
      <c r="H2482" t="str">
        <f>IF(AND(regexMatch(B2482,".*#[0-9]*$"),ISNUMBER(SEARCH("#",B2482))),CONCATENATE(TRIM(F2482)," #",G2482),B2482)</f>
        <v>Rubble #3</v>
      </c>
    </row>
    <row r="2483" spans="1:8" ht="15.75" thickBot="1" x14ac:dyDescent="0.3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>IF(ISNUMBER(SEARCH("#",B2483)), LEFT(B2483,FIND("#",B2483)-1), B2483)</f>
        <v xml:space="preserve">Scrap </v>
      </c>
      <c r="G2483" s="26">
        <f>IF(ISNUMBER(SEARCH("#",B2483)),VALUE(MID(B2483,FIND("#",B2483)+1,1000)),1)</f>
        <v>1</v>
      </c>
      <c r="H2483" t="str">
        <f>IF(AND(regexMatch(B2483,".*#[0-9]*$"),ISNUMBER(SEARCH("#",B2483))),CONCATENATE(TRIM(F2483)," #",G2483),B2483)</f>
        <v>Scrap #1</v>
      </c>
    </row>
    <row r="2484" spans="1:8" ht="15.75" thickBot="1" x14ac:dyDescent="0.3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>IF(ISNUMBER(SEARCH("#",B2484)), LEFT(B2484,FIND("#",B2484)-1), B2484)</f>
        <v xml:space="preserve">Scrap </v>
      </c>
      <c r="G2484" s="26">
        <f>IF(ISNUMBER(SEARCH("#",B2484)),VALUE(MID(B2484,FIND("#",B2484)+1,1000)),1)</f>
        <v>2</v>
      </c>
      <c r="H2484" t="str">
        <f>IF(AND(regexMatch(B2484,".*#[0-9]*$"),ISNUMBER(SEARCH("#",B2484))),CONCATENATE(TRIM(F2484)," #",G2484),B2484)</f>
        <v>Scrap #2</v>
      </c>
    </row>
    <row r="2485" spans="1:8" ht="15.75" thickBot="1" x14ac:dyDescent="0.3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>IF(ISNUMBER(SEARCH("#",B2485)), LEFT(B2485,FIND("#",B2485)-1), B2485)</f>
        <v xml:space="preserve">Scrap </v>
      </c>
      <c r="G2485" s="26">
        <f>IF(ISNUMBER(SEARCH("#",B2485)),VALUE(MID(B2485,FIND("#",B2485)+1,1000)),1)</f>
        <v>3</v>
      </c>
      <c r="H2485" t="str">
        <f>IF(AND(regexMatch(B2485,".*#[0-9]*$"),ISNUMBER(SEARCH("#",B2485))),CONCATENATE(TRIM(F2485)," #",G2485),B2485)</f>
        <v>Scrap #3</v>
      </c>
    </row>
    <row r="2486" spans="1:8" ht="15.75" thickBot="1" x14ac:dyDescent="0.3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>IF(ISNUMBER(SEARCH("#",B2486)), LEFT(B2486,FIND("#",B2486)-1), B2486)</f>
        <v xml:space="preserve">Scrap </v>
      </c>
      <c r="G2486" s="26">
        <f>IF(ISNUMBER(SEARCH("#",B2486)),VALUE(MID(B2486,FIND("#",B2486)+1,1000)),1)</f>
        <v>4</v>
      </c>
      <c r="H2486" t="str">
        <f>IF(AND(regexMatch(B2486,".*#[0-9]*$"),ISNUMBER(SEARCH("#",B2486))),CONCATENATE(TRIM(F2486)," #",G2486),B2486)</f>
        <v>Scrap #4</v>
      </c>
    </row>
    <row r="2487" spans="1:8" ht="15.75" thickBot="1" x14ac:dyDescent="0.3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>IF(ISNUMBER(SEARCH("#",B2487)), LEFT(B2487,FIND("#",B2487)-1), B2487)</f>
        <v xml:space="preserve">Scrap </v>
      </c>
      <c r="G2487" s="26">
        <f>IF(ISNUMBER(SEARCH("#",B2487)),VALUE(MID(B2487,FIND("#",B2487)+1,1000)),1)</f>
        <v>5</v>
      </c>
      <c r="H2487" t="str">
        <f>IF(AND(regexMatch(B2487,".*#[0-9]*$"),ISNUMBER(SEARCH("#",B2487))),CONCATENATE(TRIM(F2487)," #",G2487),B2487)</f>
        <v>Scrap #5</v>
      </c>
    </row>
    <row r="2488" spans="1:8" ht="15.75" thickBot="1" x14ac:dyDescent="0.3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>IF(ISNUMBER(SEARCH("#",B2488)), LEFT(B2488,FIND("#",B2488)-1), B2488)</f>
        <v xml:space="preserve">Scrap </v>
      </c>
      <c r="G2488" s="26">
        <f>IF(ISNUMBER(SEARCH("#",B2488)),VALUE(MID(B2488,FIND("#",B2488)+1,1000)),1)</f>
        <v>6</v>
      </c>
      <c r="H2488" t="str">
        <f>IF(AND(regexMatch(B2488,".*#[0-9]*$"),ISNUMBER(SEARCH("#",B2488))),CONCATENATE(TRIM(F2488)," #",G2488),B2488)</f>
        <v>Scrap #6</v>
      </c>
    </row>
    <row r="2489" spans="1:8" ht="15.75" thickBot="1" x14ac:dyDescent="0.3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>IF(ISNUMBER(SEARCH("#",B2489)), LEFT(B2489,FIND("#",B2489)-1), B2489)</f>
        <v>Shipping Container</v>
      </c>
      <c r="G2489" s="26">
        <f>IF(ISNUMBER(SEARCH("#",B2489)),VALUE(MID(B2489,FIND("#",B2489)+1,1000)),1)</f>
        <v>1</v>
      </c>
      <c r="H2489" t="str">
        <f>IF(AND(regexMatch(B2489,".*#[0-9]*$"),ISNUMBER(SEARCH("#",B2489))),CONCATENATE(TRIM(F2489)," #",G2489),B2489)</f>
        <v>Shipping Container</v>
      </c>
    </row>
    <row r="2490" spans="1:8" ht="15.75" thickBot="1" x14ac:dyDescent="0.3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>IF(ISNUMBER(SEARCH("#",B2490)), LEFT(B2490,FIND("#",B2490)-1), B2490)</f>
        <v>Skid Row Tent Cloth</v>
      </c>
      <c r="G2490" s="26">
        <f>IF(ISNUMBER(SEARCH("#",B2490)),VALUE(MID(B2490,FIND("#",B2490)+1,1000)),1)</f>
        <v>1</v>
      </c>
      <c r="H2490" t="str">
        <f>IF(AND(regexMatch(B2490,".*#[0-9]*$"),ISNUMBER(SEARCH("#",B2490))),CONCATENATE(TRIM(F2490)," #",G2490),B2490)</f>
        <v>Skid Row Tent Cloth</v>
      </c>
    </row>
    <row r="2491" spans="1:8" ht="15.75" thickBot="1" x14ac:dyDescent="0.3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>IF(ISNUMBER(SEARCH("#",B2491)), LEFT(B2491,FIND("#",B2491)-1), B2491)</f>
        <v>Stool</v>
      </c>
      <c r="G2491" s="26">
        <f>IF(ISNUMBER(SEARCH("#",B2491)),VALUE(MID(B2491,FIND("#",B2491)+1,1000)),1)</f>
        <v>1</v>
      </c>
      <c r="H2491" t="str">
        <f>IF(AND(regexMatch(B2491,".*#[0-9]*$"),ISNUMBER(SEARCH("#",B2491))),CONCATENATE(TRIM(F2491)," #",G2491),B2491)</f>
        <v>Stool</v>
      </c>
    </row>
    <row r="2492" spans="1:8" ht="15.75" thickBot="1" x14ac:dyDescent="0.3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>IF(ISNUMBER(SEARCH("#",B2492)), LEFT(B2492,FIND("#",B2492)-1), B2492)</f>
        <v>Street Binbag</v>
      </c>
      <c r="G2492" s="26">
        <f>IF(ISNUMBER(SEARCH("#",B2492)),VALUE(MID(B2492,FIND("#",B2492)+1,1000)),1)</f>
        <v>1</v>
      </c>
      <c r="H2492" t="str">
        <f>IF(AND(regexMatch(B2492,".*#[0-9]*$"),ISNUMBER(SEARCH("#",B2492))),CONCATENATE(TRIM(F2492)," #",G2492),B2492)</f>
        <v>Street Binbag</v>
      </c>
    </row>
    <row r="2493" spans="1:8" ht="15.75" thickBot="1" x14ac:dyDescent="0.3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>IF(ISNUMBER(SEARCH("#",B2493)), LEFT(B2493,FIND("#",B2493)-1), B2493)</f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.75" thickBot="1" x14ac:dyDescent="0.3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>IF(ISNUMBER(SEARCH("#",B2494)), LEFT(B2494,FIND("#",B2494)-1), B2494)</f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.75" thickBot="1" x14ac:dyDescent="0.3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>IF(ISNUMBER(SEARCH("#",B2495)), LEFT(B2495,FIND("#",B2495)-1), B2495)</f>
        <v>Supermarket Trolley</v>
      </c>
      <c r="G2495" s="26">
        <f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.75" thickBot="1" x14ac:dyDescent="0.3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>IF(ISNUMBER(SEARCH("#",B2496)), LEFT(B2496,FIND("#",B2496)-1), B2496)</f>
        <v xml:space="preserve">Table </v>
      </c>
      <c r="G2496" s="26">
        <f>IF(ISNUMBER(SEARCH("#",B2496)),VALUE(MID(B2496,FIND("#",B2496)+1,1000)),1)</f>
        <v>1</v>
      </c>
      <c r="H2496" t="str">
        <f>IF(AND(regexMatch(B2496,".*#[0-9]*$"),ISNUMBER(SEARCH("#",B2496))),CONCATENATE(TRIM(F2496)," #",G2496),B2496)</f>
        <v>Table #1</v>
      </c>
    </row>
    <row r="2497" spans="1:8" ht="15.75" thickBot="1" x14ac:dyDescent="0.3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>IF(ISNUMBER(SEARCH("#",B2497)), LEFT(B2497,FIND("#",B2497)-1), B2497)</f>
        <v xml:space="preserve">Table </v>
      </c>
      <c r="G2497" s="26">
        <f>IF(ISNUMBER(SEARCH("#",B2497)),VALUE(MID(B2497,FIND("#",B2497)+1,1000)),1)</f>
        <v>2</v>
      </c>
      <c r="H2497" t="str">
        <f>IF(AND(regexMatch(B2497,".*#[0-9]*$"),ISNUMBER(SEARCH("#",B2497))),CONCATENATE(TRIM(F2497)," #",G2497),B2497)</f>
        <v>Table #2</v>
      </c>
    </row>
    <row r="2498" spans="1:8" ht="15.75" thickBot="1" x14ac:dyDescent="0.3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>IF(ISNUMBER(SEARCH("#",B2498)), LEFT(B2498,FIND("#",B2498)-1), B2498)</f>
        <v xml:space="preserve">Tyre </v>
      </c>
      <c r="G2498" s="26">
        <f>IF(ISNUMBER(SEARCH("#",B2498)),VALUE(MID(B2498,FIND("#",B2498)+1,1000)),1)</f>
        <v>1</v>
      </c>
      <c r="H2498" t="str">
        <f>IF(AND(regexMatch(B2498,".*#[0-9]*$"),ISNUMBER(SEARCH("#",B2498))),CONCATENATE(TRIM(F2498)," #",G2498),B2498)</f>
        <v>Tyre #1</v>
      </c>
    </row>
    <row r="2499" spans="1:8" ht="15.75" thickBot="1" x14ac:dyDescent="0.3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>IF(ISNUMBER(SEARCH("#",B2499)), LEFT(B2499,FIND("#",B2499)-1), B2499)</f>
        <v xml:space="preserve">Tyre </v>
      </c>
      <c r="G2499" s="26">
        <f>IF(ISNUMBER(SEARCH("#",B2499)),VALUE(MID(B2499,FIND("#",B2499)+1,1000)),1)</f>
        <v>2</v>
      </c>
      <c r="H2499" t="str">
        <f>IF(AND(regexMatch(B2499,".*#[0-9]*$"),ISNUMBER(SEARCH("#",B2499))),CONCATENATE(TRIM(F2499)," #",G2499),B2499)</f>
        <v>Tyre #2</v>
      </c>
    </row>
    <row r="2500" spans="1:8" ht="15.75" thickBot="1" x14ac:dyDescent="0.3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>IF(ISNUMBER(SEARCH("#",B2500)), LEFT(B2500,FIND("#",B2500)-1), B2500)</f>
        <v xml:space="preserve">Tyre </v>
      </c>
      <c r="G2500" s="26">
        <f>IF(ISNUMBER(SEARCH("#",B2500)),VALUE(MID(B2500,FIND("#",B2500)+1,1000)),1)</f>
        <v>3</v>
      </c>
      <c r="H2500" t="str">
        <f>IF(AND(regexMatch(B2500,".*#[0-9]*$"),ISNUMBER(SEARCH("#",B2500))),CONCATENATE(TRIM(F2500)," #",G2500),B2500)</f>
        <v>Tyre #3</v>
      </c>
    </row>
    <row r="2501" spans="1:8" ht="15.75" thickBot="1" x14ac:dyDescent="0.3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>IF(ISNUMBER(SEARCH("#",B2501)), LEFT(B2501,FIND("#",B2501)-1), B2501)</f>
        <v xml:space="preserve">Tyre Pile </v>
      </c>
      <c r="G2501" s="26">
        <f>IF(ISNUMBER(SEARCH("#",B2501)),VALUE(MID(B2501,FIND("#",B2501)+1,1000)),1)</f>
        <v>1</v>
      </c>
      <c r="H2501" t="str">
        <f>IF(AND(regexMatch(B2501,".*#[0-9]*$"),ISNUMBER(SEARCH("#",B2501))),CONCATENATE(TRIM(F2501)," #",G2501),B2501)</f>
        <v>Tyre Pile #1</v>
      </c>
    </row>
    <row r="2502" spans="1:8" ht="15.75" thickBot="1" x14ac:dyDescent="0.3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>IF(ISNUMBER(SEARCH("#",B2502)), LEFT(B2502,FIND("#",B2502)-1), B2502)</f>
        <v xml:space="preserve">Tyre Pile </v>
      </c>
      <c r="G2502" s="26">
        <f>IF(ISNUMBER(SEARCH("#",B2502)),VALUE(MID(B2502,FIND("#",B2502)+1,1000)),1)</f>
        <v>2</v>
      </c>
      <c r="H2502" t="str">
        <f>IF(AND(regexMatch(B2502,".*#[0-9]*$"),ISNUMBER(SEARCH("#",B2502))),CONCATENATE(TRIM(F2502)," #",G2502),B2502)</f>
        <v>Tyre Pile #2</v>
      </c>
    </row>
    <row r="2503" spans="1:8" ht="15.75" thickBot="1" x14ac:dyDescent="0.3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>IF(ISNUMBER(SEARCH("#",B2503)), LEFT(B2503,FIND("#",B2503)-1), B2503)</f>
        <v xml:space="preserve">Tyre Scrap </v>
      </c>
      <c r="G2503" s="26">
        <f>IF(ISNUMBER(SEARCH("#",B2503)),VALUE(MID(B2503,FIND("#",B2503)+1,1000)),1)</f>
        <v>1</v>
      </c>
      <c r="H2503" t="str">
        <f>IF(AND(regexMatch(B2503,".*#[0-9]*$"),ISNUMBER(SEARCH("#",B2503))),CONCATENATE(TRIM(F2503)," #",G2503),B2503)</f>
        <v>Tyre Scrap #1</v>
      </c>
    </row>
    <row r="2504" spans="1:8" ht="15.75" thickBot="1" x14ac:dyDescent="0.3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>IF(ISNUMBER(SEARCH("#",B2504)), LEFT(B2504,FIND("#",B2504)-1), B2504)</f>
        <v xml:space="preserve">Tyre Scrap </v>
      </c>
      <c r="G2504" s="26">
        <f>IF(ISNUMBER(SEARCH("#",B2504)),VALUE(MID(B2504,FIND("#",B2504)+1,1000)),1)</f>
        <v>2</v>
      </c>
      <c r="H2504" t="str">
        <f>IF(AND(regexMatch(B2504,".*#[0-9]*$"),ISNUMBER(SEARCH("#",B2504))),CONCATENATE(TRIM(F2504)," #",G2504),B2504)</f>
        <v>Tyre Scrap #2</v>
      </c>
    </row>
    <row r="2505" spans="1:8" ht="15.75" thickBot="1" x14ac:dyDescent="0.3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>IF(ISNUMBER(SEARCH("#",B2505)), LEFT(B2505,FIND("#",B2505)-1), B2505)</f>
        <v xml:space="preserve">Tyre Scrap </v>
      </c>
      <c r="G2505" s="26">
        <f>IF(ISNUMBER(SEARCH("#",B2505)),VALUE(MID(B2505,FIND("#",B2505)+1,1000)),1)</f>
        <v>3</v>
      </c>
      <c r="H2505" t="str">
        <f>IF(AND(regexMatch(B2505,".*#[0-9]*$"),ISNUMBER(SEARCH("#",B2505))),CONCATENATE(TRIM(F2505)," #",G2505),B2505)</f>
        <v>Tyre Scrap #3</v>
      </c>
    </row>
    <row r="2506" spans="1:8" ht="15.75" thickBot="1" x14ac:dyDescent="0.3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>IF(ISNUMBER(SEARCH("#",B2506)), LEFT(B2506,FIND("#",B2506)-1), B2506)</f>
        <v xml:space="preserve">Wheel </v>
      </c>
      <c r="G2506" s="26">
        <f>IF(ISNUMBER(SEARCH("#",B2506)),VALUE(MID(B2506,FIND("#",B2506)+1,1000)),1)</f>
        <v>1</v>
      </c>
      <c r="H2506" t="str">
        <f>IF(AND(regexMatch(B2506,".*#[0-9]*$"),ISNUMBER(SEARCH("#",B2506))),CONCATENATE(TRIM(F2506)," #",G2506),B2506)</f>
        <v>Wheel #1</v>
      </c>
    </row>
    <row r="2507" spans="1:8" ht="15.75" thickBot="1" x14ac:dyDescent="0.3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>IF(ISNUMBER(SEARCH("#",B2507)), LEFT(B2507,FIND("#",B2507)-1), B2507)</f>
        <v xml:space="preserve">Wheel </v>
      </c>
      <c r="G2507" s="26">
        <f>IF(ISNUMBER(SEARCH("#",B2507)),VALUE(MID(B2507,FIND("#",B2507)+1,1000)),1)</f>
        <v>2</v>
      </c>
      <c r="H2507" t="str">
        <f>IF(AND(regexMatch(B2507,".*#[0-9]*$"),ISNUMBER(SEARCH("#",B2507))),CONCATENATE(TRIM(F2507)," #",G2507),B2507)</f>
        <v>Wheel #2</v>
      </c>
    </row>
    <row r="2508" spans="1:8" ht="15.75" thickBot="1" x14ac:dyDescent="0.3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>IF(ISNUMBER(SEARCH("#",B2508)), LEFT(B2508,FIND("#",B2508)-1), B2508)</f>
        <v xml:space="preserve">Wooden Cabinet </v>
      </c>
      <c r="G2508" s="26">
        <f>IF(ISNUMBER(SEARCH("#",B2508)),VALUE(MID(B2508,FIND("#",B2508)+1,1000)),1)</f>
        <v>1</v>
      </c>
      <c r="H2508" t="str">
        <f>IF(AND(regexMatch(B2508,".*#[0-9]*$"),ISNUMBER(SEARCH("#",B2508))),CONCATENATE(TRIM(F2508)," #",G2508),B2508)</f>
        <v>Wooden Cabinet #1</v>
      </c>
    </row>
    <row r="2509" spans="1:8" ht="15.75" thickBot="1" x14ac:dyDescent="0.3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>IF(ISNUMBER(SEARCH("#",B2509)), LEFT(B2509,FIND("#",B2509)-1), B2509)</f>
        <v xml:space="preserve">Wooden Cabinet </v>
      </c>
      <c r="G2509" s="26">
        <f>IF(ISNUMBER(SEARCH("#",B2509)),VALUE(MID(B2509,FIND("#",B2509)+1,1000)),1)</f>
        <v>2</v>
      </c>
      <c r="H2509" t="str">
        <f>IF(AND(regexMatch(B2509,".*#[0-9]*$"),ISNUMBER(SEARCH("#",B2509))),CONCATENATE(TRIM(F2509)," #",G2509),B2509)</f>
        <v>Wooden Cabinet #2</v>
      </c>
    </row>
    <row r="2510" spans="1:8" ht="15.75" thickBot="1" x14ac:dyDescent="0.3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>IF(ISNUMBER(SEARCH("#",B2510)), LEFT(B2510,FIND("#",B2510)-1), B2510)</f>
        <v xml:space="preserve">Wooden Cabinet </v>
      </c>
      <c r="G2510" s="26">
        <f>IF(ISNUMBER(SEARCH("#",B2510)),VALUE(MID(B2510,FIND("#",B2510)+1,1000)),1)</f>
        <v>3</v>
      </c>
      <c r="H2510" t="str">
        <f>IF(AND(regexMatch(B2510,".*#[0-9]*$"),ISNUMBER(SEARCH("#",B2510))),CONCATENATE(TRIM(F2510)," #",G2510),B2510)</f>
        <v>Wooden Cabinet #3</v>
      </c>
    </row>
    <row r="2511" spans="1:8" ht="15.75" thickBot="1" x14ac:dyDescent="0.3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>IF(ISNUMBER(SEARCH("#",B2511)), LEFT(B2511,FIND("#",B2511)-1), B2511)</f>
        <v xml:space="preserve">Wrecked Car </v>
      </c>
      <c r="G2511" s="26">
        <f>IF(ISNUMBER(SEARCH("#",B2511)),VALUE(MID(B2511,FIND("#",B2511)+1,1000)),1)</f>
        <v>1</v>
      </c>
      <c r="H2511" t="str">
        <f>IF(AND(regexMatch(B2511,".*#[0-9]*$"),ISNUMBER(SEARCH("#",B2511))),CONCATENATE(TRIM(F2511)," #",G2511),B2511)</f>
        <v>Wrecked Car #1</v>
      </c>
    </row>
    <row r="2512" spans="1:8" ht="15.75" thickBot="1" x14ac:dyDescent="0.3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>IF(ISNUMBER(SEARCH("#",B2512)), LEFT(B2512,FIND("#",B2512)-1), B2512)</f>
        <v xml:space="preserve">Wrecked Car </v>
      </c>
      <c r="G2512" s="26">
        <f>IF(ISNUMBER(SEARCH("#",B2512)),VALUE(MID(B2512,FIND("#",B2512)+1,1000)),1)</f>
        <v>2</v>
      </c>
      <c r="H2512" t="str">
        <f>IF(AND(regexMatch(B2512,".*#[0-9]*$"),ISNUMBER(SEARCH("#",B2512))),CONCATENATE(TRIM(F2512)," #",G2512),B2512)</f>
        <v>Wrecked Car #2</v>
      </c>
    </row>
    <row r="2513" spans="1:8" ht="15.75" thickBot="1" x14ac:dyDescent="0.3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>IF(ISNUMBER(SEARCH("#",B2513)), LEFT(B2513,FIND("#",B2513)-1), B2513)</f>
        <v xml:space="preserve">Wrecked Car </v>
      </c>
      <c r="G2513" s="26">
        <f>IF(ISNUMBER(SEARCH("#",B2513)),VALUE(MID(B2513,FIND("#",B2513)+1,1000)),1)</f>
        <v>3</v>
      </c>
      <c r="H2513" t="str">
        <f>IF(AND(regexMatch(B2513,".*#[0-9]*$"),ISNUMBER(SEARCH("#",B2513))),CONCATENATE(TRIM(F2513)," #",G2513),B2513)</f>
        <v>Wrecked Car #3</v>
      </c>
    </row>
    <row r="2514" spans="1:8" ht="15.75" thickBot="1" x14ac:dyDescent="0.3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>IF(ISNUMBER(SEARCH("#",B2514)), LEFT(B2514,FIND("#",B2514)-1), B2514)</f>
        <v xml:space="preserve">Wrecked Car </v>
      </c>
      <c r="G2514" s="26">
        <f>IF(ISNUMBER(SEARCH("#",B2514)),VALUE(MID(B2514,FIND("#",B2514)+1,1000)),1)</f>
        <v>4</v>
      </c>
      <c r="H2514" t="str">
        <f>IF(AND(regexMatch(B2514,".*#[0-9]*$"),ISNUMBER(SEARCH("#",B2514))),CONCATENATE(TRIM(F2514)," #",G2514),B2514)</f>
        <v>Wrecked Car #4</v>
      </c>
    </row>
    <row r="2515" spans="1:8" ht="15.75" thickBot="1" x14ac:dyDescent="0.3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.75" thickBot="1" x14ac:dyDescent="0.3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.75" thickBot="1" x14ac:dyDescent="0.3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>G2516+1</f>
        <v>7</v>
      </c>
      <c r="H2517" t="str">
        <f>IF(AND(regexMatch(B2517,".*#[0-9]*$"),ISNUMBER(SEARCH("#",B2517))),CONCATENATE(TRIM(F2517)," #",G2517),B2517)</f>
        <v>Wrecked Car #7</v>
      </c>
    </row>
    <row r="2518" spans="1:8" ht="15.75" thickBot="1" x14ac:dyDescent="0.3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>G2517+1</f>
        <v>8</v>
      </c>
      <c r="H2518" t="str">
        <f>IF(AND(regexMatch(B2518,".*#[0-9]*$"),ISNUMBER(SEARCH("#",B2518))),CONCATENATE(TRIM(F2518)," #",G2518),B2518)</f>
        <v>Wrecked Car #8</v>
      </c>
    </row>
    <row r="2519" spans="1:8" ht="15.75" thickBot="1" x14ac:dyDescent="0.3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>G2518+1</f>
        <v>9</v>
      </c>
      <c r="H2519" t="str">
        <f>IF(AND(regexMatch(B2519,".*#[0-9]*$"),ISNUMBER(SEARCH("#",B2519))),CONCATENATE(TRIM(F2519)," #",G2519),B2519)</f>
        <v>Wrecked Car #9</v>
      </c>
    </row>
    <row r="2520" spans="1:8" ht="15.75" thickBot="1" x14ac:dyDescent="0.3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>G2519+1</f>
        <v>10</v>
      </c>
      <c r="H2520" t="str">
        <f>IF(AND(regexMatch(B2520,".*#[0-9]*$"),ISNUMBER(SEARCH("#",B2520))),CONCATENATE(TRIM(F2520)," #",G2520),B2520)</f>
        <v>Wrecked Car #10</v>
      </c>
    </row>
    <row r="2521" spans="1:8" ht="15.75" thickBot="1" x14ac:dyDescent="0.3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>G2520+1</f>
        <v>11</v>
      </c>
      <c r="H2521" t="str">
        <f>IF(AND(regexMatch(B2521,".*#[0-9]*$"),ISNUMBER(SEARCH("#",B2521))),CONCATENATE(TRIM(F2521)," #",G2521),B2521)</f>
        <v>Wrecked Car #11</v>
      </c>
    </row>
    <row r="2522" spans="1:8" ht="15.75" thickBot="1" x14ac:dyDescent="0.3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>G2521+1</f>
        <v>12</v>
      </c>
      <c r="H2522" t="str">
        <f>IF(AND(regexMatch(B2522,".*#[0-9]*$"),ISNUMBER(SEARCH("#",B2522))),CONCATENATE(TRIM(F2522)," #",G2522),B2522)</f>
        <v>Wrecked Car #12</v>
      </c>
    </row>
    <row r="2523" spans="1:8" ht="15.75" thickBot="1" x14ac:dyDescent="0.3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>G2522+1</f>
        <v>13</v>
      </c>
      <c r="H2523" t="str">
        <f>IF(AND(regexMatch(B2523,".*#[0-9]*$"),ISNUMBER(SEARCH("#",B2523))),CONCATENATE(TRIM(F2523)," #",G2523),B2523)</f>
        <v>Wrecked Car #13</v>
      </c>
    </row>
    <row r="2524" spans="1:8" ht="15.75" thickBot="1" x14ac:dyDescent="0.3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>IF(ISNUMBER(SEARCH("#",B2524)), LEFT(B2524,FIND("#",B2524)-1), B2524)</f>
        <v>Wrecked Train Car</v>
      </c>
      <c r="G2524" s="26">
        <f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.75" thickBot="1" x14ac:dyDescent="0.3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>IF(ISNUMBER(SEARCH("#",B2525)), LEFT(B2525,FIND("#",B2525)-1), B2525)</f>
        <v>Wrecked Van</v>
      </c>
      <c r="G2525" s="26">
        <f>IF(ISNUMBER(SEARCH("#",B2525)),VALUE(MID(B2525,FIND("#",B2525)+1,1000)),1)</f>
        <v>1</v>
      </c>
      <c r="H2525" t="str">
        <f>IF(AND(regexMatch(B2525,".*#[0-9]*$"),ISNUMBER(SEARCH("#",B2525))),CONCATENATE(TRIM(F2525)," #",G2525),B2525)</f>
        <v>Wrecked Van</v>
      </c>
    </row>
    <row r="2526" spans="1:8" ht="15.75" thickBot="1" x14ac:dyDescent="0.3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>IF(ISNUMBER(SEARCH("#",B2526)), LEFT(B2526,FIND("#",B2526)-1), B2526)</f>
        <v>Bottle Opener</v>
      </c>
      <c r="G2526" s="26">
        <f>IF(ISNUMBER(SEARCH("#",B2526)),VALUE(MID(B2526,FIND("#",B2526)+1,1000)),1)</f>
        <v>1</v>
      </c>
      <c r="H2526" t="str">
        <f>IF(AND(regexMatch(B2526,".*#[0-9]*$"),ISNUMBER(SEARCH("#",B2526))),CONCATENATE(TRIM(F2526)," #",G2526),B2526)</f>
        <v>Bottle Opener</v>
      </c>
    </row>
    <row r="2527" spans="1:8" ht="15.75" thickBot="1" x14ac:dyDescent="0.3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>IF(ISNUMBER(SEARCH("#",B2527)), LEFT(B2527,FIND("#",B2527)-1), B2527)</f>
        <v>Bowl</v>
      </c>
      <c r="G2527" s="26">
        <f>IF(ISNUMBER(SEARCH("#",B2527)),VALUE(MID(B2527,FIND("#",B2527)+1,1000)),1)</f>
        <v>1</v>
      </c>
      <c r="H2527" t="str">
        <f>IF(AND(regexMatch(B2527,".*#[0-9]*$"),ISNUMBER(SEARCH("#",B2527))),CONCATENATE(TRIM(F2527)," #",G2527),B2527)</f>
        <v>Bowl</v>
      </c>
    </row>
    <row r="2528" spans="1:8" ht="15.75" thickBot="1" x14ac:dyDescent="0.3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>IF(ISNUMBER(SEARCH("#",B2528)), LEFT(B2528,FIND("#",B2528)-1), B2528)</f>
        <v xml:space="preserve">Bowl </v>
      </c>
      <c r="G2528" s="26">
        <f>IF(ISNUMBER(SEARCH("#",B2528)),VALUE(MID(B2528,FIND("#",B2528)+1,1000)),1)</f>
        <v>1</v>
      </c>
      <c r="H2528" t="str">
        <f>IF(AND(regexMatch(B2528,".*#[0-9]*$"),ISNUMBER(SEARCH("#",B2528))),CONCATENATE(TRIM(F2528)," #",G2528),B2528)</f>
        <v>Bowl #1</v>
      </c>
    </row>
    <row r="2529" spans="1:8" ht="15.75" thickBot="1" x14ac:dyDescent="0.3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>IF(ISNUMBER(SEARCH("#",B2529)), LEFT(B2529,FIND("#",B2529)-1), B2529)</f>
        <v xml:space="preserve">Bowl </v>
      </c>
      <c r="G2529" s="26">
        <f>IF(ISNUMBER(SEARCH("#",B2529)),VALUE(MID(B2529,FIND("#",B2529)+1,1000)),1)</f>
        <v>2</v>
      </c>
      <c r="H2529" t="str">
        <f>IF(AND(regexMatch(B2529,".*#[0-9]*$"),ISNUMBER(SEARCH("#",B2529))),CONCATENATE(TRIM(F2529)," #",G2529),B2529)</f>
        <v>Bowl #2</v>
      </c>
    </row>
    <row r="2530" spans="1:8" ht="15.75" thickBot="1" x14ac:dyDescent="0.3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>IF(ISNUMBER(SEARCH("#",B2530)), LEFT(B2530,FIND("#",B2530)-1), B2530)</f>
        <v>Bowl (Clean) Stack</v>
      </c>
      <c r="G2530" s="26">
        <f>IF(ISNUMBER(SEARCH("#",B2530)),VALUE(MID(B2530,FIND("#",B2530)+1,1000)),1)</f>
        <v>1</v>
      </c>
      <c r="H2530" t="str">
        <f>IF(AND(regexMatch(B2530,".*#[0-9]*$"),ISNUMBER(SEARCH("#",B2530))),CONCATENATE(TRIM(F2530)," #",G2530),B2530)</f>
        <v>Bowl (Clean) Stack</v>
      </c>
    </row>
    <row r="2531" spans="1:8" ht="15.75" thickBot="1" x14ac:dyDescent="0.3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>IF(ISNUMBER(SEARCH("#",B2531)), LEFT(B2531,FIND("#",B2531)-1), B2531)</f>
        <v>Bowl (Dirty)</v>
      </c>
      <c r="G2531" s="26">
        <f>IF(ISNUMBER(SEARCH("#",B2531)),VALUE(MID(B2531,FIND("#",B2531)+1,1000)),1)</f>
        <v>1</v>
      </c>
      <c r="H2531" t="str">
        <f>IF(AND(regexMatch(B2531,".*#[0-9]*$"),ISNUMBER(SEARCH("#",B2531))),CONCATENATE(TRIM(F2531)," #",G2531),B2531)</f>
        <v>Bowl (Dirty)</v>
      </c>
    </row>
    <row r="2532" spans="1:8" ht="15.75" thickBot="1" x14ac:dyDescent="0.3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>IF(ISNUMBER(SEARCH("#",B2532)), LEFT(B2532,FIND("#",B2532)-1), B2532)</f>
        <v>Bowl (Dirty) Stack</v>
      </c>
      <c r="G2532" s="26">
        <f>IF(ISNUMBER(SEARCH("#",B2532)),VALUE(MID(B2532,FIND("#",B2532)+1,1000)),1)</f>
        <v>1</v>
      </c>
      <c r="H2532" t="str">
        <f>IF(AND(regexMatch(B2532,".*#[0-9]*$"),ISNUMBER(SEARCH("#",B2532))),CONCATENATE(TRIM(F2532)," #",G2532),B2532)</f>
        <v>Bowl (Dirty) Stack</v>
      </c>
    </row>
    <row r="2533" spans="1:8" ht="15.75" thickBot="1" x14ac:dyDescent="0.3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>IF(ISNUMBER(SEARCH("#",B2533)), LEFT(B2533,FIND("#",B2533)-1), B2533)</f>
        <v>Brandy Glass</v>
      </c>
      <c r="G2533" s="26">
        <f>IF(ISNUMBER(SEARCH("#",B2533)),VALUE(MID(B2533,FIND("#",B2533)+1,1000)),1)</f>
        <v>1</v>
      </c>
      <c r="H2533" t="str">
        <f>IF(AND(regexMatch(B2533,".*#[0-9]*$"),ISNUMBER(SEARCH("#",B2533))),CONCATENATE(TRIM(F2533)," #",G2533),B2533)</f>
        <v>Brandy Glass</v>
      </c>
    </row>
    <row r="2534" spans="1:8" ht="15.75" thickBot="1" x14ac:dyDescent="0.3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>IF(ISNUMBER(SEARCH("#",B2534)), LEFT(B2534,FIND("#",B2534)-1), B2534)</f>
        <v>Ceramic Jug</v>
      </c>
      <c r="G2534" s="26">
        <f>IF(ISNUMBER(SEARCH("#",B2534)),VALUE(MID(B2534,FIND("#",B2534)+1,1000)),1)</f>
        <v>1</v>
      </c>
      <c r="H2534" t="str">
        <f>IF(AND(regexMatch(B2534,".*#[0-9]*$"),ISNUMBER(SEARCH("#",B2534))),CONCATENATE(TRIM(F2534)," #",G2534),B2534)</f>
        <v>Ceramic Jug</v>
      </c>
    </row>
    <row r="2535" spans="1:8" ht="15.75" thickBot="1" x14ac:dyDescent="0.3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>IF(ISNUMBER(SEARCH("#",B2535)), LEFT(B2535,FIND("#",B2535)-1), B2535)</f>
        <v>Ceramic Jug Cork</v>
      </c>
      <c r="G2535" s="26">
        <f>IF(ISNUMBER(SEARCH("#",B2535)),VALUE(MID(B2535,FIND("#",B2535)+1,1000)),1)</f>
        <v>1</v>
      </c>
      <c r="H2535" t="str">
        <f>IF(AND(regexMatch(B2535,".*#[0-9]*$"),ISNUMBER(SEARCH("#",B2535))),CONCATENATE(TRIM(F2535)," #",G2535),B2535)</f>
        <v>Ceramic Jug Cork</v>
      </c>
    </row>
    <row r="2536" spans="1:8" ht="15.75" thickBot="1" x14ac:dyDescent="0.3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>IF(ISNUMBER(SEARCH("#",B2536)), LEFT(B2536,FIND("#",B2536)-1), B2536)</f>
        <v>Champagne Flute</v>
      </c>
      <c r="G2536" s="26">
        <f>IF(ISNUMBER(SEARCH("#",B2536)),VALUE(MID(B2536,FIND("#",B2536)+1,1000)),1)</f>
        <v>1</v>
      </c>
      <c r="H2536" t="str">
        <f>IF(AND(regexMatch(B2536,".*#[0-9]*$"),ISNUMBER(SEARCH("#",B2536))),CONCATENATE(TRIM(F2536)," #",G2536),B2536)</f>
        <v>Champagne Flute</v>
      </c>
    </row>
    <row r="2537" spans="1:8" ht="15.75" thickBot="1" x14ac:dyDescent="0.3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>IF(ISNUMBER(SEARCH("#",B2537)), LEFT(B2537,FIND("#",B2537)-1), B2537)</f>
        <v>Chopping Board</v>
      </c>
      <c r="G2537" s="26">
        <f>IF(ISNUMBER(SEARCH("#",B2537)),VALUE(MID(B2537,FIND("#",B2537)+1,1000)),1)</f>
        <v>1</v>
      </c>
      <c r="H2537" t="str">
        <f>IF(AND(regexMatch(B2537,".*#[0-9]*$"),ISNUMBER(SEARCH("#",B2537))),CONCATENATE(TRIM(F2537)," #",G2537),B2537)</f>
        <v>Chopping Board</v>
      </c>
    </row>
    <row r="2538" spans="1:8" ht="15.75" thickBot="1" x14ac:dyDescent="0.3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>IF(ISNUMBER(SEARCH("#",B2538)), LEFT(B2538,FIND("#",B2538)-1), B2538)</f>
        <v>Cleaver</v>
      </c>
      <c r="G2538" s="26">
        <f>IF(ISNUMBER(SEARCH("#",B2538)),VALUE(MID(B2538,FIND("#",B2538)+1,1000)),1)</f>
        <v>1</v>
      </c>
      <c r="H2538" t="str">
        <f>IF(AND(regexMatch(B2538,".*#[0-9]*$"),ISNUMBER(SEARCH("#",B2538))),CONCATENATE(TRIM(F2538)," #",G2538),B2538)</f>
        <v>Cleaver</v>
      </c>
    </row>
    <row r="2539" spans="1:8" ht="15.75" thickBot="1" x14ac:dyDescent="0.3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>IF(ISNUMBER(SEARCH("#",B2539)), LEFT(B2539,FIND("#",B2539)-1), B2539)</f>
        <v>Coffee Machine</v>
      </c>
      <c r="G2539" s="26">
        <f>IF(ISNUMBER(SEARCH("#",B2539)),VALUE(MID(B2539,FIND("#",B2539)+1,1000)),1)</f>
        <v>1</v>
      </c>
      <c r="H2539" t="str">
        <f>IF(AND(regexMatch(B2539,".*#[0-9]*$"),ISNUMBER(SEARCH("#",B2539))),CONCATENATE(TRIM(F2539)," #",G2539),B2539)</f>
        <v>Coffee Machine</v>
      </c>
    </row>
    <row r="2540" spans="1:8" ht="15.75" thickBot="1" x14ac:dyDescent="0.3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>IF(ISNUMBER(SEARCH("#",B2540)), LEFT(B2540,FIND("#",B2540)-1), B2540)</f>
        <v>Cool Box</v>
      </c>
      <c r="G2540" s="26">
        <f>IF(ISNUMBER(SEARCH("#",B2540)),VALUE(MID(B2540,FIND("#",B2540)+1,1000)),1)</f>
        <v>1</v>
      </c>
      <c r="H2540" t="str">
        <f>IF(AND(regexMatch(B2540,".*#[0-9]*$"),ISNUMBER(SEARCH("#",B2540))),CONCATENATE(TRIM(F2540)," #",G2540),B2540)</f>
        <v>Cool Box</v>
      </c>
    </row>
    <row r="2541" spans="1:8" ht="15.75" thickBot="1" x14ac:dyDescent="0.3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>IF(ISNUMBER(SEARCH("#",B2541)), LEFT(B2541,FIND("#",B2541)-1), B2541)</f>
        <v>Copper Pan</v>
      </c>
      <c r="G2541" s="26">
        <f>IF(ISNUMBER(SEARCH("#",B2541)),VALUE(MID(B2541,FIND("#",B2541)+1,1000)),1)</f>
        <v>1</v>
      </c>
      <c r="H2541" t="str">
        <f>IF(AND(regexMatch(B2541,".*#[0-9]*$"),ISNUMBER(SEARCH("#",B2541))),CONCATENATE(TRIM(F2541)," #",G2541),B2541)</f>
        <v>Copper Pan</v>
      </c>
    </row>
    <row r="2542" spans="1:8" ht="15.75" thickBot="1" x14ac:dyDescent="0.3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>IF(ISNUMBER(SEARCH("#",B2542)), LEFT(B2542,FIND("#",B2542)-1), B2542)</f>
        <v>Espresso Cup</v>
      </c>
      <c r="G2542" s="26">
        <f>IF(ISNUMBER(SEARCH("#",B2542)),VALUE(MID(B2542,FIND("#",B2542)+1,1000)),1)</f>
        <v>1</v>
      </c>
      <c r="H2542" t="str">
        <f>IF(AND(regexMatch(B2542,".*#[0-9]*$"),ISNUMBER(SEARCH("#",B2542))),CONCATENATE(TRIM(F2542)," #",G2542),B2542)</f>
        <v>Espresso Cup</v>
      </c>
    </row>
    <row r="2543" spans="1:8" ht="15.75" thickBot="1" x14ac:dyDescent="0.3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>IF(ISNUMBER(SEARCH("#",B2543)), LEFT(B2543,FIND("#",B2543)-1), B2543)</f>
        <v>Espresso Cup Dirty</v>
      </c>
      <c r="G2543" s="26">
        <f>IF(ISNUMBER(SEARCH("#",B2543)),VALUE(MID(B2543,FIND("#",B2543)+1,1000)),1)</f>
        <v>1</v>
      </c>
      <c r="H2543" t="str">
        <f>IF(AND(regexMatch(B2543,".*#[0-9]*$"),ISNUMBER(SEARCH("#",B2543))),CONCATENATE(TRIM(F2543)," #",G2543),B2543)</f>
        <v>Espresso Cup Dirty</v>
      </c>
    </row>
    <row r="2544" spans="1:8" ht="15.75" thickBot="1" x14ac:dyDescent="0.3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>IF(ISNUMBER(SEARCH("#",B2544)), LEFT(B2544,FIND("#",B2544)-1), B2544)</f>
        <v>Fish Slice</v>
      </c>
      <c r="G2544" s="26">
        <f>IF(ISNUMBER(SEARCH("#",B2544)),VALUE(MID(B2544,FIND("#",B2544)+1,1000)),1)</f>
        <v>1</v>
      </c>
      <c r="H2544" t="str">
        <f>IF(AND(regexMatch(B2544,".*#[0-9]*$"),ISNUMBER(SEARCH("#",B2544))),CONCATENATE(TRIM(F2544)," #",G2544),B2544)</f>
        <v>Fish Slice</v>
      </c>
    </row>
    <row r="2545" spans="1:8" ht="15.75" thickBot="1" x14ac:dyDescent="0.3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>IF(ISNUMBER(SEARCH("#",B2545)), LEFT(B2545,FIND("#",B2545)-1), B2545)</f>
        <v xml:space="preserve">Food Jar </v>
      </c>
      <c r="G2545" s="26">
        <f>IF(ISNUMBER(SEARCH("#",B2545)),VALUE(MID(B2545,FIND("#",B2545)+1,1000)),1)</f>
        <v>1</v>
      </c>
      <c r="H2545" t="str">
        <f>IF(AND(regexMatch(B2545,".*#[0-9]*$"),ISNUMBER(SEARCH("#",B2545))),CONCATENATE(TRIM(F2545)," #",G2545),B2545)</f>
        <v>Food Jar #1</v>
      </c>
    </row>
    <row r="2546" spans="1:8" ht="15.75" thickBot="1" x14ac:dyDescent="0.3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>IF(ISNUMBER(SEARCH("#",B2546)), LEFT(B2546,FIND("#",B2546)-1), B2546)</f>
        <v xml:space="preserve">Food Jar </v>
      </c>
      <c r="G2546" s="26">
        <f>IF(ISNUMBER(SEARCH("#",B2546)),VALUE(MID(B2546,FIND("#",B2546)+1,1000)),1)</f>
        <v>2</v>
      </c>
      <c r="H2546" t="str">
        <f>IF(AND(regexMatch(B2546,".*#[0-9]*$"),ISNUMBER(SEARCH("#",B2546))),CONCATENATE(TRIM(F2546)," #",G2546),B2546)</f>
        <v>Food Jar #2</v>
      </c>
    </row>
    <row r="2547" spans="1:8" ht="15.75" thickBot="1" x14ac:dyDescent="0.3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>IF(ISNUMBER(SEARCH("#",B2547)), LEFT(B2547,FIND("#",B2547)-1), B2547)</f>
        <v xml:space="preserve">Food Jar </v>
      </c>
      <c r="G2547" s="26">
        <f>IF(ISNUMBER(SEARCH("#",B2547)),VALUE(MID(B2547,FIND("#",B2547)+1,1000)),1)</f>
        <v>3</v>
      </c>
      <c r="H2547" t="str">
        <f>IF(AND(regexMatch(B2547,".*#[0-9]*$"),ISNUMBER(SEARCH("#",B2547))),CONCATENATE(TRIM(F2547)," #",G2547),B2547)</f>
        <v>Food Jar #3</v>
      </c>
    </row>
    <row r="2548" spans="1:8" ht="15.75" thickBot="1" x14ac:dyDescent="0.3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>IF(ISNUMBER(SEARCH("#",B2548)), LEFT(B2548,FIND("#",B2548)-1), B2548)</f>
        <v>Food Processor</v>
      </c>
      <c r="G2548" s="26">
        <f>IF(ISNUMBER(SEARCH("#",B2548)),VALUE(MID(B2548,FIND("#",B2548)+1,1000)),1)</f>
        <v>1</v>
      </c>
      <c r="H2548" t="str">
        <f>IF(AND(regexMatch(B2548,".*#[0-9]*$"),ISNUMBER(SEARCH("#",B2548))),CONCATENATE(TRIM(F2548)," #",G2548),B2548)</f>
        <v>Food Processor</v>
      </c>
    </row>
    <row r="2549" spans="1:8" ht="15.75" thickBot="1" x14ac:dyDescent="0.3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>IF(ISNUMBER(SEARCH("#",B2549)), LEFT(B2549,FIND("#",B2549)-1), B2549)</f>
        <v>Fork</v>
      </c>
      <c r="G2549" s="26">
        <f>IF(ISNUMBER(SEARCH("#",B2549)),VALUE(MID(B2549,FIND("#",B2549)+1,1000)),1)</f>
        <v>1</v>
      </c>
      <c r="H2549" t="str">
        <f>IF(AND(regexMatch(B2549,".*#[0-9]*$"),ISNUMBER(SEARCH("#",B2549))),CONCATENATE(TRIM(F2549)," #",G2549),B2549)</f>
        <v>Fork</v>
      </c>
    </row>
    <row r="2550" spans="1:8" ht="15.75" thickBot="1" x14ac:dyDescent="0.3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>IF(ISNUMBER(SEARCH("#",B2550)), LEFT(B2550,FIND("#",B2550)-1), B2550)</f>
        <v xml:space="preserve">Fridge </v>
      </c>
      <c r="G2550" s="26">
        <f>IF(ISNUMBER(SEARCH("#",B2550)),VALUE(MID(B2550,FIND("#",B2550)+1,1000)),1)</f>
        <v>1</v>
      </c>
      <c r="H2550" t="str">
        <f>IF(AND(regexMatch(B2550,".*#[0-9]*$"),ISNUMBER(SEARCH("#",B2550))),CONCATENATE(TRIM(F2550)," #",G2550),B2550)</f>
        <v>Fridge #1</v>
      </c>
    </row>
    <row r="2551" spans="1:8" ht="15.75" thickBot="1" x14ac:dyDescent="0.3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>IF(ISNUMBER(SEARCH("#",B2551)), LEFT(B2551,FIND("#",B2551)-1), B2551)</f>
        <v xml:space="preserve">Fridge </v>
      </c>
      <c r="G2551" s="26">
        <f>IF(ISNUMBER(SEARCH("#",B2551)),VALUE(MID(B2551,FIND("#",B2551)+1,1000)),1)</f>
        <v>2</v>
      </c>
      <c r="H2551" t="str">
        <f>IF(AND(regexMatch(B2551,".*#[0-9]*$"),ISNUMBER(SEARCH("#",B2551))),CONCATENATE(TRIM(F2551)," #",G2551),B2551)</f>
        <v>Fridge #2</v>
      </c>
    </row>
    <row r="2552" spans="1:8" ht="15.75" thickBot="1" x14ac:dyDescent="0.3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>IF(ISNUMBER(SEARCH("#",B2552)), LEFT(B2552,FIND("#",B2552)-1), B2552)</f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.75" thickBot="1" x14ac:dyDescent="0.3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>IF(ISNUMBER(SEARCH("#",B2553)), LEFT(B2553,FIND("#",B2553)-1), B2553)</f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.75" thickBot="1" x14ac:dyDescent="0.3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>IF(ISNUMBER(SEARCH("#",B2554)), LEFT(B2554,FIND("#",B2554)-1), B2554)</f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.75" thickBot="1" x14ac:dyDescent="0.3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>IF(ISNUMBER(SEARCH("#",B2555)), LEFT(B2555,FIND("#",B2555)-1), B2555)</f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.75" thickBot="1" x14ac:dyDescent="0.3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>IF(ISNUMBER(SEARCH("#",B2556)), LEFT(B2556,FIND("#",B2556)-1), B2556)</f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.75" thickBot="1" x14ac:dyDescent="0.3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>IF(ISNUMBER(SEARCH("#",B2557)), LEFT(B2557,FIND("#",B2557)-1), B2557)</f>
        <v>Glass: Empty</v>
      </c>
      <c r="G2557" s="26">
        <f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.75" thickBot="1" x14ac:dyDescent="0.3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>IF(ISNUMBER(SEARCH("#",B2558)), LEFT(B2558,FIND("#",B2558)-1), B2558)</f>
        <v xml:space="preserve">Kettle </v>
      </c>
      <c r="G2558" s="26">
        <f>IF(ISNUMBER(SEARCH("#",B2558)),VALUE(MID(B2558,FIND("#",B2558)+1,1000)),1)</f>
        <v>1</v>
      </c>
      <c r="H2558" t="str">
        <f>IF(AND(regexMatch(B2558,".*#[0-9]*$"),ISNUMBER(SEARCH("#",B2558))),CONCATENATE(TRIM(F2558)," #",G2558),B2558)</f>
        <v>Kettle #1</v>
      </c>
    </row>
    <row r="2559" spans="1:8" ht="15.75" thickBot="1" x14ac:dyDescent="0.3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>IF(ISNUMBER(SEARCH("#",B2559)), LEFT(B2559,FIND("#",B2559)-1), B2559)</f>
        <v xml:space="preserve">Kettle </v>
      </c>
      <c r="G2559" s="26">
        <f>IF(ISNUMBER(SEARCH("#",B2559)),VALUE(MID(B2559,FIND("#",B2559)+1,1000)),1)</f>
        <v>2</v>
      </c>
      <c r="H2559" t="str">
        <f>IF(AND(regexMatch(B2559,".*#[0-9]*$"),ISNUMBER(SEARCH("#",B2559))),CONCATENATE(TRIM(F2559)," #",G2559),B2559)</f>
        <v>Kettle #2</v>
      </c>
    </row>
    <row r="2560" spans="1:8" ht="15.75" thickBot="1" x14ac:dyDescent="0.3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>IF(ISNUMBER(SEARCH("#",B2560)), LEFT(B2560,FIND("#",B2560)-1), B2560)</f>
        <v xml:space="preserve">Kettle </v>
      </c>
      <c r="G2560" s="26">
        <f>IF(ISNUMBER(SEARCH("#",B2560)),VALUE(MID(B2560,FIND("#",B2560)+1,1000)),1)</f>
        <v>3</v>
      </c>
      <c r="H2560" t="str">
        <f>IF(AND(regexMatch(B2560,".*#[0-9]*$"),ISNUMBER(SEARCH("#",B2560))),CONCATENATE(TRIM(F2560)," #",G2560),B2560)</f>
        <v>Kettle #3</v>
      </c>
    </row>
    <row r="2561" spans="1:8" ht="15.75" thickBot="1" x14ac:dyDescent="0.3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>IF(ISNUMBER(SEARCH("#",B2561)), LEFT(B2561,FIND("#",B2561)-1), B2561)</f>
        <v>Kitchen Cabinet Contents</v>
      </c>
      <c r="G2561" s="26">
        <f>IF(ISNUMBER(SEARCH("#",B2561)),VALUE(MID(B2561,FIND("#",B2561)+1,1000)),1)</f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.75" thickBot="1" x14ac:dyDescent="0.3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>IF(ISNUMBER(SEARCH("#",B2562)), LEFT(B2562,FIND("#",B2562)-1), B2562)</f>
        <v xml:space="preserve">Kitchen Cabinet Door </v>
      </c>
      <c r="G2562" s="26" t="e">
        <f>IF(ISNUMBER(SEARCH("#",B2562)),VALUE(MID(B2562,FIND("#",B2562)+1,1000)),1)</f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.75" thickBot="1" x14ac:dyDescent="0.3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>IF(ISNUMBER(SEARCH("#",B2563)), LEFT(B2563,FIND("#",B2563)-1), B2563)</f>
        <v xml:space="preserve">Kitchen Cabinet Door </v>
      </c>
      <c r="G2563" s="26" t="e">
        <f>IF(ISNUMBER(SEARCH("#",B2563)),VALUE(MID(B2563,FIND("#",B2563)+1,1000)),1)</f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.75" thickBot="1" x14ac:dyDescent="0.3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>IF(ISNUMBER(SEARCH("#",B2564)), LEFT(B2564,FIND("#",B2564)-1), B2564)</f>
        <v xml:space="preserve">Kitchen Cabinet Door </v>
      </c>
      <c r="G2564" s="26" t="e">
        <f>IF(ISNUMBER(SEARCH("#",B2564)),VALUE(MID(B2564,FIND("#",B2564)+1,1000)),1)</f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.75" thickBot="1" x14ac:dyDescent="0.3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>IF(ISNUMBER(SEARCH("#",B2565)), LEFT(B2565,FIND("#",B2565)-1), B2565)</f>
        <v xml:space="preserve">Kitchen Cabinet Door </v>
      </c>
      <c r="G2565" s="26" t="e">
        <f>IF(ISNUMBER(SEARCH("#",B2565)),VALUE(MID(B2565,FIND("#",B2565)+1,1000)),1)</f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.75" thickBot="1" x14ac:dyDescent="0.3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>IF(ISNUMBER(SEARCH("#",B2566)), LEFT(B2566,FIND("#",B2566)-1), B2566)</f>
        <v>Kitchen Juicer</v>
      </c>
      <c r="G2566" s="26">
        <f>IF(ISNUMBER(SEARCH("#",B2566)),VALUE(MID(B2566,FIND("#",B2566)+1,1000)),1)</f>
        <v>1</v>
      </c>
      <c r="H2566" t="str">
        <f>IF(AND(regexMatch(B2566,".*#[0-9]*$"),ISNUMBER(SEARCH("#",B2566))),CONCATENATE(TRIM(F2566)," #",G2566),B2566)</f>
        <v>Kitchen Juicer</v>
      </c>
    </row>
    <row r="2567" spans="1:8" ht="15.75" thickBot="1" x14ac:dyDescent="0.3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>IF(ISNUMBER(SEARCH("#",B2567)), LEFT(B2567,FIND("#",B2567)-1), B2567)</f>
        <v>Kitchen Pot Fry</v>
      </c>
      <c r="G2567" s="26">
        <f>IF(ISNUMBER(SEARCH("#",B2567)),VALUE(MID(B2567,FIND("#",B2567)+1,1000)),1)</f>
        <v>1</v>
      </c>
      <c r="H2567" t="str">
        <f>IF(AND(regexMatch(B2567,".*#[0-9]*$"),ISNUMBER(SEARCH("#",B2567))),CONCATENATE(TRIM(F2567)," #",G2567),B2567)</f>
        <v>Kitchen Pot Fry</v>
      </c>
    </row>
    <row r="2568" spans="1:8" ht="15.75" thickBot="1" x14ac:dyDescent="0.3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>IF(ISNUMBER(SEARCH("#",B2568)), LEFT(B2568,FIND("#",B2568)-1), B2568)</f>
        <v>Kitchen Pot Huge</v>
      </c>
      <c r="G2568" s="26">
        <f>IF(ISNUMBER(SEARCH("#",B2568)),VALUE(MID(B2568,FIND("#",B2568)+1,1000)),1)</f>
        <v>1</v>
      </c>
      <c r="H2568" t="str">
        <f>IF(AND(regexMatch(B2568,".*#[0-9]*$"),ISNUMBER(SEARCH("#",B2568))),CONCATENATE(TRIM(F2568)," #",G2568),B2568)</f>
        <v>Kitchen Pot Huge</v>
      </c>
    </row>
    <row r="2569" spans="1:8" ht="15.75" thickBot="1" x14ac:dyDescent="0.3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>IF(ISNUMBER(SEARCH("#",B2569)), LEFT(B2569,FIND("#",B2569)-1), B2569)</f>
        <v xml:space="preserve">Kitchen Pot Large </v>
      </c>
      <c r="G2569" s="26">
        <f>IF(ISNUMBER(SEARCH("#",B2569)),VALUE(MID(B2569,FIND("#",B2569)+1,1000)),1)</f>
        <v>1</v>
      </c>
      <c r="H2569" t="str">
        <f>IF(AND(regexMatch(B2569,".*#[0-9]*$"),ISNUMBER(SEARCH("#",B2569))),CONCATENATE(TRIM(F2569)," #",G2569),B2569)</f>
        <v>Kitchen Pot Large #1</v>
      </c>
    </row>
    <row r="2570" spans="1:8" ht="15.75" thickBot="1" x14ac:dyDescent="0.3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>IF(ISNUMBER(SEARCH("#",B2570)), LEFT(B2570,FIND("#",B2570)-1), B2570)</f>
        <v xml:space="preserve">Kitchen Pot Large </v>
      </c>
      <c r="G2570" s="26">
        <f>IF(ISNUMBER(SEARCH("#",B2570)),VALUE(MID(B2570,FIND("#",B2570)+1,1000)),1)</f>
        <v>2</v>
      </c>
      <c r="H2570" t="str">
        <f>IF(AND(regexMatch(B2570,".*#[0-9]*$"),ISNUMBER(SEARCH("#",B2570))),CONCATENATE(TRIM(F2570)," #",G2570),B2570)</f>
        <v>Kitchen Pot Large #2</v>
      </c>
    </row>
    <row r="2571" spans="1:8" ht="15.75" thickBot="1" x14ac:dyDescent="0.3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>IF(ISNUMBER(SEARCH("#",B2571)), LEFT(B2571,FIND("#",B2571)-1), B2571)</f>
        <v>Kitchen Pot Medium</v>
      </c>
      <c r="G2571" s="26">
        <f>IF(ISNUMBER(SEARCH("#",B2571)),VALUE(MID(B2571,FIND("#",B2571)+1,1000)),1)</f>
        <v>1</v>
      </c>
      <c r="H2571" t="str">
        <f>IF(AND(regexMatch(B2571,".*#[0-9]*$"),ISNUMBER(SEARCH("#",B2571))),CONCATENATE(TRIM(F2571)," #",G2571),B2571)</f>
        <v>Kitchen Pot Medium</v>
      </c>
    </row>
    <row r="2572" spans="1:8" ht="15.75" thickBot="1" x14ac:dyDescent="0.3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>IF(ISNUMBER(SEARCH("#",B2572)), LEFT(B2572,FIND("#",B2572)-1), B2572)</f>
        <v>Kitchen Pot Small</v>
      </c>
      <c r="G2572" s="26">
        <f>IF(ISNUMBER(SEARCH("#",B2572)),VALUE(MID(B2572,FIND("#",B2572)+1,1000)),1)</f>
        <v>1</v>
      </c>
      <c r="H2572" t="str">
        <f>IF(AND(regexMatch(B2572,".*#[0-9]*$"),ISNUMBER(SEARCH("#",B2572))),CONCATENATE(TRIM(F2572)," #",G2572),B2572)</f>
        <v>Kitchen Pot Small</v>
      </c>
    </row>
    <row r="2573" spans="1:8" ht="15.75" thickBot="1" x14ac:dyDescent="0.3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>IF(ISNUMBER(SEARCH("#",B2573)), LEFT(B2573,FIND("#",B2573)-1), B2573)</f>
        <v>Kitchen Roll</v>
      </c>
      <c r="G2573" s="26">
        <f>IF(ISNUMBER(SEARCH("#",B2573)),VALUE(MID(B2573,FIND("#",B2573)+1,1000)),1)</f>
        <v>1</v>
      </c>
      <c r="H2573" t="str">
        <f>IF(AND(regexMatch(B2573,".*#[0-9]*$"),ISNUMBER(SEARCH("#",B2573))),CONCATENATE(TRIM(F2573)," #",G2573),B2573)</f>
        <v>Kitchen Roll</v>
      </c>
    </row>
    <row r="2574" spans="1:8" ht="15.75" thickBot="1" x14ac:dyDescent="0.3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>IF(ISNUMBER(SEARCH("#",B2574)), LEFT(B2574,FIND("#",B2574)-1), B2574)</f>
        <v>Knife</v>
      </c>
      <c r="G2574" s="26">
        <f>IF(ISNUMBER(SEARCH("#",B2574)),VALUE(MID(B2574,FIND("#",B2574)+1,1000)),1)</f>
        <v>1</v>
      </c>
      <c r="H2574" t="str">
        <f>IF(AND(regexMatch(B2574,".*#[0-9]*$"),ISNUMBER(SEARCH("#",B2574))),CONCATENATE(TRIM(F2574)," #",G2574),B2574)</f>
        <v>Knife</v>
      </c>
    </row>
    <row r="2575" spans="1:8" ht="15.75" thickBot="1" x14ac:dyDescent="0.3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>IF(ISNUMBER(SEARCH("#",B2575)), LEFT(B2575,FIND("#",B2575)-1), B2575)</f>
        <v>Ladle</v>
      </c>
      <c r="G2575" s="26">
        <f>IF(ISNUMBER(SEARCH("#",B2575)),VALUE(MID(B2575,FIND("#",B2575)+1,1000)),1)</f>
        <v>1</v>
      </c>
      <c r="H2575" t="str">
        <f>IF(AND(regexMatch(B2575,".*#[0-9]*$"),ISNUMBER(SEARCH("#",B2575))),CONCATENATE(TRIM(F2575)," #",G2575),B2575)</f>
        <v>Ladle</v>
      </c>
    </row>
    <row r="2576" spans="1:8" ht="15.75" thickBot="1" x14ac:dyDescent="0.3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>IF(ISNUMBER(SEARCH("#",B2576)), LEFT(B2576,FIND("#",B2576)-1), B2576)</f>
        <v>Lime Jar</v>
      </c>
      <c r="G2576" s="26">
        <f>IF(ISNUMBER(SEARCH("#",B2576)),VALUE(MID(B2576,FIND("#",B2576)+1,1000)),1)</f>
        <v>1</v>
      </c>
      <c r="H2576" t="str">
        <f>IF(AND(regexMatch(B2576,".*#[0-9]*$"),ISNUMBER(SEARCH("#",B2576))),CONCATENATE(TRIM(F2576)," #",G2576),B2576)</f>
        <v>Lime Jar</v>
      </c>
    </row>
    <row r="2577" spans="1:8" ht="15.75" thickBot="1" x14ac:dyDescent="0.3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>IF(ISNUMBER(SEARCH("#",B2577)), LEFT(B2577,FIND("#",B2577)-1), B2577)</f>
        <v xml:space="preserve">Microwave </v>
      </c>
      <c r="G2577" s="26">
        <f>IF(ISNUMBER(SEARCH("#",B2577)),VALUE(MID(B2577,FIND("#",B2577)+1,1000)),1)</f>
        <v>1</v>
      </c>
      <c r="H2577" t="str">
        <f>IF(AND(regexMatch(B2577,".*#[0-9]*$"),ISNUMBER(SEARCH("#",B2577))),CONCATENATE(TRIM(F2577)," #",G2577),B2577)</f>
        <v>Microwave #1</v>
      </c>
    </row>
    <row r="2578" spans="1:8" ht="15.75" thickBot="1" x14ac:dyDescent="0.3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>IF(ISNUMBER(SEARCH("#",B2578)), LEFT(B2578,FIND("#",B2578)-1), B2578)</f>
        <v xml:space="preserve">Microwave </v>
      </c>
      <c r="G2578" s="26">
        <f>IF(ISNUMBER(SEARCH("#",B2578)),VALUE(MID(B2578,FIND("#",B2578)+1,1000)),1)</f>
        <v>2</v>
      </c>
      <c r="H2578" t="str">
        <f>IF(AND(regexMatch(B2578,".*#[0-9]*$"),ISNUMBER(SEARCH("#",B2578))),CONCATENATE(TRIM(F2578)," #",G2578),B2578)</f>
        <v>Microwave #2</v>
      </c>
    </row>
    <row r="2579" spans="1:8" ht="15.75" thickBot="1" x14ac:dyDescent="0.3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>IF(ISNUMBER(SEARCH("#",B2579)), LEFT(B2579,FIND("#",B2579)-1), B2579)</f>
        <v xml:space="preserve">Microwave </v>
      </c>
      <c r="G2579" s="26">
        <f>IF(ISNUMBER(SEARCH("#",B2579)),VALUE(MID(B2579,FIND("#",B2579)+1,1000)),1)</f>
        <v>3</v>
      </c>
      <c r="H2579" t="str">
        <f>IF(AND(regexMatch(B2579,".*#[0-9]*$"),ISNUMBER(SEARCH("#",B2579))),CONCATENATE(TRIM(F2579)," #",G2579),B2579)</f>
        <v>Microwave #3</v>
      </c>
    </row>
    <row r="2580" spans="1:8" ht="15.75" thickBot="1" x14ac:dyDescent="0.3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>IF(ISNUMBER(SEARCH("#",B2580)), LEFT(B2580,FIND("#",B2580)-1), B2580)</f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.75" thickBot="1" x14ac:dyDescent="0.3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>IF(ISNUMBER(SEARCH("#",B2581)), LEFT(B2581,FIND("#",B2581)-1), B2581)</f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.75" thickBot="1" x14ac:dyDescent="0.3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>IF(ISNUMBER(SEARCH("#",B2582)), LEFT(B2582,FIND("#",B2582)-1), B2582)</f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.75" thickBot="1" x14ac:dyDescent="0.3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>IF(ISNUMBER(SEARCH("#",B2583)), LEFT(B2583,FIND("#",B2583)-1), B2583)</f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.75" thickBot="1" x14ac:dyDescent="0.3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>IF(ISNUMBER(SEARCH("#",B2584)), LEFT(B2584,FIND("#",B2584)-1), B2584)</f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.75" thickBot="1" x14ac:dyDescent="0.3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>IF(ISNUMBER(SEARCH("#",B2585)), LEFT(B2585,FIND("#",B2585)-1), B2585)</f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.75" thickBot="1" x14ac:dyDescent="0.3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>IF(ISNUMBER(SEARCH("#",B2586)), LEFT(B2586,FIND("#",B2586)-1), B2586)</f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.75" thickBot="1" x14ac:dyDescent="0.3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>IF(ISNUMBER(SEARCH("#",B2587)), LEFT(B2587,FIND("#",B2587)-1), B2587)</f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.75" thickBot="1" x14ac:dyDescent="0.3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.75" thickBot="1" x14ac:dyDescent="0.3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>IF(ISNUMBER(SEARCH("#",B2589)), LEFT(B2589,FIND("#",B2589)-1), B2589)</f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.75" thickBot="1" x14ac:dyDescent="0.3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>IF(ISNUMBER(SEARCH("#",B2590)), LEFT(B2590,FIND("#",B2590)-1), B2590)</f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.75" thickBot="1" x14ac:dyDescent="0.3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>IF(ISNUMBER(SEARCH("#",B2591)), LEFT(B2591,FIND("#",B2591)-1), B2591)</f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.75" thickBot="1" x14ac:dyDescent="0.3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>IF(ISNUMBER(SEARCH("#",B2592)), LEFT(B2592,FIND("#",B2592)-1), B2592)</f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.75" thickBot="1" x14ac:dyDescent="0.3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>IF(ISNUMBER(SEARCH("#",B2593)), LEFT(B2593,FIND("#",B2593)-1), B2593)</f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.75" thickBot="1" x14ac:dyDescent="0.3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>IF(ISNUMBER(SEARCH("#",B2594)), LEFT(B2594,FIND("#",B2594)-1), B2594)</f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.75" thickBot="1" x14ac:dyDescent="0.3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>IF(ISNUMBER(SEARCH("#",B2595)), LEFT(B2595,FIND("#",B2595)-1), B2595)</f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.75" thickBot="1" x14ac:dyDescent="0.3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>IF(ISNUMBER(SEARCH("#",B2596)), LEFT(B2596,FIND("#",B2596)-1), B2596)</f>
        <v>Plate (Clean) Stack</v>
      </c>
      <c r="G2596" s="26">
        <f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.75" thickBot="1" x14ac:dyDescent="0.3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>IF(ISNUMBER(SEARCH("#",B2597)), LEFT(B2597,FIND("#",B2597)-1), B2597)</f>
        <v>Plate (Dirty)</v>
      </c>
      <c r="G2597" s="26">
        <f>IF(ISNUMBER(SEARCH("#",B2597)),VALUE(MID(B2597,FIND("#",B2597)+1,1000)),1)</f>
        <v>1</v>
      </c>
      <c r="H2597" t="str">
        <f>IF(AND(regexMatch(B2597,".*#[0-9]*$"),ISNUMBER(SEARCH("#",B2597))),CONCATENATE(TRIM(F2597)," #",G2597),B2597)</f>
        <v>Plate (Dirty)</v>
      </c>
    </row>
    <row r="2598" spans="1:8" ht="15.75" thickBot="1" x14ac:dyDescent="0.3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>IF(ISNUMBER(SEARCH("#",B2598)), LEFT(B2598,FIND("#",B2598)-1), B2598)</f>
        <v>Plate Large</v>
      </c>
      <c r="G2598" s="26">
        <f>IF(ISNUMBER(SEARCH("#",B2598)),VALUE(MID(B2598,FIND("#",B2598)+1,1000)),1)</f>
        <v>1</v>
      </c>
      <c r="H2598" t="str">
        <f>IF(AND(regexMatch(B2598,".*#[0-9]*$"),ISNUMBER(SEARCH("#",B2598))),CONCATENATE(TRIM(F2598)," #",G2598),B2598)</f>
        <v>Plate Large</v>
      </c>
    </row>
    <row r="2599" spans="1:8" ht="15.75" thickBot="1" x14ac:dyDescent="0.3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>IF(ISNUMBER(SEARCH("#",B2599)), LEFT(B2599,FIND("#",B2599)-1), B2599)</f>
        <v>Plate Small</v>
      </c>
      <c r="G2599" s="26">
        <f>IF(ISNUMBER(SEARCH("#",B2599)),VALUE(MID(B2599,FIND("#",B2599)+1,1000)),1)</f>
        <v>1</v>
      </c>
      <c r="H2599" t="str">
        <f>IF(AND(regexMatch(B2599,".*#[0-9]*$"),ISNUMBER(SEARCH("#",B2599))),CONCATENATE(TRIM(F2599)," #",G2599),B2599)</f>
        <v>Plate Small</v>
      </c>
    </row>
    <row r="2600" spans="1:8" ht="15.75" thickBot="1" x14ac:dyDescent="0.3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>IF(ISNUMBER(SEARCH("#",B2600)), LEFT(B2600,FIND("#",B2600)-1), B2600)</f>
        <v>Plate Stand</v>
      </c>
      <c r="G2600" s="26">
        <f>IF(ISNUMBER(SEARCH("#",B2600)),VALUE(MID(B2600,FIND("#",B2600)+1,1000)),1)</f>
        <v>1</v>
      </c>
      <c r="H2600" t="str">
        <f>IF(AND(regexMatch(B2600,".*#[0-9]*$"),ISNUMBER(SEARCH("#",B2600))),CONCATENATE(TRIM(F2600)," #",G2600),B2600)</f>
        <v>Plate Stand</v>
      </c>
    </row>
    <row r="2601" spans="1:8" ht="15.75" thickBot="1" x14ac:dyDescent="0.3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>IF(ISNUMBER(SEARCH("#",B2601)), LEFT(B2601,FIND("#",B2601)-1), B2601)</f>
        <v>Plate Warmer</v>
      </c>
      <c r="G2601" s="26">
        <f>IF(ISNUMBER(SEARCH("#",B2601)),VALUE(MID(B2601,FIND("#",B2601)+1,1000)),1)</f>
        <v>1</v>
      </c>
      <c r="H2601" t="str">
        <f>IF(AND(regexMatch(B2601,".*#[0-9]*$"),ISNUMBER(SEARCH("#",B2601))),CONCATENATE(TRIM(F2601)," #",G2601),B2601)</f>
        <v>Plate Warmer</v>
      </c>
    </row>
    <row r="2602" spans="1:8" ht="15.75" thickBot="1" x14ac:dyDescent="0.3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>IF(ISNUMBER(SEARCH("#",B2602)), LEFT(B2602,FIND("#",B2602)-1), B2602)</f>
        <v>Plate With Pizza</v>
      </c>
      <c r="G2602" s="26">
        <f>IF(ISNUMBER(SEARCH("#",B2602)),VALUE(MID(B2602,FIND("#",B2602)+1,1000)),1)</f>
        <v>1</v>
      </c>
      <c r="H2602" t="str">
        <f>IF(AND(regexMatch(B2602,".*#[0-9]*$"),ISNUMBER(SEARCH("#",B2602))),CONCATENATE(TRIM(F2602)," #",G2602),B2602)</f>
        <v>Plate With Pizza</v>
      </c>
    </row>
    <row r="2603" spans="1:8" ht="15.75" thickBot="1" x14ac:dyDescent="0.3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>IF(ISNUMBER(SEARCH("#",B2603)), LEFT(B2603,FIND("#",B2603)-1), B2603)</f>
        <v xml:space="preserve">Pot </v>
      </c>
      <c r="G2603" s="26">
        <f>IF(ISNUMBER(SEARCH("#",B2603)),VALUE(MID(B2603,FIND("#",B2603)+1,1000)),1)</f>
        <v>1</v>
      </c>
      <c r="H2603" t="str">
        <f>IF(AND(regexMatch(B2603,".*#[0-9]*$"),ISNUMBER(SEARCH("#",B2603))),CONCATENATE(TRIM(F2603)," #",G2603),B2603)</f>
        <v>Pot #1</v>
      </c>
    </row>
    <row r="2604" spans="1:8" ht="15.75" thickBot="1" x14ac:dyDescent="0.3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>IF(ISNUMBER(SEARCH("#",B2604)), LEFT(B2604,FIND("#",B2604)-1), B2604)</f>
        <v xml:space="preserve">Pot </v>
      </c>
      <c r="G2604" s="26">
        <f>IF(ISNUMBER(SEARCH("#",B2604)),VALUE(MID(B2604,FIND("#",B2604)+1,1000)),1)</f>
        <v>2</v>
      </c>
      <c r="H2604" t="str">
        <f>IF(AND(regexMatch(B2604,".*#[0-9]*$"),ISNUMBER(SEARCH("#",B2604))),CONCATENATE(TRIM(F2604)," #",G2604),B2604)</f>
        <v>Pot #2</v>
      </c>
    </row>
    <row r="2605" spans="1:8" ht="15.75" thickBot="1" x14ac:dyDescent="0.3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>IF(ISNUMBER(SEARCH("#",B2605)), LEFT(B2605,FIND("#",B2605)-1), B2605)</f>
        <v xml:space="preserve">Pot </v>
      </c>
      <c r="G2605" s="26">
        <f>IF(ISNUMBER(SEARCH("#",B2605)),VALUE(MID(B2605,FIND("#",B2605)+1,1000)),1)</f>
        <v>3</v>
      </c>
      <c r="H2605" t="str">
        <f>IF(AND(regexMatch(B2605,".*#[0-9]*$"),ISNUMBER(SEARCH("#",B2605))),CONCATENATE(TRIM(F2605)," #",G2605),B2605)</f>
        <v>Pot #3</v>
      </c>
    </row>
    <row r="2606" spans="1:8" ht="15.75" thickBot="1" x14ac:dyDescent="0.3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>IF(ISNUMBER(SEARCH("#",B2606)), LEFT(B2606,FIND("#",B2606)-1), B2606)</f>
        <v xml:space="preserve">Pot </v>
      </c>
      <c r="G2606" s="26">
        <f>IF(ISNUMBER(SEARCH("#",B2606)),VALUE(MID(B2606,FIND("#",B2606)+1,1000)),1)</f>
        <v>4</v>
      </c>
      <c r="H2606" t="str">
        <f>IF(AND(regexMatch(B2606,".*#[0-9]*$"),ISNUMBER(SEARCH("#",B2606))),CONCATENATE(TRIM(F2606)," #",G2606),B2606)</f>
        <v>Pot #4</v>
      </c>
    </row>
    <row r="2607" spans="1:8" ht="15.75" thickBot="1" x14ac:dyDescent="0.3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>IF(ISNUMBER(SEARCH("#",B2607)), LEFT(B2607,FIND("#",B2607)-1), B2607)</f>
        <v xml:space="preserve">Pot </v>
      </c>
      <c r="G2607" s="26">
        <f>IF(ISNUMBER(SEARCH("#",B2607)),VALUE(MID(B2607,FIND("#",B2607)+1,1000)),1)</f>
        <v>5</v>
      </c>
      <c r="H2607" t="str">
        <f>IF(AND(regexMatch(B2607,".*#[0-9]*$"),ISNUMBER(SEARCH("#",B2607))),CONCATENATE(TRIM(F2607)," #",G2607),B2607)</f>
        <v>Pot #5</v>
      </c>
    </row>
    <row r="2608" spans="1:8" ht="15.75" thickBot="1" x14ac:dyDescent="0.3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>IF(ISNUMBER(SEARCH("#",B2608)), LEFT(B2608,FIND("#",B2608)-1), B2608)</f>
        <v xml:space="preserve">Pot </v>
      </c>
      <c r="G2608" s="26">
        <f>IF(ISNUMBER(SEARCH("#",B2608)),VALUE(MID(B2608,FIND("#",B2608)+1,1000)),1)</f>
        <v>6</v>
      </c>
      <c r="H2608" t="str">
        <f>IF(AND(regexMatch(B2608,".*#[0-9]*$"),ISNUMBER(SEARCH("#",B2608))),CONCATENATE(TRIM(F2608)," #",G2608),B2608)</f>
        <v>Pot #6</v>
      </c>
    </row>
    <row r="2609" spans="1:8" ht="15.75" thickBot="1" x14ac:dyDescent="0.3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>IF(ISNUMBER(SEARCH("#",B2609)), LEFT(B2609,FIND("#",B2609)-1), B2609)</f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.75" thickBot="1" x14ac:dyDescent="0.3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>IF(ISNUMBER(SEARCH("#",B2610)), LEFT(B2610,FIND("#",B2610)-1), B2610)</f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.75" thickBot="1" x14ac:dyDescent="0.3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>IF(ISNUMBER(SEARCH("#",B2611)), LEFT(B2611,FIND("#",B2611)-1), B2611)</f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.75" thickBot="1" x14ac:dyDescent="0.3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>IF(ISNUMBER(SEARCH("#",B2612)), LEFT(B2612,FIND("#",B2612)-1), B2612)</f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.75" thickBot="1" x14ac:dyDescent="0.3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>IF(ISNUMBER(SEARCH("#",B2613)), LEFT(B2613,FIND("#",B2613)-1), B2613)</f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.75" thickBot="1" x14ac:dyDescent="0.3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>IF(ISNUMBER(SEARCH("#",B2614)), LEFT(B2614,FIND("#",B2614)-1), B2614)</f>
        <v>Pot Of Coffee</v>
      </c>
      <c r="G2614" s="26">
        <f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.75" thickBot="1" x14ac:dyDescent="0.3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>IF(ISNUMBER(SEARCH("#",B2615)), LEFT(B2615,FIND("#",B2615)-1), B2615)</f>
        <v>Pot Of Sugar</v>
      </c>
      <c r="G2615" s="26">
        <f>IF(ISNUMBER(SEARCH("#",B2615)),VALUE(MID(B2615,FIND("#",B2615)+1,1000)),1)</f>
        <v>1</v>
      </c>
      <c r="H2615" t="str">
        <f>IF(AND(regexMatch(B2615,".*#[0-9]*$"),ISNUMBER(SEARCH("#",B2615))),CONCATENATE(TRIM(F2615)," #",G2615),B2615)</f>
        <v>Pot Of Sugar</v>
      </c>
    </row>
    <row r="2616" spans="1:8" ht="15.75" thickBot="1" x14ac:dyDescent="0.3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>IF(ISNUMBER(SEARCH("#",B2616)), LEFT(B2616,FIND("#",B2616)-1), B2616)</f>
        <v>Pot Of Tea</v>
      </c>
      <c r="G2616" s="26">
        <f>IF(ISNUMBER(SEARCH("#",B2616)),VALUE(MID(B2616,FIND("#",B2616)+1,1000)),1)</f>
        <v>1</v>
      </c>
      <c r="H2616" t="str">
        <f>IF(AND(regexMatch(B2616,".*#[0-9]*$"),ISNUMBER(SEARCH("#",B2616))),CONCATENATE(TRIM(F2616)," #",G2616),B2616)</f>
        <v>Pot Of Tea</v>
      </c>
    </row>
    <row r="2617" spans="1:8" ht="15.75" thickBot="1" x14ac:dyDescent="0.3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>IF(ISNUMBER(SEARCH("#",B2617)), LEFT(B2617,FIND("#",B2617)-1), B2617)</f>
        <v>Saucer</v>
      </c>
      <c r="G2617" s="26">
        <f>IF(ISNUMBER(SEARCH("#",B2617)),VALUE(MID(B2617,FIND("#",B2617)+1,1000)),1)</f>
        <v>1</v>
      </c>
      <c r="H2617" t="str">
        <f>IF(AND(regexMatch(B2617,".*#[0-9]*$"),ISNUMBER(SEARCH("#",B2617))),CONCATENATE(TRIM(F2617)," #",G2617),B2617)</f>
        <v>Saucer</v>
      </c>
    </row>
    <row r="2618" spans="1:8" ht="15.75" thickBot="1" x14ac:dyDescent="0.3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>IF(ISNUMBER(SEARCH("#",B2618)), LEFT(B2618,FIND("#",B2618)-1), B2618)</f>
        <v>Scourer</v>
      </c>
      <c r="G2618" s="26">
        <f>IF(ISNUMBER(SEARCH("#",B2618)),VALUE(MID(B2618,FIND("#",B2618)+1,1000)),1)</f>
        <v>1</v>
      </c>
      <c r="H2618" t="str">
        <f>IF(AND(regexMatch(B2618,".*#[0-9]*$"),ISNUMBER(SEARCH("#",B2618))),CONCATENATE(TRIM(F2618)," #",G2618),B2618)</f>
        <v>Scourer</v>
      </c>
    </row>
    <row r="2619" spans="1:8" ht="15.75" thickBot="1" x14ac:dyDescent="0.3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>IF(ISNUMBER(SEARCH("#",B2619)), LEFT(B2619,FIND("#",B2619)-1), B2619)</f>
        <v>Shot Glass</v>
      </c>
      <c r="G2619" s="26">
        <f>IF(ISNUMBER(SEARCH("#",B2619)),VALUE(MID(B2619,FIND("#",B2619)+1,1000)),1)</f>
        <v>1</v>
      </c>
      <c r="H2619" t="str">
        <f>IF(AND(regexMatch(B2619,".*#[0-9]*$"),ISNUMBER(SEARCH("#",B2619))),CONCATENATE(TRIM(F2619)," #",G2619),B2619)</f>
        <v>Shot Glass</v>
      </c>
    </row>
    <row r="2620" spans="1:8" ht="15.75" thickBot="1" x14ac:dyDescent="0.3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>IF(ISNUMBER(SEARCH("#",B2620)), LEFT(B2620,FIND("#",B2620)-1), B2620)</f>
        <v xml:space="preserve">Shot Glass </v>
      </c>
      <c r="G2620" s="26">
        <f>IF(ISNUMBER(SEARCH("#",B2620)),VALUE(MID(B2620,FIND("#",B2620)+1,1000)),1)</f>
        <v>1</v>
      </c>
      <c r="H2620" t="str">
        <f>IF(AND(regexMatch(B2620,".*#[0-9]*$"),ISNUMBER(SEARCH("#",B2620))),CONCATENATE(TRIM(F2620)," #",G2620),B2620)</f>
        <v>Shot Glass #1</v>
      </c>
    </row>
    <row r="2621" spans="1:8" ht="15.75" thickBot="1" x14ac:dyDescent="0.3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>IF(ISNUMBER(SEARCH("#",B2621)), LEFT(B2621,FIND("#",B2621)-1), B2621)</f>
        <v xml:space="preserve">Shot Glass </v>
      </c>
      <c r="G2621" s="26">
        <f>IF(ISNUMBER(SEARCH("#",B2621)),VALUE(MID(B2621,FIND("#",B2621)+1,1000)),1)</f>
        <v>2</v>
      </c>
      <c r="H2621" t="str">
        <f>IF(AND(regexMatch(B2621,".*#[0-9]*$"),ISNUMBER(SEARCH("#",B2621))),CONCATENATE(TRIM(F2621)," #",G2621),B2621)</f>
        <v>Shot Glass #2</v>
      </c>
    </row>
    <row r="2622" spans="1:8" ht="15.75" thickBot="1" x14ac:dyDescent="0.3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>IF(ISNUMBER(SEARCH("#",B2622)), LEFT(B2622,FIND("#",B2622)-1), B2622)</f>
        <v xml:space="preserve">Shot Glass </v>
      </c>
      <c r="G2622" s="26">
        <f>IF(ISNUMBER(SEARCH("#",B2622)),VALUE(MID(B2622,FIND("#",B2622)+1,1000)),1)</f>
        <v>3</v>
      </c>
      <c r="H2622" t="str">
        <f>IF(AND(regexMatch(B2622,".*#[0-9]*$"),ISNUMBER(SEARCH("#",B2622))),CONCATENATE(TRIM(F2622)," #",G2622),B2622)</f>
        <v>Shot Glass #3</v>
      </c>
    </row>
    <row r="2623" spans="1:8" ht="15.75" thickBot="1" x14ac:dyDescent="0.3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>IF(ISNUMBER(SEARCH("#",B2623)), LEFT(B2623,FIND("#",B2623)-1), B2623)</f>
        <v>Silver Tray</v>
      </c>
      <c r="G2623" s="26">
        <f>IF(ISNUMBER(SEARCH("#",B2623)),VALUE(MID(B2623,FIND("#",B2623)+1,1000)),1)</f>
        <v>1</v>
      </c>
      <c r="H2623" t="str">
        <f>IF(AND(regexMatch(B2623,".*#[0-9]*$"),ISNUMBER(SEARCH("#",B2623))),CONCATENATE(TRIM(F2623)," #",G2623),B2623)</f>
        <v>Silver Tray</v>
      </c>
    </row>
    <row r="2624" spans="1:8" ht="15.75" thickBot="1" x14ac:dyDescent="0.3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>IF(ISNUMBER(SEARCH("#",B2624)), LEFT(B2624,FIND("#",B2624)-1), B2624)</f>
        <v xml:space="preserve">Sink Filler </v>
      </c>
      <c r="G2624" s="26">
        <f>IF(ISNUMBER(SEARCH("#",B2624)),VALUE(MID(B2624,FIND("#",B2624)+1,1000)),1)</f>
        <v>1</v>
      </c>
      <c r="H2624" t="str">
        <f>IF(AND(regexMatch(B2624,".*#[0-9]*$"),ISNUMBER(SEARCH("#",B2624))),CONCATENATE(TRIM(F2624)," #",G2624),B2624)</f>
        <v>Sink Filler #1</v>
      </c>
    </row>
    <row r="2625" spans="1:8" ht="15.75" thickBot="1" x14ac:dyDescent="0.3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>IF(ISNUMBER(SEARCH("#",B2625)), LEFT(B2625,FIND("#",B2625)-1), B2625)</f>
        <v xml:space="preserve">Sink Filler </v>
      </c>
      <c r="G2625" s="26">
        <f>IF(ISNUMBER(SEARCH("#",B2625)),VALUE(MID(B2625,FIND("#",B2625)+1,1000)),1)</f>
        <v>2</v>
      </c>
      <c r="H2625" t="str">
        <f>IF(AND(regexMatch(B2625,".*#[0-9]*$"),ISNUMBER(SEARCH("#",B2625))),CONCATENATE(TRIM(F2625)," #",G2625),B2625)</f>
        <v>Sink Filler #2</v>
      </c>
    </row>
    <row r="2626" spans="1:8" ht="15.75" thickBot="1" x14ac:dyDescent="0.3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>IF(ISNUMBER(SEARCH("#",B2626)), LEFT(B2626,FIND("#",B2626)-1), B2626)</f>
        <v xml:space="preserve">Sink Filler </v>
      </c>
      <c r="G2626" s="26">
        <f>IF(ISNUMBER(SEARCH("#",B2626)),VALUE(MID(B2626,FIND("#",B2626)+1,1000)),1)</f>
        <v>3</v>
      </c>
      <c r="H2626" t="str">
        <f>IF(AND(regexMatch(B2626,".*#[0-9]*$"),ISNUMBER(SEARCH("#",B2626))),CONCATENATE(TRIM(F2626)," #",G2626),B2626)</f>
        <v>Sink Filler #3</v>
      </c>
    </row>
    <row r="2627" spans="1:8" ht="15.75" thickBot="1" x14ac:dyDescent="0.3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>IF(ISNUMBER(SEARCH("#",B2627)), LEFT(B2627,FIND("#",B2627)-1), B2627)</f>
        <v xml:space="preserve">Small Basket </v>
      </c>
      <c r="G2627" s="26">
        <f>IF(ISNUMBER(SEARCH("#",B2627)),VALUE(MID(B2627,FIND("#",B2627)+1,1000)),1)</f>
        <v>1</v>
      </c>
      <c r="H2627" t="str">
        <f>IF(AND(regexMatch(B2627,".*#[0-9]*$"),ISNUMBER(SEARCH("#",B2627))),CONCATENATE(TRIM(F2627)," #",G2627),B2627)</f>
        <v>Small Basket #1</v>
      </c>
    </row>
    <row r="2628" spans="1:8" ht="15.75" thickBot="1" x14ac:dyDescent="0.3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>IF(ISNUMBER(SEARCH("#",B2628)), LEFT(B2628,FIND("#",B2628)-1), B2628)</f>
        <v xml:space="preserve">Small Basket </v>
      </c>
      <c r="G2628" s="26">
        <f>IF(ISNUMBER(SEARCH("#",B2628)),VALUE(MID(B2628,FIND("#",B2628)+1,1000)),1)</f>
        <v>2</v>
      </c>
      <c r="H2628" t="str">
        <f>IF(AND(regexMatch(B2628,".*#[0-9]*$"),ISNUMBER(SEARCH("#",B2628))),CONCATENATE(TRIM(F2628)," #",G2628),B2628)</f>
        <v>Small Basket #2</v>
      </c>
    </row>
    <row r="2629" spans="1:8" ht="15.75" thickBot="1" x14ac:dyDescent="0.3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>IF(ISNUMBER(SEARCH("#",B2629)), LEFT(B2629,FIND("#",B2629)-1), B2629)</f>
        <v>Steam Basket</v>
      </c>
      <c r="G2629" s="26">
        <f>IF(ISNUMBER(SEARCH("#",B2629)),VALUE(MID(B2629,FIND("#",B2629)+1,1000)),1)</f>
        <v>1</v>
      </c>
      <c r="H2629" t="str">
        <f>IF(AND(regexMatch(B2629,".*#[0-9]*$"),ISNUMBER(SEARCH("#",B2629))),CONCATENATE(TRIM(F2629)," #",G2629),B2629)</f>
        <v>Steam Basket</v>
      </c>
    </row>
    <row r="2630" spans="1:8" ht="15.75" thickBot="1" x14ac:dyDescent="0.3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>IF(ISNUMBER(SEARCH("#",B2630)), LEFT(B2630,FIND("#",B2630)-1), B2630)</f>
        <v xml:space="preserve">Tall Glass </v>
      </c>
      <c r="G2630" s="26">
        <f>IF(ISNUMBER(SEARCH("#",B2630)),VALUE(MID(B2630,FIND("#",B2630)+1,1000)),1)</f>
        <v>1</v>
      </c>
      <c r="H2630" t="str">
        <f>IF(AND(regexMatch(B2630,".*#[0-9]*$"),ISNUMBER(SEARCH("#",B2630))),CONCATENATE(TRIM(F2630)," #",G2630),B2630)</f>
        <v>Tall Glass #1</v>
      </c>
    </row>
    <row r="2631" spans="1:8" ht="15.75" thickBot="1" x14ac:dyDescent="0.3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>IF(ISNUMBER(SEARCH("#",B2631)), LEFT(B2631,FIND("#",B2631)-1), B2631)</f>
        <v xml:space="preserve">Tall Glass </v>
      </c>
      <c r="G2631" s="26">
        <f>IF(ISNUMBER(SEARCH("#",B2631)),VALUE(MID(B2631,FIND("#",B2631)+1,1000)),1)</f>
        <v>2</v>
      </c>
      <c r="H2631" t="str">
        <f>IF(AND(regexMatch(B2631,".*#[0-9]*$"),ISNUMBER(SEARCH("#",B2631))),CONCATENATE(TRIM(F2631)," #",G2631),B2631)</f>
        <v>Tall Glass #2</v>
      </c>
    </row>
    <row r="2632" spans="1:8" ht="15.75" thickBot="1" x14ac:dyDescent="0.3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>IF(ISNUMBER(SEARCH("#",B2632)), LEFT(B2632,FIND("#",B2632)-1), B2632)</f>
        <v>Toaster</v>
      </c>
      <c r="G2632" s="26">
        <f>IF(ISNUMBER(SEARCH("#",B2632)),VALUE(MID(B2632,FIND("#",B2632)+1,1000)),1)</f>
        <v>1</v>
      </c>
      <c r="H2632" t="str">
        <f>IF(AND(regexMatch(B2632,".*#[0-9]*$"),ISNUMBER(SEARCH("#",B2632))),CONCATENATE(TRIM(F2632)," #",G2632),B2632)</f>
        <v>Toaster</v>
      </c>
    </row>
    <row r="2633" spans="1:8" ht="15.75" thickBot="1" x14ac:dyDescent="0.3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>IF(ISNUMBER(SEARCH("#",B2633)), LEFT(B2633,FIND("#",B2633)-1), B2633)</f>
        <v xml:space="preserve">Toaster </v>
      </c>
      <c r="G2633" s="26">
        <f>IF(ISNUMBER(SEARCH("#",B2633)),VALUE(MID(B2633,FIND("#",B2633)+1,1000)),1)</f>
        <v>1</v>
      </c>
      <c r="H2633" t="str">
        <f>IF(AND(regexMatch(B2633,".*#[0-9]*$"),ISNUMBER(SEARCH("#",B2633))),CONCATENATE(TRIM(F2633)," #",G2633),B2633)</f>
        <v>Toaster #1</v>
      </c>
    </row>
    <row r="2634" spans="1:8" ht="15.75" thickBot="1" x14ac:dyDescent="0.3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>IF(ISNUMBER(SEARCH("#",B2634)), LEFT(B2634,FIND("#",B2634)-1), B2634)</f>
        <v xml:space="preserve">Toaster </v>
      </c>
      <c r="G2634" s="26">
        <f>IF(ISNUMBER(SEARCH("#",B2634)),VALUE(MID(B2634,FIND("#",B2634)+1,1000)),1)</f>
        <v>2</v>
      </c>
      <c r="H2634" t="str">
        <f>IF(AND(regexMatch(B2634,".*#[0-9]*$"),ISNUMBER(SEARCH("#",B2634))),CONCATENATE(TRIM(F2634)," #",G2634),B2634)</f>
        <v>Toaster #2</v>
      </c>
    </row>
    <row r="2635" spans="1:8" ht="15.75" thickBot="1" x14ac:dyDescent="0.3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>IF(ISNUMBER(SEARCH("#",B2635)), LEFT(B2635,FIND("#",B2635)-1), B2635)</f>
        <v>Trevor Fridge</v>
      </c>
      <c r="G2635" s="26">
        <f>IF(ISNUMBER(SEARCH("#",B2635)),VALUE(MID(B2635,FIND("#",B2635)+1,1000)),1)</f>
        <v>1</v>
      </c>
      <c r="H2635" t="str">
        <f>IF(AND(regexMatch(B2635,".*#[0-9]*$"),ISNUMBER(SEARCH("#",B2635))),CONCATENATE(TRIM(F2635)," #",G2635),B2635)</f>
        <v>Trevor Fridge</v>
      </c>
    </row>
    <row r="2636" spans="1:8" ht="15.75" thickBot="1" x14ac:dyDescent="0.3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>IF(ISNUMBER(SEARCH("#",B2636)), LEFT(B2636,FIND("#",B2636)-1), B2636)</f>
        <v xml:space="preserve">Tumbler </v>
      </c>
      <c r="G2636" s="26">
        <f>IF(ISNUMBER(SEARCH("#",B2636)),VALUE(MID(B2636,FIND("#",B2636)+1,1000)),1)</f>
        <v>1</v>
      </c>
      <c r="H2636" t="str">
        <f>IF(AND(regexMatch(B2636,".*#[0-9]*$"),ISNUMBER(SEARCH("#",B2636))),CONCATENATE(TRIM(F2636)," #",G2636),B2636)</f>
        <v>Tumbler #1</v>
      </c>
    </row>
    <row r="2637" spans="1:8" ht="15.75" thickBot="1" x14ac:dyDescent="0.3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>IF(ISNUMBER(SEARCH("#",B2637)), LEFT(B2637,FIND("#",B2637)-1), B2637)</f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.75" thickBot="1" x14ac:dyDescent="0.3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>IF(ISNUMBER(SEARCH("#",B2638)), LEFT(B2638,FIND("#",B2638)-1), B2638)</f>
        <v xml:space="preserve">Tumbler </v>
      </c>
      <c r="G2638" s="26">
        <f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.75" thickBot="1" x14ac:dyDescent="0.3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>IF(ISNUMBER(SEARCH("#",B2639)), LEFT(B2639,FIND("#",B2639)-1), B2639)</f>
        <v>Whisk</v>
      </c>
      <c r="G2639" s="26">
        <f>IF(ISNUMBER(SEARCH("#",B2639)),VALUE(MID(B2639,FIND("#",B2639)+1,1000)),1)</f>
        <v>1</v>
      </c>
      <c r="H2639" t="str">
        <f>IF(AND(regexMatch(B2639,".*#[0-9]*$"),ISNUMBER(SEARCH("#",B2639))),CONCATENATE(TRIM(F2639)," #",G2639),B2639)</f>
        <v>Whisk</v>
      </c>
    </row>
    <row r="2640" spans="1:8" ht="15.75" thickBot="1" x14ac:dyDescent="0.3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>IF(ISNUMBER(SEARCH("#",B2640)), LEFT(B2640,FIND("#",B2640)-1), B2640)</f>
        <v>Wine Bottle</v>
      </c>
      <c r="G2640" s="26">
        <f>IF(ISNUMBER(SEARCH("#",B2640)),VALUE(MID(B2640,FIND("#",B2640)+1,1000)),1)</f>
        <v>1</v>
      </c>
      <c r="H2640" t="str">
        <f>IF(AND(regexMatch(B2640,".*#[0-9]*$"),ISNUMBER(SEARCH("#",B2640))),CONCATENATE(TRIM(F2640)," #",G2640),B2640)</f>
        <v>Wine Bottle</v>
      </c>
    </row>
    <row r="2641" spans="1:8" ht="15.75" thickBot="1" x14ac:dyDescent="0.3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>IF(ISNUMBER(SEARCH("#",B2641)), LEFT(B2641,FIND("#",B2641)-1), B2641)</f>
        <v xml:space="preserve">Wine Glass </v>
      </c>
      <c r="G2641" s="26">
        <f>IF(ISNUMBER(SEARCH("#",B2641)),VALUE(MID(B2641,FIND("#",B2641)+1,1000)),1)</f>
        <v>1</v>
      </c>
      <c r="H2641" t="str">
        <f>IF(AND(regexMatch(B2641,".*#[0-9]*$"),ISNUMBER(SEARCH("#",B2641))),CONCATENATE(TRIM(F2641)," #",G2641),B2641)</f>
        <v>Wine Glass #1</v>
      </c>
    </row>
    <row r="2642" spans="1:8" ht="15.75" thickBot="1" x14ac:dyDescent="0.3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>IF(ISNUMBER(SEARCH("#",B2642)), LEFT(B2642,FIND("#",B2642)-1), B2642)</f>
        <v xml:space="preserve">Wine Glass </v>
      </c>
      <c r="G2642" s="26">
        <f>IF(ISNUMBER(SEARCH("#",B2642)),VALUE(MID(B2642,FIND("#",B2642)+1,1000)),1)</f>
        <v>2</v>
      </c>
      <c r="H2642" t="str">
        <f>IF(AND(regexMatch(B2642,".*#[0-9]*$"),ISNUMBER(SEARCH("#",B2642))),CONCATENATE(TRIM(F2642)," #",G2642),B2642)</f>
        <v>Wine Glass #2</v>
      </c>
    </row>
    <row r="2643" spans="1:8" ht="15.75" thickBot="1" x14ac:dyDescent="0.3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>IF(ISNUMBER(SEARCH("#",B2643)), LEFT(B2643,FIND("#",B2643)-1), B2643)</f>
        <v>Wok</v>
      </c>
      <c r="G2643" s="26">
        <f>IF(ISNUMBER(SEARCH("#",B2643)),VALUE(MID(B2643,FIND("#",B2643)+1,1000)),1)</f>
        <v>1</v>
      </c>
      <c r="H2643" t="str">
        <f>IF(AND(regexMatch(B2643,".*#[0-9]*$"),ISNUMBER(SEARCH("#",B2643))),CONCATENATE(TRIM(F2643)," #",G2643),B2643)</f>
        <v>Wok</v>
      </c>
    </row>
    <row r="2644" spans="1:8" ht="15.75" thickBot="1" x14ac:dyDescent="0.3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>IF(ISNUMBER(SEARCH("#",B2644)), LEFT(B2644,FIND("#",B2644)-1), B2644)</f>
        <v>Acoustic Guitar</v>
      </c>
      <c r="G2644" s="26">
        <f>IF(ISNUMBER(SEARCH("#",B2644)),VALUE(MID(B2644,FIND("#",B2644)+1,1000)),1)</f>
        <v>1</v>
      </c>
      <c r="H2644" t="str">
        <f>IF(AND(regexMatch(B2644,".*#[0-9]*$"),ISNUMBER(SEARCH("#",B2644))),CONCATENATE(TRIM(F2644)," #",G2644),B2644)</f>
        <v>Acoustic Guitar</v>
      </c>
    </row>
    <row r="2645" spans="1:8" ht="15.75" thickBot="1" x14ac:dyDescent="0.3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>IF(ISNUMBER(SEARCH("#",B2645)), LEFT(B2645,FIND("#",B2645)-1), B2645)</f>
        <v>Acoustic Guitar Damaged</v>
      </c>
      <c r="G2645" s="26">
        <f>IF(ISNUMBER(SEARCH("#",B2645)),VALUE(MID(B2645,FIND("#",B2645)+1,1000)),1)</f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.75" thickBot="1" x14ac:dyDescent="0.3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>IF(ISNUMBER(SEARCH("#",B2646)), LEFT(B2646,FIND("#",B2646)-1), B2646)</f>
        <v>Arcade Machine</v>
      </c>
      <c r="G2646" s="26">
        <f>IF(ISNUMBER(SEARCH("#",B2646)),VALUE(MID(B2646,FIND("#",B2646)+1,1000)),1)</f>
        <v>1</v>
      </c>
      <c r="H2646" t="str">
        <f>IF(AND(regexMatch(B2646,".*#[0-9]*$"),ISNUMBER(SEARCH("#",B2646))),CONCATENATE(TRIM(F2646)," #",G2646),B2646)</f>
        <v>Arcade Machine</v>
      </c>
    </row>
    <row r="2647" spans="1:8" ht="15.75" thickBot="1" x14ac:dyDescent="0.3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>IF(ISNUMBER(SEARCH("#",B2647)), LEFT(B2647,FIND("#",B2647)-1), B2647)</f>
        <v>Basketball Arcade</v>
      </c>
      <c r="G2647" s="26">
        <f>IF(ISNUMBER(SEARCH("#",B2647)),VALUE(MID(B2647,FIND("#",B2647)+1,1000)),1)</f>
        <v>1</v>
      </c>
      <c r="H2647" t="str">
        <f>IF(AND(regexMatch(B2647,".*#[0-9]*$"),ISNUMBER(SEARCH("#",B2647))),CONCATENATE(TRIM(F2647)," #",G2647),B2647)</f>
        <v>Basketball Arcade</v>
      </c>
    </row>
    <row r="2648" spans="1:8" ht="15.75" thickBot="1" x14ac:dyDescent="0.3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>IF(ISNUMBER(SEARCH("#",B2648)), LEFT(B2648,FIND("#",B2648)-1), B2648)</f>
        <v>Binoculars</v>
      </c>
      <c r="G2648" s="26">
        <f>IF(ISNUMBER(SEARCH("#",B2648)),VALUE(MID(B2648,FIND("#",B2648)+1,1000)),1)</f>
        <v>1</v>
      </c>
      <c r="H2648" t="str">
        <f>IF(AND(regexMatch(B2648,".*#[0-9]*$"),ISNUMBER(SEARCH("#",B2648))),CONCATENATE(TRIM(F2648)," #",G2648),B2648)</f>
        <v>Binoculars</v>
      </c>
    </row>
    <row r="2649" spans="1:8" ht="15.75" thickBot="1" x14ac:dyDescent="0.3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>IF(ISNUMBER(SEARCH("#",B2649)), LEFT(B2649,FIND("#",B2649)-1), B2649)</f>
        <v>Bongos</v>
      </c>
      <c r="G2649" s="26">
        <f>IF(ISNUMBER(SEARCH("#",B2649)),VALUE(MID(B2649,FIND("#",B2649)+1,1000)),1)</f>
        <v>1</v>
      </c>
      <c r="H2649" t="str">
        <f>IF(AND(regexMatch(B2649,".*#[0-9]*$"),ISNUMBER(SEARCH("#",B2649))),CONCATENATE(TRIM(F2649)," #",G2649),B2649)</f>
        <v>Bongos</v>
      </c>
    </row>
    <row r="2650" spans="1:8" ht="15.75" thickBot="1" x14ac:dyDescent="0.3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>IF(ISNUMBER(SEARCH("#",B2650)), LEFT(B2650,FIND("#",B2650)-1), B2650)</f>
        <v>Bowling Ball</v>
      </c>
      <c r="G2650" s="26">
        <f>IF(ISNUMBER(SEARCH("#",B2650)),VALUE(MID(B2650,FIND("#",B2650)+1,1000)),1)</f>
        <v>1</v>
      </c>
      <c r="H2650" t="str">
        <f>IF(AND(regexMatch(B2650,".*#[0-9]*$"),ISNUMBER(SEARCH("#",B2650))),CONCATENATE(TRIM(F2650)," #",G2650),B2650)</f>
        <v>Bowling Ball</v>
      </c>
    </row>
    <row r="2651" spans="1:8" ht="15.75" thickBot="1" x14ac:dyDescent="0.3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>IF(ISNUMBER(SEARCH("#",B2651)), LEFT(B2651,FIND("#",B2651)-1), B2651)</f>
        <v>Bowling Pin</v>
      </c>
      <c r="G2651" s="26">
        <f>IF(ISNUMBER(SEARCH("#",B2651)),VALUE(MID(B2651,FIND("#",B2651)+1,1000)),1)</f>
        <v>1</v>
      </c>
      <c r="H2651" t="str">
        <f>IF(AND(regexMatch(B2651,".*#[0-9]*$"),ISNUMBER(SEARCH("#",B2651))),CONCATENATE(TRIM(F2651)," #",G2651),B2651)</f>
        <v>Bowling Pin</v>
      </c>
    </row>
    <row r="2652" spans="1:8" ht="15.75" thickBot="1" x14ac:dyDescent="0.3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>IF(ISNUMBER(SEARCH("#",B2652)), LEFT(B2652,FIND("#",B2652)-1), B2652)</f>
        <v xml:space="preserve">Camping Tent </v>
      </c>
      <c r="G2652" s="26">
        <f>IF(ISNUMBER(SEARCH("#",B2652)),VALUE(MID(B2652,FIND("#",B2652)+1,1000)),1)</f>
        <v>1</v>
      </c>
      <c r="H2652" t="str">
        <f>IF(AND(regexMatch(B2652,".*#[0-9]*$"),ISNUMBER(SEARCH("#",B2652))),CONCATENATE(TRIM(F2652)," #",G2652),B2652)</f>
        <v>Camping Tent #1</v>
      </c>
    </row>
    <row r="2653" spans="1:8" ht="15.75" thickBot="1" x14ac:dyDescent="0.3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>IF(ISNUMBER(SEARCH("#",B2653)), LEFT(B2653,FIND("#",B2653)-1), B2653)</f>
        <v xml:space="preserve">Camping Tent </v>
      </c>
      <c r="G2653" s="26">
        <f>IF(ISNUMBER(SEARCH("#",B2653)),VALUE(MID(B2653,FIND("#",B2653)+1,1000)),1)</f>
        <v>2</v>
      </c>
      <c r="H2653" t="str">
        <f>IF(AND(regexMatch(B2653,".*#[0-9]*$"),ISNUMBER(SEARCH("#",B2653))),CONCATENATE(TRIM(F2653)," #",G2653),B2653)</f>
        <v>Camping Tent #2</v>
      </c>
    </row>
    <row r="2654" spans="1:8" ht="15.75" thickBot="1" x14ac:dyDescent="0.3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>IF(ISNUMBER(SEARCH("#",B2654)), LEFT(B2654,FIND("#",B2654)-1), B2654)</f>
        <v xml:space="preserve">Camping Tent </v>
      </c>
      <c r="G2654" s="26">
        <f>IF(ISNUMBER(SEARCH("#",B2654)),VALUE(MID(B2654,FIND("#",B2654)+1,1000)),1)</f>
        <v>3</v>
      </c>
      <c r="H2654" t="str">
        <f>IF(AND(regexMatch(B2654,".*#[0-9]*$"),ISNUMBER(SEARCH("#",B2654))),CONCATENATE(TRIM(F2654)," #",G2654),B2654)</f>
        <v>Camping Tent #3</v>
      </c>
    </row>
    <row r="2655" spans="1:8" ht="15.75" thickBot="1" x14ac:dyDescent="0.3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>IF(ISNUMBER(SEARCH("#",B2655)), LEFT(B2655,FIND("#",B2655)-1), B2655)</f>
        <v xml:space="preserve">Electric Guitar </v>
      </c>
      <c r="G2655" s="26">
        <f>IF(ISNUMBER(SEARCH("#",B2655)),VALUE(MID(B2655,FIND("#",B2655)+1,1000)),1)</f>
        <v>1</v>
      </c>
      <c r="H2655" t="str">
        <f>IF(AND(regexMatch(B2655,".*#[0-9]*$"),ISNUMBER(SEARCH("#",B2655))),CONCATENATE(TRIM(F2655)," #",G2655),B2655)</f>
        <v>Electric Guitar #1</v>
      </c>
    </row>
    <row r="2656" spans="1:8" ht="15.75" thickBot="1" x14ac:dyDescent="0.3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>IF(ISNUMBER(SEARCH("#",B2656)), LEFT(B2656,FIND("#",B2656)-1), B2656)</f>
        <v xml:space="preserve">Electric Guitar </v>
      </c>
      <c r="G2656" s="26">
        <f>IF(ISNUMBER(SEARCH("#",B2656)),VALUE(MID(B2656,FIND("#",B2656)+1,1000)),1)</f>
        <v>2</v>
      </c>
      <c r="H2656" t="str">
        <f>IF(AND(regexMatch(B2656,".*#[0-9]*$"),ISNUMBER(SEARCH("#",B2656))),CONCATENATE(TRIM(F2656)," #",G2656),B2656)</f>
        <v>Electric Guitar #2</v>
      </c>
    </row>
    <row r="2657" spans="1:8" ht="15.75" thickBot="1" x14ac:dyDescent="0.3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>IF(ISNUMBER(SEARCH("#",B2657)), LEFT(B2657,FIND("#",B2657)-1), B2657)</f>
        <v xml:space="preserve">Electric Guitar </v>
      </c>
      <c r="G2657" s="26">
        <f>IF(ISNUMBER(SEARCH("#",B2657)),VALUE(MID(B2657,FIND("#",B2657)+1,1000)),1)</f>
        <v>3</v>
      </c>
      <c r="H2657" t="str">
        <f>IF(AND(regexMatch(B2657,".*#[0-9]*$"),ISNUMBER(SEARCH("#",B2657))),CONCATENATE(TRIM(F2657)," #",G2657),B2657)</f>
        <v>Electric Guitar #3</v>
      </c>
    </row>
    <row r="2658" spans="1:8" ht="15.75" thickBot="1" x14ac:dyDescent="0.3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>IF(ISNUMBER(SEARCH("#",B2658)), LEFT(B2658,FIND("#",B2658)-1), B2658)</f>
        <v xml:space="preserve">Fishing Rod </v>
      </c>
      <c r="G2658" s="26">
        <f>IF(ISNUMBER(SEARCH("#",B2658)),VALUE(MID(B2658,FIND("#",B2658)+1,1000)),1)</f>
        <v>1</v>
      </c>
      <c r="H2658" t="str">
        <f>IF(AND(regexMatch(B2658,".*#[0-9]*$"),ISNUMBER(SEARCH("#",B2658))),CONCATENATE(TRIM(F2658)," #",G2658),B2658)</f>
        <v>Fishing Rod #1</v>
      </c>
    </row>
    <row r="2659" spans="1:8" ht="15.75" thickBot="1" x14ac:dyDescent="0.3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>IF(ISNUMBER(SEARCH("#",B2659)), LEFT(B2659,FIND("#",B2659)-1), B2659)</f>
        <v xml:space="preserve">Fishing Rod </v>
      </c>
      <c r="G2659" s="26">
        <f>IF(ISNUMBER(SEARCH("#",B2659)),VALUE(MID(B2659,FIND("#",B2659)+1,1000)),1)</f>
        <v>2</v>
      </c>
      <c r="H2659" t="str">
        <f>IF(AND(regexMatch(B2659,".*#[0-9]*$"),ISNUMBER(SEARCH("#",B2659))),CONCATENATE(TRIM(F2659)," #",G2659),B2659)</f>
        <v>Fishing Rod #2</v>
      </c>
    </row>
    <row r="2660" spans="1:8" ht="15.75" thickBot="1" x14ac:dyDescent="0.3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>IF(ISNUMBER(SEARCH("#",B2660)), LEFT(B2660,FIND("#",B2660)-1), B2660)</f>
        <v>Frisbee</v>
      </c>
      <c r="G2660" s="26">
        <f>IF(ISNUMBER(SEARCH("#",B2660)),VALUE(MID(B2660,FIND("#",B2660)+1,1000)),1)</f>
        <v>1</v>
      </c>
      <c r="H2660" t="str">
        <f>IF(AND(regexMatch(B2660,".*#[0-9]*$"),ISNUMBER(SEARCH("#",B2660))),CONCATENATE(TRIM(F2660)," #",G2660),B2660)</f>
        <v>Frisbee</v>
      </c>
    </row>
    <row r="2661" spans="1:8" ht="15.75" thickBot="1" x14ac:dyDescent="0.3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>IF(ISNUMBER(SEARCH("#",B2661)), LEFT(B2661,FIND("#",B2661)-1), B2661)</f>
        <v>Hacky Sack</v>
      </c>
      <c r="G2661" s="26">
        <f>IF(ISNUMBER(SEARCH("#",B2661)),VALUE(MID(B2661,FIND("#",B2661)+1,1000)),1)</f>
        <v>1</v>
      </c>
      <c r="H2661" t="str">
        <f>IF(AND(regexMatch(B2661,".*#[0-9]*$"),ISNUMBER(SEARCH("#",B2661))),CONCATENATE(TRIM(F2661)," #",G2661),B2661)</f>
        <v>Hacky Sack</v>
      </c>
    </row>
    <row r="2662" spans="1:8" ht="15.75" thickBot="1" x14ac:dyDescent="0.3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>IF(ISNUMBER(SEARCH("#",B2662)), LEFT(B2662,FIND("#",B2662)-1), B2662)</f>
        <v>Jukebox (1950s)</v>
      </c>
      <c r="G2662" s="26">
        <f>IF(ISNUMBER(SEARCH("#",B2662)),VALUE(MID(B2662,FIND("#",B2662)+1,1000)),1)</f>
        <v>1</v>
      </c>
      <c r="H2662" t="str">
        <f>IF(AND(regexMatch(B2662,".*#[0-9]*$"),ISNUMBER(SEARCH("#",B2662))),CONCATENATE(TRIM(F2662)," #",G2662),B2662)</f>
        <v>Jukebox (1950s)</v>
      </c>
    </row>
    <row r="2663" spans="1:8" ht="15.75" thickBot="1" x14ac:dyDescent="0.3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>IF(ISNUMBER(SEARCH("#",B2663)), LEFT(B2663,FIND("#",B2663)-1), B2663)</f>
        <v>Saxophone</v>
      </c>
      <c r="G2663" s="26">
        <f>IF(ISNUMBER(SEARCH("#",B2663)),VALUE(MID(B2663,FIND("#",B2663)+1,1000)),1)</f>
        <v>1</v>
      </c>
      <c r="H2663" t="str">
        <f>IF(AND(regexMatch(B2663,".*#[0-9]*$"),ISNUMBER(SEARCH("#",B2663))),CONCATENATE(TRIM(F2663)," #",G2663),B2663)</f>
        <v>Saxophone</v>
      </c>
    </row>
    <row r="2664" spans="1:8" ht="15.75" thickBot="1" x14ac:dyDescent="0.3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>IF(ISNUMBER(SEARCH("#",B2664)), LEFT(B2664,FIND("#",B2664)-1), B2664)</f>
        <v xml:space="preserve">Skipping Rope </v>
      </c>
      <c r="G2664" s="26">
        <f>IF(ISNUMBER(SEARCH("#",B2664)),VALUE(MID(B2664,FIND("#",B2664)+1,1000)),1)</f>
        <v>1</v>
      </c>
      <c r="H2664" t="str">
        <f>IF(AND(regexMatch(B2664,".*#[0-9]*$"),ISNUMBER(SEARCH("#",B2664))),CONCATENATE(TRIM(F2664)," #",G2664),B2664)</f>
        <v>Skipping Rope #1</v>
      </c>
    </row>
    <row r="2665" spans="1:8" ht="15.75" thickBot="1" x14ac:dyDescent="0.3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>IF(ISNUMBER(SEARCH("#",B2665)), LEFT(B2665,FIND("#",B2665)-1), B2665)</f>
        <v xml:space="preserve">Skipping Rope </v>
      </c>
      <c r="G2665" s="26">
        <f>IF(ISNUMBER(SEARCH("#",B2665)),VALUE(MID(B2665,FIND("#",B2665)+1,1000)),1)</f>
        <v>2</v>
      </c>
      <c r="H2665" t="str">
        <f>IF(AND(regexMatch(B2665,".*#[0-9]*$"),ISNUMBER(SEARCH("#",B2665))),CONCATENATE(TRIM(F2665)," #",G2665),B2665)</f>
        <v>Skipping Rope #2</v>
      </c>
    </row>
    <row r="2666" spans="1:8" ht="15.75" thickBot="1" x14ac:dyDescent="0.3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>IF(ISNUMBER(SEARCH("#",B2666)), LEFT(B2666,FIND("#",B2666)-1), B2666)</f>
        <v xml:space="preserve">Skipping Rope </v>
      </c>
      <c r="G2666" s="26">
        <f>IF(ISNUMBER(SEARCH("#",B2666)),VALUE(MID(B2666,FIND("#",B2666)+1,1000)),1)</f>
        <v>3</v>
      </c>
      <c r="H2666" t="str">
        <f>IF(AND(regexMatch(B2666,".*#[0-9]*$"),ISNUMBER(SEARCH("#",B2666))),CONCATENATE(TRIM(F2666)," #",G2666),B2666)</f>
        <v>Skipping Rope #3</v>
      </c>
    </row>
    <row r="2667" spans="1:8" ht="15.75" thickBot="1" x14ac:dyDescent="0.3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>IF(ISNUMBER(SEARCH("#",B2667)), LEFT(B2667,FIND("#",B2667)-1), B2667)</f>
        <v>Skipping Rope Coiled</v>
      </c>
      <c r="G2667" s="26">
        <f>IF(ISNUMBER(SEARCH("#",B2667)),VALUE(MID(B2667,FIND("#",B2667)+1,1000)),1)</f>
        <v>1</v>
      </c>
      <c r="H2667" t="str">
        <f>IF(AND(regexMatch(B2667,".*#[0-9]*$"),ISNUMBER(SEARCH("#",B2667))),CONCATENATE(TRIM(F2667)," #",G2667),B2667)</f>
        <v>Skipping Rope Coiled</v>
      </c>
    </row>
    <row r="2668" spans="1:8" ht="15.75" thickBot="1" x14ac:dyDescent="0.3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>IF(ISNUMBER(SEARCH("#",B2668)), LEFT(B2668,FIND("#",B2668)-1), B2668)</f>
        <v>Telescope</v>
      </c>
      <c r="G2668" s="26">
        <f>IF(ISNUMBER(SEARCH("#",B2668)),VALUE(MID(B2668,FIND("#",B2668)+1,1000)),1)</f>
        <v>1</v>
      </c>
      <c r="H2668" t="str">
        <f>IF(AND(regexMatch(B2668,".*#[0-9]*$"),ISNUMBER(SEARCH("#",B2668))),CONCATENATE(TRIM(F2668)," #",G2668),B2668)</f>
        <v>Telescope</v>
      </c>
    </row>
    <row r="2669" spans="1:8" ht="15.75" thickBot="1" x14ac:dyDescent="0.3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>IF(ISNUMBER(SEARCH("#",B2669)), LEFT(B2669,FIND("#",B2669)-1), B2669)</f>
        <v xml:space="preserve">Barge </v>
      </c>
      <c r="G2669" s="26">
        <f>IF(ISNUMBER(SEARCH("#",B2669)),VALUE(MID(B2669,FIND("#",B2669)+1,1000)),1)</f>
        <v>1</v>
      </c>
      <c r="H2669" t="str">
        <f>IF(AND(regexMatch(B2669,".*#[0-9]*$"),ISNUMBER(SEARCH("#",B2669))),CONCATENATE(TRIM(F2669)," #",G2669),B2669)</f>
        <v>Barge #1</v>
      </c>
    </row>
    <row r="2670" spans="1:8" ht="15.75" thickBot="1" x14ac:dyDescent="0.3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>IF(ISNUMBER(SEARCH("#",B2670)), LEFT(B2670,FIND("#",B2670)-1), B2670)</f>
        <v xml:space="preserve">Barge </v>
      </c>
      <c r="G2670" s="26">
        <f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.75" thickBot="1" x14ac:dyDescent="0.3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>IF(ISNUMBER(SEARCH("#",B2671)), LEFT(B2671,FIND("#",B2671)-1), B2671)</f>
        <v xml:space="preserve">Barge </v>
      </c>
      <c r="G2671" s="26">
        <f>IF(ISNUMBER(SEARCH("#",B2671)),VALUE(MID(B2671,FIND("#",B2671)+1,1000)),1)</f>
        <v>3</v>
      </c>
      <c r="H2671" t="str">
        <f>IF(AND(regexMatch(B2671,".*#[0-9]*$"),ISNUMBER(SEARCH("#",B2671))),CONCATENATE(TRIM(F2671)," #",G2671),B2671)</f>
        <v>Barge #3</v>
      </c>
    </row>
    <row r="2672" spans="1:8" ht="15.75" thickBot="1" x14ac:dyDescent="0.3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>IF(ISNUMBER(SEARCH("#",B2672)), LEFT(B2672,FIND("#",B2672)-1), B2672)</f>
        <v xml:space="preserve">Boatyard Bench </v>
      </c>
      <c r="G2672" s="26">
        <f>IF(ISNUMBER(SEARCH("#",B2672)),VALUE(MID(B2672,FIND("#",B2672)+1,1000)),1)</f>
        <v>1</v>
      </c>
      <c r="H2672" t="str">
        <f>IF(AND(regexMatch(B2672,".*#[0-9]*$"),ISNUMBER(SEARCH("#",B2672))),CONCATENATE(TRIM(F2672)," #",G2672),B2672)</f>
        <v>Boatyard Bench #1</v>
      </c>
    </row>
    <row r="2673" spans="1:8" ht="15.75" thickBot="1" x14ac:dyDescent="0.3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>IF(ISNUMBER(SEARCH("#",B2673)), LEFT(B2673,FIND("#",B2673)-1), B2673)</f>
        <v xml:space="preserve">Boatyard Bench </v>
      </c>
      <c r="G2673" s="26">
        <f>IF(ISNUMBER(SEARCH("#",B2673)),VALUE(MID(B2673,FIND("#",B2673)+1,1000)),1)</f>
        <v>2</v>
      </c>
      <c r="H2673" t="str">
        <f>IF(AND(regexMatch(B2673,".*#[0-9]*$"),ISNUMBER(SEARCH("#",B2673))),CONCATENATE(TRIM(F2673)," #",G2673),B2673)</f>
        <v>Boatyard Bench #2</v>
      </c>
    </row>
    <row r="2674" spans="1:8" ht="15.75" thickBot="1" x14ac:dyDescent="0.3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>IF(ISNUMBER(SEARCH("#",B2674)), LEFT(B2674,FIND("#",B2674)-1), B2674)</f>
        <v>Boatyard Cone</v>
      </c>
      <c r="G2674" s="26">
        <f>IF(ISNUMBER(SEARCH("#",B2674)),VALUE(MID(B2674,FIND("#",B2674)+1,1000)),1)</f>
        <v>1</v>
      </c>
      <c r="H2674" t="str">
        <f>IF(AND(regexMatch(B2674,".*#[0-9]*$"),ISNUMBER(SEARCH("#",B2674))),CONCATENATE(TRIM(F2674)," #",G2674),B2674)</f>
        <v>Boatyard Cone</v>
      </c>
    </row>
    <row r="2675" spans="1:8" ht="15.75" thickBot="1" x14ac:dyDescent="0.3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>IF(ISNUMBER(SEARCH("#",B2675)), LEFT(B2675,FIND("#",B2675)-1), B2675)</f>
        <v>Boatyard Dinghy</v>
      </c>
      <c r="G2675" s="26">
        <f>IF(ISNUMBER(SEARCH("#",B2675)),VALUE(MID(B2675,FIND("#",B2675)+1,1000)),1)</f>
        <v>1</v>
      </c>
      <c r="H2675" t="str">
        <f>IF(AND(regexMatch(B2675,".*#[0-9]*$"),ISNUMBER(SEARCH("#",B2675))),CONCATENATE(TRIM(F2675)," #",G2675),B2675)</f>
        <v>Boatyard Dinghy</v>
      </c>
    </row>
    <row r="2676" spans="1:8" ht="15.75" thickBot="1" x14ac:dyDescent="0.3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>IF(ISNUMBER(SEARCH("#",B2676)), LEFT(B2676,FIND("#",B2676)-1), B2676)</f>
        <v xml:space="preserve">Boatyard Float </v>
      </c>
      <c r="G2676" s="26">
        <f>IF(ISNUMBER(SEARCH("#",B2676)),VALUE(MID(B2676,FIND("#",B2676)+1,1000)),1)</f>
        <v>1</v>
      </c>
      <c r="H2676" t="str">
        <f>IF(AND(regexMatch(B2676,".*#[0-9]*$"),ISNUMBER(SEARCH("#",B2676))),CONCATENATE(TRIM(F2676)," #",G2676),B2676)</f>
        <v>Boatyard Float #1</v>
      </c>
    </row>
    <row r="2677" spans="1:8" ht="15.75" thickBot="1" x14ac:dyDescent="0.3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>IF(ISNUMBER(SEARCH("#",B2677)), LEFT(B2677,FIND("#",B2677)-1), B2677)</f>
        <v xml:space="preserve">Boatyard Float </v>
      </c>
      <c r="G2677" s="26">
        <f>IF(ISNUMBER(SEARCH("#",B2677)),VALUE(MID(B2677,FIND("#",B2677)+1,1000)),1)</f>
        <v>2</v>
      </c>
      <c r="H2677" t="str">
        <f>IF(AND(regexMatch(B2677,".*#[0-9]*$"),ISNUMBER(SEARCH("#",B2677))),CONCATENATE(TRIM(F2677)," #",G2677),B2677)</f>
        <v>Boatyard Float #2</v>
      </c>
    </row>
    <row r="2678" spans="1:8" ht="15.75" thickBot="1" x14ac:dyDescent="0.3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>IF(ISNUMBER(SEARCH("#",B2678)), LEFT(B2678,FIND("#",B2678)-1), B2678)</f>
        <v xml:space="preserve">Boatyard Float </v>
      </c>
      <c r="G2678" s="26">
        <f>IF(ISNUMBER(SEARCH("#",B2678)),VALUE(MID(B2678,FIND("#",B2678)+1,1000)),1)</f>
        <v>3</v>
      </c>
      <c r="H2678" t="str">
        <f>IF(AND(regexMatch(B2678,".*#[0-9]*$"),ISNUMBER(SEARCH("#",B2678))),CONCATENATE(TRIM(F2678)," #",G2678),B2678)</f>
        <v>Boatyard Float #3</v>
      </c>
    </row>
    <row r="2679" spans="1:8" ht="15.75" thickBot="1" x14ac:dyDescent="0.3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>IF(ISNUMBER(SEARCH("#",B2679)), LEFT(B2679,FIND("#",B2679)-1), B2679)</f>
        <v xml:space="preserve">Boatyard Float </v>
      </c>
      <c r="G2679" s="26">
        <f>IF(ISNUMBER(SEARCH("#",B2679)),VALUE(MID(B2679,FIND("#",B2679)+1,1000)),1)</f>
        <v>4</v>
      </c>
      <c r="H2679" t="str">
        <f>IF(AND(regexMatch(B2679,".*#[0-9]*$"),ISNUMBER(SEARCH("#",B2679))),CONCATENATE(TRIM(F2679)," #",G2679),B2679)</f>
        <v>Boatyard Float #4</v>
      </c>
    </row>
    <row r="2680" spans="1:8" ht="15.75" thickBot="1" x14ac:dyDescent="0.3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>IF(ISNUMBER(SEARCH("#",B2680)), LEFT(B2680,FIND("#",B2680)-1), B2680)</f>
        <v>Boatyard Float Pile</v>
      </c>
      <c r="G2680" s="26">
        <f>IF(ISNUMBER(SEARCH("#",B2680)),VALUE(MID(B2680,FIND("#",B2680)+1,1000)),1)</f>
        <v>1</v>
      </c>
      <c r="H2680" t="str">
        <f>IF(AND(regexMatch(B2680,".*#[0-9]*$"),ISNUMBER(SEARCH("#",B2680))),CONCATENATE(TRIM(F2680)," #",G2680),B2680)</f>
        <v>Boatyard Float Pile</v>
      </c>
    </row>
    <row r="2681" spans="1:8" ht="15.75" thickBot="1" x14ac:dyDescent="0.3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>IF(ISNUMBER(SEARCH("#",B2681)), LEFT(B2681,FIND("#",B2681)-1), B2681)</f>
        <v xml:space="preserve">Boatyard Gas Tank </v>
      </c>
      <c r="G2681" s="26">
        <f>IF(ISNUMBER(SEARCH("#",B2681)),VALUE(MID(B2681,FIND("#",B2681)+1,1000)),1)</f>
        <v>1</v>
      </c>
      <c r="H2681" t="str">
        <f>IF(AND(regexMatch(B2681,".*#[0-9]*$"),ISNUMBER(SEARCH("#",B2681))),CONCATENATE(TRIM(F2681)," #",G2681),B2681)</f>
        <v>Boatyard Gas Tank #1</v>
      </c>
    </row>
    <row r="2682" spans="1:8" ht="15.75" thickBot="1" x14ac:dyDescent="0.3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>IF(ISNUMBER(SEARCH("#",B2682)), LEFT(B2682,FIND("#",B2682)-1), B2682)</f>
        <v xml:space="preserve">Boatyard Gas Tank </v>
      </c>
      <c r="G2682" s="26">
        <f>IF(ISNUMBER(SEARCH("#",B2682)),VALUE(MID(B2682,FIND("#",B2682)+1,1000)),1)</f>
        <v>2</v>
      </c>
      <c r="H2682" t="str">
        <f>IF(AND(regexMatch(B2682,".*#[0-9]*$"),ISNUMBER(SEARCH("#",B2682))),CONCATENATE(TRIM(F2682)," #",G2682),B2682)</f>
        <v>Boatyard Gas Tank #2</v>
      </c>
    </row>
    <row r="2683" spans="1:8" ht="15.75" thickBot="1" x14ac:dyDescent="0.3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>IF(ISNUMBER(SEARCH("#",B2683)), LEFT(B2683,FIND("#",B2683)-1), B2683)</f>
        <v>Boatyard Ladder</v>
      </c>
      <c r="G2683" s="26">
        <f>IF(ISNUMBER(SEARCH("#",B2683)),VALUE(MID(B2683,FIND("#",B2683)+1,1000)),1)</f>
        <v>1</v>
      </c>
      <c r="H2683" t="str">
        <f>IF(AND(regexMatch(B2683,".*#[0-9]*$"),ISNUMBER(SEARCH("#",B2683))),CONCATENATE(TRIM(F2683)," #",G2683),B2683)</f>
        <v>Boatyard Ladder</v>
      </c>
    </row>
    <row r="2684" spans="1:8" ht="15.75" thickBot="1" x14ac:dyDescent="0.3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>IF(ISNUMBER(SEARCH("#",B2684)), LEFT(B2684,FIND("#",B2684)-1), B2684)</f>
        <v xml:space="preserve">Boatyard Motor </v>
      </c>
      <c r="G2684" s="26">
        <f>IF(ISNUMBER(SEARCH("#",B2684)),VALUE(MID(B2684,FIND("#",B2684)+1,1000)),1)</f>
        <v>1</v>
      </c>
      <c r="H2684" t="str">
        <f>IF(AND(regexMatch(B2684,".*#[0-9]*$"),ISNUMBER(SEARCH("#",B2684))),CONCATENATE(TRIM(F2684)," #",G2684),B2684)</f>
        <v>Boatyard Motor #1</v>
      </c>
    </row>
    <row r="2685" spans="1:8" ht="15.75" thickBot="1" x14ac:dyDescent="0.3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>IF(ISNUMBER(SEARCH("#",B2685)), LEFT(B2685,FIND("#",B2685)-1), B2685)</f>
        <v xml:space="preserve">Boatyard Motor </v>
      </c>
      <c r="G2685" s="26">
        <f>IF(ISNUMBER(SEARCH("#",B2685)),VALUE(MID(B2685,FIND("#",B2685)+1,1000)),1)</f>
        <v>2</v>
      </c>
      <c r="H2685" t="str">
        <f>IF(AND(regexMatch(B2685,".*#[0-9]*$"),ISNUMBER(SEARCH("#",B2685))),CONCATENATE(TRIM(F2685)," #",G2685),B2685)</f>
        <v>Boatyard Motor #2</v>
      </c>
    </row>
    <row r="2686" spans="1:8" ht="15.75" thickBot="1" x14ac:dyDescent="0.3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>IF(ISNUMBER(SEARCH("#",B2686)), LEFT(B2686,FIND("#",B2686)-1), B2686)</f>
        <v xml:space="preserve">Boatyard Motor </v>
      </c>
      <c r="G2686" s="26">
        <f>IF(ISNUMBER(SEARCH("#",B2686)),VALUE(MID(B2686,FIND("#",B2686)+1,1000)),1)</f>
        <v>3</v>
      </c>
      <c r="H2686" t="str">
        <f>IF(AND(regexMatch(B2686,".*#[0-9]*$"),ISNUMBER(SEARCH("#",B2686))),CONCATENATE(TRIM(F2686)," #",G2686),B2686)</f>
        <v>Boatyard Motor #3</v>
      </c>
    </row>
    <row r="2687" spans="1:8" ht="15.75" thickBot="1" x14ac:dyDescent="0.3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>IF(ISNUMBER(SEARCH("#",B2687)), LEFT(B2687,FIND("#",B2687)-1), B2687)</f>
        <v>Boatyard Pipe</v>
      </c>
      <c r="G2687" s="26">
        <f>IF(ISNUMBER(SEARCH("#",B2687)),VALUE(MID(B2687,FIND("#",B2687)+1,1000)),1)</f>
        <v>1</v>
      </c>
      <c r="H2687" t="str">
        <f>IF(AND(regexMatch(B2687,".*#[0-9]*$"),ISNUMBER(SEARCH("#",B2687))),CONCATENATE(TRIM(F2687)," #",G2687),B2687)</f>
        <v>Boatyard Pipe</v>
      </c>
    </row>
    <row r="2688" spans="1:8" ht="15.75" thickBot="1" x14ac:dyDescent="0.3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>IF(ISNUMBER(SEARCH("#",B2688)), LEFT(B2688,FIND("#",B2688)-1), B2688)</f>
        <v xml:space="preserve">Boatyard Rowboat </v>
      </c>
      <c r="G2688" s="26">
        <f>IF(ISNUMBER(SEARCH("#",B2688)),VALUE(MID(B2688,FIND("#",B2688)+1,1000)),1)</f>
        <v>1</v>
      </c>
      <c r="H2688" t="str">
        <f>IF(AND(regexMatch(B2688,".*#[0-9]*$"),ISNUMBER(SEARCH("#",B2688))),CONCATENATE(TRIM(F2688)," #",G2688),B2688)</f>
        <v>Boatyard Rowboat #1</v>
      </c>
    </row>
    <row r="2689" spans="1:8" ht="15.75" thickBot="1" x14ac:dyDescent="0.3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>IF(ISNUMBER(SEARCH("#",B2689)), LEFT(B2689,FIND("#",B2689)-1), B2689)</f>
        <v xml:space="preserve">Boatyard Rowboat </v>
      </c>
      <c r="G2689" s="26">
        <f>IF(ISNUMBER(SEARCH("#",B2689)),VALUE(MID(B2689,FIND("#",B2689)+1,1000)),1)</f>
        <v>2</v>
      </c>
      <c r="H2689" t="str">
        <f>IF(AND(regexMatch(B2689,".*#[0-9]*$"),ISNUMBER(SEARCH("#",B2689))),CONCATENATE(TRIM(F2689)," #",G2689),B2689)</f>
        <v>Boatyard Rowboat #2</v>
      </c>
    </row>
    <row r="2690" spans="1:8" ht="15.75" thickBot="1" x14ac:dyDescent="0.3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>IF(ISNUMBER(SEARCH("#",B2690)), LEFT(B2690,FIND("#",B2690)-1), B2690)</f>
        <v xml:space="preserve">Boatyard Rowboat </v>
      </c>
      <c r="G2690" s="26">
        <f>IF(ISNUMBER(SEARCH("#",B2690)),VALUE(MID(B2690,FIND("#",B2690)+1,1000)),1)</f>
        <v>3</v>
      </c>
      <c r="H2690" t="str">
        <f>IF(AND(regexMatch(B2690,".*#[0-9]*$"),ISNUMBER(SEARCH("#",B2690))),CONCATENATE(TRIM(F2690)," #",G2690),B2690)</f>
        <v>Boatyard Rowboat #3</v>
      </c>
    </row>
    <row r="2691" spans="1:8" ht="15.75" thickBot="1" x14ac:dyDescent="0.3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>IF(ISNUMBER(SEARCH("#",B2691)), LEFT(B2691,FIND("#",B2691)-1), B2691)</f>
        <v>Boatyard Scaffolding Rack</v>
      </c>
      <c r="G2691" s="26">
        <f>IF(ISNUMBER(SEARCH("#",B2691)),VALUE(MID(B2691,FIND("#",B2691)+1,1000)),1)</f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.75" thickBot="1" x14ac:dyDescent="0.3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>IF(ISNUMBER(SEARCH("#",B2692)), LEFT(B2692,FIND("#",B2692)-1), B2692)</f>
        <v xml:space="preserve">Boatyard Sleeper </v>
      </c>
      <c r="G2692" s="26">
        <f>IF(ISNUMBER(SEARCH("#",B2692)),VALUE(MID(B2692,FIND("#",B2692)+1,1000)),1)</f>
        <v>1</v>
      </c>
      <c r="H2692" t="str">
        <f>IF(AND(regexMatch(B2692,".*#[0-9]*$"),ISNUMBER(SEARCH("#",B2692))),CONCATENATE(TRIM(F2692)," #",G2692),B2692)</f>
        <v>Boatyard Sleeper #1</v>
      </c>
    </row>
    <row r="2693" spans="1:8" ht="15.75" thickBot="1" x14ac:dyDescent="0.3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>IF(ISNUMBER(SEARCH("#",B2693)), LEFT(B2693,FIND("#",B2693)-1), B2693)</f>
        <v xml:space="preserve">Boatyard Sleeper </v>
      </c>
      <c r="G2693" s="26">
        <f>IF(ISNUMBER(SEARCH("#",B2693)),VALUE(MID(B2693,FIND("#",B2693)+1,1000)),1)</f>
        <v>2</v>
      </c>
      <c r="H2693" t="str">
        <f>IF(AND(regexMatch(B2693,".*#[0-9]*$"),ISNUMBER(SEARCH("#",B2693))),CONCATENATE(TRIM(F2693)," #",G2693),B2693)</f>
        <v>Boatyard Sleeper #2</v>
      </c>
    </row>
    <row r="2694" spans="1:8" ht="15.75" thickBot="1" x14ac:dyDescent="0.3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>IF(ISNUMBER(SEARCH("#",B2694)), LEFT(B2694,FIND("#",B2694)-1), B2694)</f>
        <v>Boatyard Work Table</v>
      </c>
      <c r="G2694" s="26">
        <f>IF(ISNUMBER(SEARCH("#",B2694)),VALUE(MID(B2694,FIND("#",B2694)+1,1000)),1)</f>
        <v>1</v>
      </c>
      <c r="H2694" t="str">
        <f>IF(AND(regexMatch(B2694,".*#[0-9]*$"),ISNUMBER(SEARCH("#",B2694))),CONCATENATE(TRIM(F2694)," #",G2694),B2694)</f>
        <v>Boatyard Work Table</v>
      </c>
    </row>
    <row r="2695" spans="1:8" ht="15.75" thickBot="1" x14ac:dyDescent="0.3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>IF(ISNUMBER(SEARCH("#",B2695)), LEFT(B2695,FIND("#",B2695)-1), B2695)</f>
        <v xml:space="preserve">Dock Buoy </v>
      </c>
      <c r="G2695" s="26">
        <f>IF(ISNUMBER(SEARCH("#",B2695)),VALUE(MID(B2695,FIND("#",B2695)+1,1000)),1)</f>
        <v>1</v>
      </c>
      <c r="H2695" t="str">
        <f>IF(AND(regexMatch(B2695,".*#[0-9]*$"),ISNUMBER(SEARCH("#",B2695))),CONCATENATE(TRIM(F2695)," #",G2695),B2695)</f>
        <v>Dock Buoy #1</v>
      </c>
    </row>
    <row r="2696" spans="1:8" ht="15.75" thickBot="1" x14ac:dyDescent="0.3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>IF(ISNUMBER(SEARCH("#",B2696)), LEFT(B2696,FIND("#",B2696)-1), B2696)</f>
        <v xml:space="preserve">Dock Buoy </v>
      </c>
      <c r="G2696" s="26">
        <f>IF(ISNUMBER(SEARCH("#",B2696)),VALUE(MID(B2696,FIND("#",B2696)+1,1000)),1)</f>
        <v>2</v>
      </c>
      <c r="H2696" t="str">
        <f>IF(AND(regexMatch(B2696,".*#[0-9]*$"),ISNUMBER(SEARCH("#",B2696))),CONCATENATE(TRIM(F2696)," #",G2696),B2696)</f>
        <v>Dock Buoy #2</v>
      </c>
    </row>
    <row r="2697" spans="1:8" ht="15.75" thickBot="1" x14ac:dyDescent="0.3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>IF(ISNUMBER(SEARCH("#",B2697)), LEFT(B2697,FIND("#",B2697)-1), B2697)</f>
        <v xml:space="preserve">Dock Buoy </v>
      </c>
      <c r="G2697" s="26">
        <f>IF(ISNUMBER(SEARCH("#",B2697)),VALUE(MID(B2697,FIND("#",B2697)+1,1000)),1)</f>
        <v>3</v>
      </c>
      <c r="H2697" t="str">
        <f>IF(AND(regexMatch(B2697,".*#[0-9]*$"),ISNUMBER(SEARCH("#",B2697))),CONCATENATE(TRIM(F2697)," #",G2697),B2697)</f>
        <v>Dock Buoy #3</v>
      </c>
    </row>
    <row r="2698" spans="1:8" ht="15.75" thickBot="1" x14ac:dyDescent="0.3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>IF(ISNUMBER(SEARCH("#",B2698)), LEFT(B2698,FIND("#",B2698)-1), B2698)</f>
        <v xml:space="preserve">Dock Buoy </v>
      </c>
      <c r="G2698" s="26">
        <f>IF(ISNUMBER(SEARCH("#",B2698)),VALUE(MID(B2698,FIND("#",B2698)+1,1000)),1)</f>
        <v>5</v>
      </c>
      <c r="H2698" t="str">
        <f>IF(AND(regexMatch(B2698,".*#[0-9]*$"),ISNUMBER(SEARCH("#",B2698))),CONCATENATE(TRIM(F2698)," #",G2698),B2698)</f>
        <v>Dock Buoy #5</v>
      </c>
    </row>
    <row r="2699" spans="1:8" ht="15.75" thickBot="1" x14ac:dyDescent="0.3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>IF(ISNUMBER(SEARCH("#",B2699)), LEFT(B2699,FIND("#",B2699)-1), B2699)</f>
        <v>Dock Container Lift</v>
      </c>
      <c r="G2699" s="26">
        <f>IF(ISNUMBER(SEARCH("#",B2699)),VALUE(MID(B2699,FIND("#",B2699)+1,1000)),1)</f>
        <v>1</v>
      </c>
      <c r="H2699" t="str">
        <f>IF(AND(regexMatch(B2699,".*#[0-9]*$"),ISNUMBER(SEARCH("#",B2699))),CONCATENATE(TRIM(F2699)," #",G2699),B2699)</f>
        <v>Dock Container Lift</v>
      </c>
    </row>
    <row r="2700" spans="1:8" ht="15.75" thickBot="1" x14ac:dyDescent="0.3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>IF(ISNUMBER(SEARCH("#",B2700)), LEFT(B2700,FIND("#",B2700)-1), B2700)</f>
        <v xml:space="preserve">Dock Crane Cab </v>
      </c>
      <c r="G2700" s="26">
        <f>IF(ISNUMBER(SEARCH("#",B2700)),VALUE(MID(B2700,FIND("#",B2700)+1,1000)),1)</f>
        <v>1</v>
      </c>
      <c r="H2700" t="str">
        <f>IF(AND(regexMatch(B2700,".*#[0-9]*$"),ISNUMBER(SEARCH("#",B2700))),CONCATENATE(TRIM(F2700)," #",G2700),B2700)</f>
        <v>Dock Crane Cab #1</v>
      </c>
    </row>
    <row r="2701" spans="1:8" ht="15.75" thickBot="1" x14ac:dyDescent="0.3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>IF(ISNUMBER(SEARCH("#",B2701)), LEFT(B2701,FIND("#",B2701)-1), B2701)</f>
        <v xml:space="preserve">Dock Crane Cab </v>
      </c>
      <c r="G2701" s="26">
        <f>IF(ISNUMBER(SEARCH("#",B2701)),VALUE(MID(B2701,FIND("#",B2701)+1,1000)),1)</f>
        <v>2</v>
      </c>
      <c r="H2701" t="str">
        <f>IF(AND(regexMatch(B2701,".*#[0-9]*$"),ISNUMBER(SEARCH("#",B2701))),CONCATENATE(TRIM(F2701)," #",G2701),B2701)</f>
        <v>Dock Crane Cab #2</v>
      </c>
    </row>
    <row r="2702" spans="1:8" ht="15.75" thickBot="1" x14ac:dyDescent="0.3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>IF(ISNUMBER(SEARCH("#",B2702)), LEFT(B2702,FIND("#",B2702)-1), B2702)</f>
        <v>Dock Crane Cable Loom</v>
      </c>
      <c r="G2702" s="26">
        <f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.75" thickBot="1" x14ac:dyDescent="0.3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>IF(ISNUMBER(SEARCH("#",B2703)), LEFT(B2703,FIND("#",B2703)-1), B2703)</f>
        <v>Dock Crane Cables</v>
      </c>
      <c r="G2703" s="26">
        <f>IF(ISNUMBER(SEARCH("#",B2703)),VALUE(MID(B2703,FIND("#",B2703)+1,1000)),1)</f>
        <v>1</v>
      </c>
      <c r="H2703" t="str">
        <f>IF(AND(regexMatch(B2703,".*#[0-9]*$"),ISNUMBER(SEARCH("#",B2703))),CONCATENATE(TRIM(F2703)," #",G2703),B2703)</f>
        <v>Dock Crane Cables</v>
      </c>
    </row>
    <row r="2704" spans="1:8" ht="15.75" thickBot="1" x14ac:dyDescent="0.3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>IF(ISNUMBER(SEARCH("#",B2704)), LEFT(B2704,FIND("#",B2704)-1), B2704)</f>
        <v xml:space="preserve">Dock Crane Central Section </v>
      </c>
      <c r="G2704" s="26">
        <f>IF(ISNUMBER(SEARCH("#",B2704)),VALUE(MID(B2704,FIND("#",B2704)+1,1000)),1)</f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.75" thickBot="1" x14ac:dyDescent="0.3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>IF(ISNUMBER(SEARCH("#",B2705)), LEFT(B2705,FIND("#",B2705)-1), B2705)</f>
        <v xml:space="preserve">Dock Crane Central Section </v>
      </c>
      <c r="G2705" s="26">
        <f>IF(ISNUMBER(SEARCH("#",B2705)),VALUE(MID(B2705,FIND("#",B2705)+1,1000)),1)</f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.75" thickBot="1" x14ac:dyDescent="0.3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>IF(ISNUMBER(SEARCH("#",B2706)), LEFT(B2706,FIND("#",B2706)-1), B2706)</f>
        <v>Dock Crane Hook</v>
      </c>
      <c r="G2706" s="26">
        <f>IF(ISNUMBER(SEARCH("#",B2706)),VALUE(MID(B2706,FIND("#",B2706)+1,1000)),1)</f>
        <v>1</v>
      </c>
      <c r="H2706" t="str">
        <f>IF(AND(regexMatch(B2706,".*#[0-9]*$"),ISNUMBER(SEARCH("#",B2706))),CONCATENATE(TRIM(F2706)," #",G2706),B2706)</f>
        <v>Dock Crane Hook</v>
      </c>
    </row>
    <row r="2707" spans="1:8" ht="15.75" thickBot="1" x14ac:dyDescent="0.3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>IF(ISNUMBER(SEARCH("#",B2707)), LEFT(B2707,FIND("#",B2707)-1), B2707)</f>
        <v>Dock Crane Lift</v>
      </c>
      <c r="G2707" s="26">
        <f>IF(ISNUMBER(SEARCH("#",B2707)),VALUE(MID(B2707,FIND("#",B2707)+1,1000)),1)</f>
        <v>1</v>
      </c>
      <c r="H2707" t="str">
        <f>IF(AND(regexMatch(B2707,".*#[0-9]*$"),ISNUMBER(SEARCH("#",B2707))),CONCATENATE(TRIM(F2707)," #",G2707),B2707)</f>
        <v>Dock Crane Lift</v>
      </c>
    </row>
    <row r="2708" spans="1:8" ht="15.75" thickBot="1" x14ac:dyDescent="0.3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>IF(ISNUMBER(SEARCH("#",B2708)), LEFT(B2708,FIND("#",B2708)-1), B2708)</f>
        <v>Dock Crane Tower</v>
      </c>
      <c r="G2708" s="26">
        <f>IF(ISNUMBER(SEARCH("#",B2708)),VALUE(MID(B2708,FIND("#",B2708)+1,1000)),1)</f>
        <v>1</v>
      </c>
      <c r="H2708" t="str">
        <f>IF(AND(regexMatch(B2708,".*#[0-9]*$"),ISNUMBER(SEARCH("#",B2708))),CONCATENATE(TRIM(F2708)," #",G2708),B2708)</f>
        <v>Dock Crane Tower</v>
      </c>
    </row>
    <row r="2709" spans="1:8" ht="15.75" thickBot="1" x14ac:dyDescent="0.3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>IF(ISNUMBER(SEARCH("#",B2709)), LEFT(B2709,FIND("#",B2709)-1), B2709)</f>
        <v>Dock Crane Wheel</v>
      </c>
      <c r="G2709" s="26">
        <f>IF(ISNUMBER(SEARCH("#",B2709)),VALUE(MID(B2709,FIND("#",B2709)+1,1000)),1)</f>
        <v>1</v>
      </c>
      <c r="H2709" t="str">
        <f>IF(AND(regexMatch(B2709,".*#[0-9]*$"),ISNUMBER(SEARCH("#",B2709))),CONCATENATE(TRIM(F2709)," #",G2709),B2709)</f>
        <v>Dock Crane Wheel</v>
      </c>
    </row>
    <row r="2710" spans="1:8" ht="15.75" thickBot="1" x14ac:dyDescent="0.3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>IF(ISNUMBER(SEARCH("#",B2710)), LEFT(B2710,FIND("#",B2710)-1), B2710)</f>
        <v xml:space="preserve">Dock Float </v>
      </c>
      <c r="G2710" s="26">
        <f>IF(ISNUMBER(SEARCH("#",B2710)),VALUE(MID(B2710,FIND("#",B2710)+1,1000)),1)</f>
        <v>1</v>
      </c>
      <c r="H2710" t="str">
        <f>IF(AND(regexMatch(B2710,".*#[0-9]*$"),ISNUMBER(SEARCH("#",B2710))),CONCATENATE(TRIM(F2710)," #",G2710),B2710)</f>
        <v>Dock Float #1</v>
      </c>
    </row>
    <row r="2711" spans="1:8" ht="15.75" thickBot="1" x14ac:dyDescent="0.3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>IF(ISNUMBER(SEARCH("#",B2711)), LEFT(B2711,FIND("#",B2711)-1), B2711)</f>
        <v xml:space="preserve">Dock Float </v>
      </c>
      <c r="G2711" s="26">
        <f>IF(ISNUMBER(SEARCH("#",B2711)),VALUE(MID(B2711,FIND("#",B2711)+1,1000)),1)</f>
        <v>2</v>
      </c>
      <c r="H2711" t="str">
        <f>IF(AND(regexMatch(B2711,".*#[0-9]*$"),ISNUMBER(SEARCH("#",B2711))),CONCATENATE(TRIM(F2711)," #",G2711),B2711)</f>
        <v>Dock Float #2</v>
      </c>
    </row>
    <row r="2712" spans="1:8" ht="15.75" thickBot="1" x14ac:dyDescent="0.3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>IF(ISNUMBER(SEARCH("#",B2712)), LEFT(B2712,FIND("#",B2712)-1), B2712)</f>
        <v xml:space="preserve">Kayak </v>
      </c>
      <c r="G2712" s="26">
        <f>IF(ISNUMBER(SEARCH("#",B2712)),VALUE(MID(B2712,FIND("#",B2712)+1,1000)),1)</f>
        <v>1</v>
      </c>
      <c r="H2712" t="str">
        <f>IF(AND(regexMatch(B2712,".*#[0-9]*$"),ISNUMBER(SEARCH("#",B2712))),CONCATENATE(TRIM(F2712)," #",G2712),B2712)</f>
        <v>Kayak #1</v>
      </c>
    </row>
    <row r="2713" spans="1:8" ht="15.75" thickBot="1" x14ac:dyDescent="0.3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>IF(ISNUMBER(SEARCH("#",B2713)), LEFT(B2713,FIND("#",B2713)-1), B2713)</f>
        <v xml:space="preserve">Kayak </v>
      </c>
      <c r="G2713" s="26">
        <f>IF(ISNUMBER(SEARCH("#",B2713)),VALUE(MID(B2713,FIND("#",B2713)+1,1000)),1)</f>
        <v>2</v>
      </c>
      <c r="H2713" t="str">
        <f>IF(AND(regexMatch(B2713,".*#[0-9]*$"),ISNUMBER(SEARCH("#",B2713))),CONCATENATE(TRIM(F2713)," #",G2713),B2713)</f>
        <v>Kayak #2</v>
      </c>
    </row>
    <row r="2714" spans="1:8" ht="15.75" thickBot="1" x14ac:dyDescent="0.3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>IF(ISNUMBER(SEARCH("#",B2714)), LEFT(B2714,FIND("#",B2714)-1), B2714)</f>
        <v>Scuba Hood</v>
      </c>
      <c r="G2714" s="26">
        <f>IF(ISNUMBER(SEARCH("#",B2714)),VALUE(MID(B2714,FIND("#",B2714)+1,1000)),1)</f>
        <v>1</v>
      </c>
      <c r="H2714" t="str">
        <f>IF(AND(regexMatch(B2714,".*#[0-9]*$"),ISNUMBER(SEARCH("#",B2714))),CONCATENATE(TRIM(F2714)," #",G2714),B2714)</f>
        <v>Scuba Hood</v>
      </c>
    </row>
    <row r="2715" spans="1:8" ht="15.75" thickBot="1" x14ac:dyDescent="0.3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>IF(ISNUMBER(SEARCH("#",B2715)), LEFT(B2715,FIND("#",B2715)-1), B2715)</f>
        <v xml:space="preserve">Scuba Mask </v>
      </c>
      <c r="G2715" s="26">
        <f>IF(ISNUMBER(SEARCH("#",B2715)),VALUE(MID(B2715,FIND("#",B2715)+1,1000)),1)</f>
        <v>1</v>
      </c>
      <c r="H2715" t="str">
        <f>IF(AND(regexMatch(B2715,".*#[0-9]*$"),ISNUMBER(SEARCH("#",B2715))),CONCATENATE(TRIM(F2715)," #",G2715),B2715)</f>
        <v>Scuba Mask #1</v>
      </c>
    </row>
    <row r="2716" spans="1:8" ht="15.75" thickBot="1" x14ac:dyDescent="0.3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>IF(ISNUMBER(SEARCH("#",B2716)), LEFT(B2716,FIND("#",B2716)-1), B2716)</f>
        <v xml:space="preserve">Scuba Mask </v>
      </c>
      <c r="G2716" s="26">
        <f>IF(ISNUMBER(SEARCH("#",B2716)),VALUE(MID(B2716,FIND("#",B2716)+1,1000)),1)</f>
        <v>2</v>
      </c>
      <c r="H2716" t="str">
        <f>IF(AND(regexMatch(B2716,".*#[0-9]*$"),ISNUMBER(SEARCH("#",B2716))),CONCATENATE(TRIM(F2716)," #",G2716),B2716)</f>
        <v>Scuba Mask #2</v>
      </c>
    </row>
    <row r="2717" spans="1:8" ht="15.75" thickBot="1" x14ac:dyDescent="0.3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>IF(ISNUMBER(SEARCH("#",B2717)), LEFT(B2717,FIND("#",B2717)-1), B2717)</f>
        <v xml:space="preserve">Scuba Mask </v>
      </c>
      <c r="G2717" s="26">
        <f>IF(ISNUMBER(SEARCH("#",B2717)),VALUE(MID(B2717,FIND("#",B2717)+1,1000)),1)</f>
        <v>3</v>
      </c>
      <c r="H2717" t="str">
        <f>IF(AND(regexMatch(B2717,".*#[0-9]*$"),ISNUMBER(SEARCH("#",B2717))),CONCATENATE(TRIM(F2717)," #",G2717),B2717)</f>
        <v>Scuba Mask #3</v>
      </c>
    </row>
    <row r="2718" spans="1:8" ht="15.75" thickBot="1" x14ac:dyDescent="0.3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>IF(ISNUMBER(SEARCH("#",B2718)), LEFT(B2718,FIND("#",B2718)-1), B2718)</f>
        <v xml:space="preserve">Scuba Tank </v>
      </c>
      <c r="G2718" s="26">
        <f>IF(ISNUMBER(SEARCH("#",B2718)),VALUE(MID(B2718,FIND("#",B2718)+1,1000)),1)</f>
        <v>1</v>
      </c>
      <c r="H2718" t="str">
        <f>IF(AND(regexMatch(B2718,".*#[0-9]*$"),ISNUMBER(SEARCH("#",B2718))),CONCATENATE(TRIM(F2718)," #",G2718),B2718)</f>
        <v>Scuba Tank #1</v>
      </c>
    </row>
    <row r="2719" spans="1:8" ht="15.75" thickBot="1" x14ac:dyDescent="0.3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>IF(ISNUMBER(SEARCH("#",B2719)), LEFT(B2719,FIND("#",B2719)-1), B2719)</f>
        <v xml:space="preserve">Scuba Tank </v>
      </c>
      <c r="G2719" s="26">
        <f>IF(ISNUMBER(SEARCH("#",B2719)),VALUE(MID(B2719,FIND("#",B2719)+1,1000)),1)</f>
        <v>2</v>
      </c>
      <c r="H2719" s="9" t="str">
        <f>IF(AND(regexMatch(B2719,".*#[0-9]*$"),ISNUMBER(SEARCH("#",B2719))),CONCATENATE(TRIM(F2719)," #",G2719),B2719)</f>
        <v>Scuba Tank #2</v>
      </c>
    </row>
    <row r="2720" spans="1:8" ht="15.75" thickBot="1" x14ac:dyDescent="0.3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>IF(ISNUMBER(SEARCH("#",B2720)), LEFT(B2720,FIND("#",B2720)-1), B2720)</f>
        <v xml:space="preserve">Scuba Tank </v>
      </c>
      <c r="G2720" s="26">
        <f>IF(ISNUMBER(SEARCH("#",B2720)),VALUE(MID(B2720,FIND("#",B2720)+1,1000)),1)</f>
        <v>3</v>
      </c>
      <c r="H2720" s="9" t="str">
        <f>IF(AND(regexMatch(B2720,".*#[0-9]*$"),ISNUMBER(SEARCH("#",B2720))),CONCATENATE(TRIM(F2720)," #",G2720),B2720)</f>
        <v>Scuba Tank #3</v>
      </c>
    </row>
    <row r="2721" spans="1:8" ht="15.75" thickBot="1" x14ac:dyDescent="0.3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>IF(ISNUMBER(SEARCH("#",B2721)), LEFT(B2721,FIND("#",B2721)-1), B2721)</f>
        <v>Ship Mast</v>
      </c>
      <c r="G2721" s="26">
        <f>IF(ISNUMBER(SEARCH("#",B2721)),VALUE(MID(B2721,FIND("#",B2721)+1,1000)),1)</f>
        <v>1</v>
      </c>
      <c r="H2721" t="str">
        <f>IF(AND(regexMatch(B2721,".*#[0-9]*$"),ISNUMBER(SEARCH("#",B2721))),CONCATENATE(TRIM(F2721)," #",G2721),B2721)</f>
        <v>Ship Mast</v>
      </c>
    </row>
    <row r="2722" spans="1:8" ht="15.75" thickBot="1" x14ac:dyDescent="0.3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>IF(ISNUMBER(SEARCH("#",B2722)), LEFT(B2722,FIND("#",B2722)-1), B2722)</f>
        <v>Ship Propeller</v>
      </c>
      <c r="G2722" s="26">
        <f>IF(ISNUMBER(SEARCH("#",B2722)),VALUE(MID(B2722,FIND("#",B2722)+1,1000)),1)</f>
        <v>1</v>
      </c>
      <c r="H2722" t="str">
        <f>IF(AND(regexMatch(B2722,".*#[0-9]*$"),ISNUMBER(SEARCH("#",B2722))),CONCATENATE(TRIM(F2722)," #",G2722),B2722)</f>
        <v>Ship Propeller</v>
      </c>
    </row>
    <row r="2723" spans="1:8" ht="15.75" thickBot="1" x14ac:dyDescent="0.3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>IF(ISNUMBER(SEARCH("#",B2723)), LEFT(B2723,FIND("#",B2723)-1), B2723)</f>
        <v>Ship Propeller Surround</v>
      </c>
      <c r="G2723" s="26">
        <f>IF(ISNUMBER(SEARCH("#",B2723)),VALUE(MID(B2723,FIND("#",B2723)+1,1000)),1)</f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.75" thickBot="1" x14ac:dyDescent="0.3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>IF(ISNUMBER(SEARCH("#",B2724)), LEFT(B2724,FIND("#",B2724)-1), B2724)</f>
        <v>Ship's Mast</v>
      </c>
      <c r="G2724" s="26">
        <f>IF(ISNUMBER(SEARCH("#",B2724)),VALUE(MID(B2724,FIND("#",B2724)+1,1000)),1)</f>
        <v>1</v>
      </c>
      <c r="H2724" t="str">
        <f>IF(AND(regexMatch(B2724,".*#[0-9]*$"),ISNUMBER(SEARCH("#",B2724))),CONCATENATE(TRIM(F2724)," #",G2724),B2724)</f>
        <v>Ship's Mast</v>
      </c>
    </row>
    <row r="2725" spans="1:8" ht="15.75" thickBot="1" x14ac:dyDescent="0.3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>IF(ISNUMBER(SEARCH("#",B2725)), LEFT(B2725,FIND("#",B2725)-1), B2725)</f>
        <v>Submarine Chunk</v>
      </c>
      <c r="G2725" s="26">
        <f>IF(ISNUMBER(SEARCH("#",B2725)),VALUE(MID(B2725,FIND("#",B2725)+1,1000)),1)</f>
        <v>1</v>
      </c>
      <c r="H2725" t="str">
        <f>IF(AND(regexMatch(B2725,".*#[0-9]*$"),ISNUMBER(SEARCH("#",B2725))),CONCATENATE(TRIM(F2725)," #",G2725),B2725)</f>
        <v>Submarine Chunk</v>
      </c>
    </row>
    <row r="2726" spans="1:8" ht="15.75" thickBot="1" x14ac:dyDescent="0.3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>IF(ISNUMBER(SEARCH("#",B2726)), LEFT(B2726,FIND("#",B2726)-1), B2726)</f>
        <v>Submarine Cover</v>
      </c>
      <c r="G2726" s="26">
        <f>IF(ISNUMBER(SEARCH("#",B2726)),VALUE(MID(B2726,FIND("#",B2726)+1,1000)),1)</f>
        <v>1</v>
      </c>
      <c r="H2726" t="str">
        <f>IF(AND(regexMatch(B2726,".*#[0-9]*$"),ISNUMBER(SEARCH("#",B2726))),CONCATENATE(TRIM(F2726)," #",G2726),B2726)</f>
        <v>Submarine Cover</v>
      </c>
    </row>
    <row r="2727" spans="1:8" ht="15.75" thickBot="1" x14ac:dyDescent="0.3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>IF(ISNUMBER(SEARCH("#",B2727)), LEFT(B2727,FIND("#",B2727)-1), B2727)</f>
        <v>Submarine Crane Controls</v>
      </c>
      <c r="G2727" s="26">
        <f>IF(ISNUMBER(SEARCH("#",B2727)),VALUE(MID(B2727,FIND("#",B2727)+1,1000)),1)</f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.75" thickBot="1" x14ac:dyDescent="0.3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>IF(ISNUMBER(SEARCH("#",B2728)), LEFT(B2728,FIND("#",B2728)-1), B2728)</f>
        <v>Submarine Crane Gantry</v>
      </c>
      <c r="G2728" s="26">
        <f>IF(ISNUMBER(SEARCH("#",B2728)),VALUE(MID(B2728,FIND("#",B2728)+1,1000)),1)</f>
        <v>1</v>
      </c>
      <c r="H2728" t="str">
        <f>IF(AND(regexMatch(B2728,".*#[0-9]*$"),ISNUMBER(SEARCH("#",B2728))),CONCATENATE(TRIM(F2728)," #",G2728),B2728)</f>
        <v>Submarine Crane Gantry</v>
      </c>
    </row>
    <row r="2729" spans="1:8" ht="15.75" thickBot="1" x14ac:dyDescent="0.3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>IF(ISNUMBER(SEARCH("#",B2729)), LEFT(B2729,FIND("#",B2729)-1), B2729)</f>
        <v>Submarine Crane Hook</v>
      </c>
      <c r="G2729" s="26">
        <f>IF(ISNUMBER(SEARCH("#",B2729)),VALUE(MID(B2729,FIND("#",B2729)+1,1000)),1)</f>
        <v>1</v>
      </c>
      <c r="H2729" t="str">
        <f>IF(AND(regexMatch(B2729,".*#[0-9]*$"),ISNUMBER(SEARCH("#",B2729))),CONCATENATE(TRIM(F2729)," #",G2729),B2729)</f>
        <v>Submarine Crane Hook</v>
      </c>
    </row>
    <row r="2730" spans="1:8" ht="15.75" thickBot="1" x14ac:dyDescent="0.3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>IF(ISNUMBER(SEARCH("#",B2730)), LEFT(B2730,FIND("#",B2730)-1), B2730)</f>
        <v>Submarine Hook</v>
      </c>
      <c r="G2730" s="26">
        <f>IF(ISNUMBER(SEARCH("#",B2730)),VALUE(MID(B2730,FIND("#",B2730)+1,1000)),1)</f>
        <v>1</v>
      </c>
      <c r="H2730" t="str">
        <f>IF(AND(regexMatch(B2730,".*#[0-9]*$"),ISNUMBER(SEARCH("#",B2730))),CONCATENATE(TRIM(F2730)," #",G2730),B2730)</f>
        <v>Submarine Hook</v>
      </c>
    </row>
    <row r="2731" spans="1:8" ht="15.75" thickBot="1" x14ac:dyDescent="0.3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>IF(ISNUMBER(SEARCH("#",B2731)), LEFT(B2731,FIND("#",B2731)-1), B2731)</f>
        <v>Submarine Lifting Rope</v>
      </c>
      <c r="G2731" s="26">
        <f>IF(ISNUMBER(SEARCH("#",B2731)),VALUE(MID(B2731,FIND("#",B2731)+1,1000)),1)</f>
        <v>1</v>
      </c>
      <c r="H2731" t="str">
        <f>IF(AND(regexMatch(B2731,".*#[0-9]*$"),ISNUMBER(SEARCH("#",B2731))),CONCATENATE(TRIM(F2731)," #",G2731),B2731)</f>
        <v>Submarine Lifting Rope</v>
      </c>
    </row>
    <row r="2732" spans="1:8" ht="15.75" thickBot="1" x14ac:dyDescent="0.3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>IF(ISNUMBER(SEARCH("#",B2732)), LEFT(B2732,FIND("#",B2732)-1), B2732)</f>
        <v>Aircraft Bomb</v>
      </c>
      <c r="G2732" s="26">
        <f>IF(ISNUMBER(SEARCH("#",B2732)),VALUE(MID(B2732,FIND("#",B2732)+1,1000)),1)</f>
        <v>1</v>
      </c>
      <c r="H2732" t="str">
        <f>IF(AND(regexMatch(B2732,".*#[0-9]*$"),ISNUMBER(SEARCH("#",B2732))),CONCATENATE(TRIM(F2732)," #",G2732),B2732)</f>
        <v>Aircraft Bomb</v>
      </c>
    </row>
    <row r="2733" spans="1:8" ht="15.75" thickBot="1" x14ac:dyDescent="0.3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>IF(ISNUMBER(SEARCH("#",B2733)), LEFT(B2733,FIND("#",B2733)-1), B2733)</f>
        <v>Aircraft Bomb Animated</v>
      </c>
      <c r="G2733" s="26">
        <f>IF(ISNUMBER(SEARCH("#",B2733)),VALUE(MID(B2733,FIND("#",B2733)+1,1000)),1)</f>
        <v>1</v>
      </c>
      <c r="H2733" t="str">
        <f>IF(AND(regexMatch(B2733,".*#[0-9]*$"),ISNUMBER(SEARCH("#",B2733))),CONCATENATE(TRIM(F2733)," #",G2733),B2733)</f>
        <v>Aircraft Bomb Animated</v>
      </c>
    </row>
    <row r="2734" spans="1:8" ht="15.75" thickBot="1" x14ac:dyDescent="0.3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>IF(ISNUMBER(SEARCH("#",B2734)), LEFT(B2734,FIND("#",B2734)-1), B2734)</f>
        <v>Aircraft Bomb Open</v>
      </c>
      <c r="G2734" s="26">
        <f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.75" thickBot="1" x14ac:dyDescent="0.3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>IF(ISNUMBER(SEARCH("#",B2735)), LEFT(B2735,FIND("#",B2735)-1), B2735)</f>
        <v>Cargo Parachute</v>
      </c>
      <c r="G2735" s="26">
        <f>IF(ISNUMBER(SEARCH("#",B2735)),VALUE(MID(B2735,FIND("#",B2735)+1,1000)),1)</f>
        <v>1</v>
      </c>
      <c r="H2735" t="str">
        <f>IF(AND(regexMatch(B2735,".*#[0-9]*$"),ISNUMBER(SEARCH("#",B2735))),CONCATENATE(TRIM(F2735)," #",G2735),B2735)</f>
        <v>Cargo Parachute</v>
      </c>
    </row>
    <row r="2736" spans="1:8" ht="15.75" thickBot="1" x14ac:dyDescent="0.3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>IF(ISNUMBER(SEARCH("#",B2736)), LEFT(B2736,FIND("#",B2736)-1), B2736)</f>
        <v xml:space="preserve">Military Base Cargo </v>
      </c>
      <c r="G2736" s="26">
        <f>IF(ISNUMBER(SEARCH("#",B2736)),VALUE(MID(B2736,FIND("#",B2736)+1,1000)),1)</f>
        <v>1</v>
      </c>
      <c r="H2736" t="str">
        <f>IF(AND(regexMatch(B2736,".*#[0-9]*$"),ISNUMBER(SEARCH("#",B2736))),CONCATENATE(TRIM(F2736)," #",G2736),B2736)</f>
        <v>Military Base Cargo #1</v>
      </c>
    </row>
    <row r="2737" spans="1:8" ht="15.75" thickBot="1" x14ac:dyDescent="0.3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>IF(ISNUMBER(SEARCH("#",B2737)), LEFT(B2737,FIND("#",B2737)-1), B2737)</f>
        <v xml:space="preserve">Military Base Cargo </v>
      </c>
      <c r="G2737" s="26">
        <f>IF(ISNUMBER(SEARCH("#",B2737)),VALUE(MID(B2737,FIND("#",B2737)+1,1000)),1)</f>
        <v>2</v>
      </c>
      <c r="H2737" t="str">
        <f>IF(AND(regexMatch(B2737,".*#[0-9]*$"),ISNUMBER(SEARCH("#",B2737))),CONCATENATE(TRIM(F2737)," #",G2737),B2737)</f>
        <v>Military Base Cargo #2</v>
      </c>
    </row>
    <row r="2738" spans="1:8" ht="15.75" thickBot="1" x14ac:dyDescent="0.3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>IF(ISNUMBER(SEARCH("#",B2738)), LEFT(B2738,FIND("#",B2738)-1), B2738)</f>
        <v xml:space="preserve">Military Base Cargo </v>
      </c>
      <c r="G2738" s="26">
        <f>IF(ISNUMBER(SEARCH("#",B2738)),VALUE(MID(B2738,FIND("#",B2738)+1,1000)),1)</f>
        <v>3</v>
      </c>
      <c r="H2738" t="str">
        <f>IF(AND(regexMatch(B2738,".*#[0-9]*$"),ISNUMBER(SEARCH("#",B2738))),CONCATENATE(TRIM(F2738)," #",G2738),B2738)</f>
        <v>Military Base Cargo #3</v>
      </c>
    </row>
    <row r="2739" spans="1:8" ht="15.75" thickBot="1" x14ac:dyDescent="0.3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>IF(ISNUMBER(SEARCH("#",B2739)), LEFT(B2739,FIND("#",B2739)-1), B2739)</f>
        <v xml:space="preserve">Military Base Cargo </v>
      </c>
      <c r="G2739" s="26">
        <f>IF(ISNUMBER(SEARCH("#",B2739)),VALUE(MID(B2739,FIND("#",B2739)+1,1000)),1)</f>
        <v>4</v>
      </c>
      <c r="H2739" t="str">
        <f>IF(AND(regexMatch(B2739,".*#[0-9]*$"),ISNUMBER(SEARCH("#",B2739))),CONCATENATE(TRIM(F2739)," #",G2739),B2739)</f>
        <v>Military Base Cargo #4</v>
      </c>
    </row>
    <row r="2740" spans="1:8" ht="15.75" thickBot="1" x14ac:dyDescent="0.3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>IF(ISNUMBER(SEARCH("#",B2740)), LEFT(B2740,FIND("#",B2740)-1), B2740)</f>
        <v xml:space="preserve">Military Base Crate </v>
      </c>
      <c r="G2740" s="26">
        <f>IF(ISNUMBER(SEARCH("#",B2740)),VALUE(MID(B2740,FIND("#",B2740)+1,1000)),1)</f>
        <v>1</v>
      </c>
      <c r="H2740" t="str">
        <f>IF(AND(regexMatch(B2740,".*#[0-9]*$"),ISNUMBER(SEARCH("#",B2740))),CONCATENATE(TRIM(F2740)," #",G2740),B2740)</f>
        <v>Military Base Crate #1</v>
      </c>
    </row>
    <row r="2741" spans="1:8" ht="15.75" thickBot="1" x14ac:dyDescent="0.3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>IF(ISNUMBER(SEARCH("#",B2741)), LEFT(B2741,FIND("#",B2741)-1), B2741)</f>
        <v xml:space="preserve">Military Base Crate </v>
      </c>
      <c r="G2741" s="26">
        <f>IF(ISNUMBER(SEARCH("#",B2741)),VALUE(MID(B2741,FIND("#",B2741)+1,1000)),1)</f>
        <v>2</v>
      </c>
      <c r="H2741" t="str">
        <f>IF(AND(regexMatch(B2741,".*#[0-9]*$"),ISNUMBER(SEARCH("#",B2741))),CONCATENATE(TRIM(F2741)," #",G2741),B2741)</f>
        <v>Military Base Crate #2</v>
      </c>
    </row>
    <row r="2742" spans="1:8" ht="15.75" thickBot="1" x14ac:dyDescent="0.3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>IF(ISNUMBER(SEARCH("#",B2742)), LEFT(B2742,FIND("#",B2742)-1), B2742)</f>
        <v>Military Base Crate Set</v>
      </c>
      <c r="G2742" s="26">
        <f>IF(ISNUMBER(SEARCH("#",B2742)),VALUE(MID(B2742,FIND("#",B2742)+1,1000)),1)</f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.75" thickBot="1" x14ac:dyDescent="0.3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>IF(ISNUMBER(SEARCH("#",B2743)), LEFT(B2743,FIND("#",B2743)-1), B2743)</f>
        <v>Military Base Hesco</v>
      </c>
      <c r="G2743" s="26">
        <f>IF(ISNUMBER(SEARCH("#",B2743)),VALUE(MID(B2743,FIND("#",B2743)+1,1000)),1)</f>
        <v>1</v>
      </c>
      <c r="H2743" t="str">
        <f>IF(AND(regexMatch(B2743,".*#[0-9]*$"),ISNUMBER(SEARCH("#",B2743))),CONCATENATE(TRIM(F2743)," #",G2743),B2743)</f>
        <v>Military Base Hesco</v>
      </c>
    </row>
    <row r="2744" spans="1:8" ht="15.75" thickBot="1" x14ac:dyDescent="0.3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>IF(ISNUMBER(SEARCH("#",B2744)), LEFT(B2744,FIND("#",B2744)-1), B2744)</f>
        <v>Military Base Ordnance</v>
      </c>
      <c r="G2744" s="26">
        <f>IF(ISNUMBER(SEARCH("#",B2744)),VALUE(MID(B2744,FIND("#",B2744)+1,1000)),1)</f>
        <v>1</v>
      </c>
      <c r="H2744" t="str">
        <f>IF(AND(regexMatch(B2744,".*#[0-9]*$"),ISNUMBER(SEARCH("#",B2744))),CONCATENATE(TRIM(F2744)," #",G2744),B2744)</f>
        <v>Military Base Ordnance</v>
      </c>
    </row>
    <row r="2745" spans="1:8" ht="15.75" thickBot="1" x14ac:dyDescent="0.3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>IF(ISNUMBER(SEARCH("#",B2745)), LEFT(B2745,FIND("#",B2745)-1), B2745)</f>
        <v xml:space="preserve">Military Base Sandblock </v>
      </c>
      <c r="G2745" s="26">
        <f>IF(ISNUMBER(SEARCH("#",B2745)),VALUE(MID(B2745,FIND("#",B2745)+1,1000)),1)</f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.75" thickBot="1" x14ac:dyDescent="0.3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>IF(ISNUMBER(SEARCH("#",B2746)), LEFT(B2746,FIND("#",B2746)-1), B2746)</f>
        <v xml:space="preserve">Military Base Sandblock </v>
      </c>
      <c r="G2746" s="26">
        <f>IF(ISNUMBER(SEARCH("#",B2746)),VALUE(MID(B2746,FIND("#",B2746)+1,1000)),1)</f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.75" thickBot="1" x14ac:dyDescent="0.3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>IF(ISNUMBER(SEARCH("#",B2747)), LEFT(B2747,FIND("#",B2747)-1), B2747)</f>
        <v xml:space="preserve">Military Base Sandblock </v>
      </c>
      <c r="G2747" s="26">
        <f>IF(ISNUMBER(SEARCH("#",B2747)),VALUE(MID(B2747,FIND("#",B2747)+1,1000)),1)</f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.75" thickBot="1" x14ac:dyDescent="0.3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>IF(ISNUMBER(SEARCH("#",B2748)), LEFT(B2748,FIND("#",B2748)-1), B2748)</f>
        <v xml:space="preserve">Military Base Sandblock </v>
      </c>
      <c r="G2748" s="26">
        <f>IF(ISNUMBER(SEARCH("#",B2748)),VALUE(MID(B2748,FIND("#",B2748)+1,1000)),1)</f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.75" thickBot="1" x14ac:dyDescent="0.3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>IF(ISNUMBER(SEARCH("#",B2749)), LEFT(B2749,FIND("#",B2749)-1), B2749)</f>
        <v xml:space="preserve">Military Base Sandblock </v>
      </c>
      <c r="G2749" s="26">
        <f>IF(ISNUMBER(SEARCH("#",B2749)),VALUE(MID(B2749,FIND("#",B2749)+1,1000)),1)</f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.75" thickBot="1" x14ac:dyDescent="0.3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>IF(ISNUMBER(SEARCH("#",B2750)), LEFT(B2750,FIND("#",B2750)-1), B2750)</f>
        <v xml:space="preserve">Military Crate </v>
      </c>
      <c r="G2750" s="26">
        <f>IF(ISNUMBER(SEARCH("#",B2750)),VALUE(MID(B2750,FIND("#",B2750)+1,1000)),1)</f>
        <v>1</v>
      </c>
      <c r="H2750" t="str">
        <f>IF(AND(regexMatch(B2750,".*#[0-9]*$"),ISNUMBER(SEARCH("#",B2750))),CONCATENATE(TRIM(F2750)," #",G2750),B2750)</f>
        <v>Military Crate #1</v>
      </c>
    </row>
    <row r="2751" spans="1:8" ht="15.75" thickBot="1" x14ac:dyDescent="0.3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>IF(ISNUMBER(SEARCH("#",B2751)), LEFT(B2751,FIND("#",B2751)-1), B2751)</f>
        <v xml:space="preserve">Military Crate </v>
      </c>
      <c r="G2751" s="26">
        <f>IF(ISNUMBER(SEARCH("#",B2751)),VALUE(MID(B2751,FIND("#",B2751)+1,1000)),1)</f>
        <v>2</v>
      </c>
      <c r="H2751" t="str">
        <f>IF(AND(regexMatch(B2751,".*#[0-9]*$"),ISNUMBER(SEARCH("#",B2751))),CONCATENATE(TRIM(F2751)," #",G2751),B2751)</f>
        <v>Military Crate #2</v>
      </c>
    </row>
    <row r="2752" spans="1:8" ht="15.75" thickBot="1" x14ac:dyDescent="0.3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>IF(ISNUMBER(SEARCH("#",B2752)), LEFT(B2752,FIND("#",B2752)-1), B2752)</f>
        <v>Military Mystery Weapon</v>
      </c>
      <c r="G2752" s="26">
        <f>IF(ISNUMBER(SEARCH("#",B2752)),VALUE(MID(B2752,FIND("#",B2752)+1,1000)),1)</f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.75" thickBot="1" x14ac:dyDescent="0.3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>IF(ISNUMBER(SEARCH("#",B2753)), LEFT(B2753,FIND("#",B2753)-1), B2753)</f>
        <v>Missiles On Trolley</v>
      </c>
      <c r="G2753" s="26">
        <f>IF(ISNUMBER(SEARCH("#",B2753)),VALUE(MID(B2753,FIND("#",B2753)+1,1000)),1)</f>
        <v>1</v>
      </c>
      <c r="H2753" t="str">
        <f>IF(AND(regexMatch(B2753,".*#[0-9]*$"),ISNUMBER(SEARCH("#",B2753))),CONCATENATE(TRIM(F2753)," #",G2753),B2753)</f>
        <v>Missiles On Trolley</v>
      </c>
    </row>
    <row r="2754" spans="1:8" ht="15.75" thickBot="1" x14ac:dyDescent="0.3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>IF(ISNUMBER(SEARCH("#",B2754)), LEFT(B2754,FIND("#",B2754)-1), B2754)</f>
        <v>Placeholder Aircraft Carrier</v>
      </c>
      <c r="G2754" s="26">
        <f>IF(ISNUMBER(SEARCH("#",B2754)),VALUE(MID(B2754,FIND("#",B2754)+1,1000)),1)</f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.75" thickBot="1" x14ac:dyDescent="0.3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>IF(ISNUMBER(SEARCH("#",B2755)), LEFT(B2755,FIND("#",B2755)-1), B2755)</f>
        <v>Secret Weapon Crate</v>
      </c>
      <c r="G2755" s="26">
        <f>IF(ISNUMBER(SEARCH("#",B2755)),VALUE(MID(B2755,FIND("#",B2755)+1,1000)),1)</f>
        <v>1</v>
      </c>
      <c r="H2755" t="str">
        <f>IF(AND(regexMatch(B2755,".*#[0-9]*$"),ISNUMBER(SEARCH("#",B2755))),CONCATENATE(TRIM(F2755)," #",G2755),B2755)</f>
        <v>Secret Weapon Crate</v>
      </c>
    </row>
    <row r="2756" spans="1:8" ht="15.75" thickBot="1" x14ac:dyDescent="0.3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>IF(ISNUMBER(SEARCH("#",B2756)), LEFT(B2756,FIND("#",B2756)-1), B2756)</f>
        <v>Surface To Air Missile</v>
      </c>
      <c r="G2756" s="26">
        <f>IF(ISNUMBER(SEARCH("#",B2756)),VALUE(MID(B2756,FIND("#",B2756)+1,1000)),1)</f>
        <v>1</v>
      </c>
      <c r="H2756" t="str">
        <f>IF(AND(regexMatch(B2756,".*#[0-9]*$"),ISNUMBER(SEARCH("#",B2756))),CONCATENATE(TRIM(F2756)," #",G2756),B2756)</f>
        <v>Surface To Air Missile</v>
      </c>
    </row>
    <row r="2757" spans="1:8" ht="15.75" thickBot="1" x14ac:dyDescent="0.3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>IF(ISNUMBER(SEARCH("#",B2757)), LEFT(B2757,FIND("#",B2757)-1), B2757)</f>
        <v>Artifact</v>
      </c>
      <c r="G2757" s="26">
        <f>IF(ISNUMBER(SEARCH("#",B2757)),VALUE(MID(B2757,FIND("#",B2757)+1,1000)),1)</f>
        <v>1</v>
      </c>
      <c r="H2757" t="str">
        <f>IF(AND(regexMatch(B2757,".*#[0-9]*$"),ISNUMBER(SEARCH("#",B2757))),CONCATENATE(TRIM(F2757)," #",G2757),B2757)</f>
        <v>Artifact</v>
      </c>
    </row>
    <row r="2758" spans="1:8" ht="15.75" thickBot="1" x14ac:dyDescent="0.3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>IF(ISNUMBER(SEARCH("#",B2758)), LEFT(B2758,FIND("#",B2758)-1), B2758)</f>
        <v>Bed</v>
      </c>
      <c r="G2758" s="26">
        <f>IF(ISNUMBER(SEARCH("#",B2758)),VALUE(MID(B2758,FIND("#",B2758)+1,1000)),1)</f>
        <v>1</v>
      </c>
      <c r="H2758" t="str">
        <f>IF(AND(regexMatch(B2758,".*#[0-9]*$"),ISNUMBER(SEARCH("#",B2758))),CONCATENATE(TRIM(F2758)," #",G2758),B2758)</f>
        <v>Bed</v>
      </c>
    </row>
    <row r="2759" spans="1:8" ht="15.75" thickBot="1" x14ac:dyDescent="0.3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>IF(ISNUMBER(SEARCH("#",B2759)), LEFT(B2759,FIND("#",B2759)-1), B2759)</f>
        <v xml:space="preserve">Big Shit </v>
      </c>
      <c r="G2759" s="26">
        <f>IF(ISNUMBER(SEARCH("#",B2759)),VALUE(MID(B2759,FIND("#",B2759)+1,1000)),1)</f>
        <v>1</v>
      </c>
      <c r="H2759" t="str">
        <f>IF(AND(regexMatch(B2759,".*#[0-9]*$"),ISNUMBER(SEARCH("#",B2759))),CONCATENATE(TRIM(F2759)," #",G2759),B2759)</f>
        <v>Big Shit #1</v>
      </c>
    </row>
    <row r="2760" spans="1:8" ht="15.75" thickBot="1" x14ac:dyDescent="0.3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>IF(ISNUMBER(SEARCH("#",B2760)), LEFT(B2760,FIND("#",B2760)-1), B2760)</f>
        <v xml:space="preserve">Big Shit </v>
      </c>
      <c r="G2760" s="26">
        <f>IF(ISNUMBER(SEARCH("#",B2760)),VALUE(MID(B2760,FIND("#",B2760)+1,1000)),1)</f>
        <v>2</v>
      </c>
      <c r="H2760" t="str">
        <f>IF(AND(regexMatch(B2760,".*#[0-9]*$"),ISNUMBER(SEARCH("#",B2760))),CONCATENATE(TRIM(F2760)," #",G2760),B2760)</f>
        <v>Big Shit #2</v>
      </c>
    </row>
    <row r="2761" spans="1:8" ht="15.75" thickBot="1" x14ac:dyDescent="0.3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>IF(ISNUMBER(SEARCH("#",B2761)), LEFT(B2761,FIND("#",B2761)-1), B2761)</f>
        <v>Blood Pool</v>
      </c>
      <c r="G2761" s="26">
        <f>IF(ISNUMBER(SEARCH("#",B2761)),VALUE(MID(B2761,FIND("#",B2761)+1,1000)),1)</f>
        <v>1</v>
      </c>
      <c r="H2761" t="str">
        <f>IF(AND(regexMatch(B2761,".*#[0-9]*$"),ISNUMBER(SEARCH("#",B2761))),CONCATENATE(TRIM(F2761)," #",G2761),B2761)</f>
        <v>Blood Pool</v>
      </c>
    </row>
    <row r="2762" spans="1:8" ht="15.75" thickBot="1" x14ac:dyDescent="0.3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>IF(ISNUMBER(SEARCH("#",B2762)), LEFT(B2762,FIND("#",B2762)-1), B2762)</f>
        <v>Book: Novel</v>
      </c>
      <c r="G2762" s="26">
        <f>IF(ISNUMBER(SEARCH("#",B2762)),VALUE(MID(B2762,FIND("#",B2762)+1,1000)),1)</f>
        <v>1</v>
      </c>
      <c r="H2762" t="str">
        <f>IF(AND(regexMatch(B2762,".*#[0-9]*$"),ISNUMBER(SEARCH("#",B2762))),CONCATENATE(TRIM(F2762)," #",G2762),B2762)</f>
        <v>Book: Novel</v>
      </c>
    </row>
    <row r="2763" spans="1:8" ht="15.75" thickBot="1" x14ac:dyDescent="0.3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>IF(ISNUMBER(SEARCH("#",B2763)), LEFT(B2763,FIND("#",B2763)-1), B2763)</f>
        <v>Book: Self Esteem</v>
      </c>
      <c r="G2763" s="26">
        <f>IF(ISNUMBER(SEARCH("#",B2763)),VALUE(MID(B2763,FIND("#",B2763)+1,1000)),1)</f>
        <v>1</v>
      </c>
      <c r="H2763" t="str">
        <f>IF(AND(regexMatch(B2763,".*#[0-9]*$"),ISNUMBER(SEARCH("#",B2763))),CONCATENATE(TRIM(F2763)," #",G2763),B2763)</f>
        <v>Book: Self Esteem</v>
      </c>
    </row>
    <row r="2764" spans="1:8" ht="15.75" thickBot="1" x14ac:dyDescent="0.3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>IF(ISNUMBER(SEARCH("#",B2764)), LEFT(B2764,FIND("#",B2764)-1), B2764)</f>
        <v>Book: Stockmarket Crash</v>
      </c>
      <c r="G2764" s="26">
        <f>IF(ISNUMBER(SEARCH("#",B2764)),VALUE(MID(B2764,FIND("#",B2764)+1,1000)),1)</f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.75" thickBot="1" x14ac:dyDescent="0.3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>IF(ISNUMBER(SEARCH("#",B2765)), LEFT(B2765,FIND("#",B2765)-1), B2765)</f>
        <v>Brain Chunk</v>
      </c>
      <c r="G2765" s="26">
        <f>IF(ISNUMBER(SEARCH("#",B2765)),VALUE(MID(B2765,FIND("#",B2765)+1,1000)),1)</f>
        <v>1</v>
      </c>
      <c r="H2765" t="str">
        <f>IF(AND(regexMatch(B2765,".*#[0-9]*$"),ISNUMBER(SEARCH("#",B2765))),CONCATENATE(TRIM(F2765)," #",G2765),B2765)</f>
        <v>Brain Chunk</v>
      </c>
    </row>
    <row r="2766" spans="1:8" ht="15.75" thickBot="1" x14ac:dyDescent="0.3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>IF(ISNUMBER(SEARCH("#",B2766)), LEFT(B2766,FIND("#",B2766)-1), B2766)</f>
        <v>Carwash Roller Horizontal</v>
      </c>
      <c r="G2766" s="26">
        <f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.75" thickBot="1" x14ac:dyDescent="0.3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>IF(ISNUMBER(SEARCH("#",B2767)), LEFT(B2767,FIND("#",B2767)-1), B2767)</f>
        <v>Carwash Roller Vertical</v>
      </c>
      <c r="G2767" s="26">
        <f>IF(ISNUMBER(SEARCH("#",B2767)),VALUE(MID(B2767,FIND("#",B2767)+1,1000)),1)</f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.75" thickBot="1" x14ac:dyDescent="0.3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>IF(ISNUMBER(SEARCH("#",B2768)), LEFT(B2768,FIND("#",B2768)-1), B2768)</f>
        <v>Concrete Hole Plug</v>
      </c>
      <c r="G2768" s="26">
        <f>IF(ISNUMBER(SEARCH("#",B2768)),VALUE(MID(B2768,FIND("#",B2768)+1,1000)),1)</f>
        <v>1</v>
      </c>
      <c r="H2768" t="str">
        <f>IF(AND(regexMatch(B2768,".*#[0-9]*$"),ISNUMBER(SEARCH("#",B2768))),CONCATENATE(TRIM(F2768)," #",G2768),B2768)</f>
        <v>Concrete Hole Plug</v>
      </c>
    </row>
    <row r="2769" spans="1:8" ht="15.75" thickBot="1" x14ac:dyDescent="0.3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>IF(ISNUMBER(SEARCH("#",B2769)), LEFT(B2769,FIND("#",B2769)-1), B2769)</f>
        <v>Defiled Ragdoll</v>
      </c>
      <c r="G2769" s="26">
        <f>IF(ISNUMBER(SEARCH("#",B2769)),VALUE(MID(B2769,FIND("#",B2769)+1,1000)),1)</f>
        <v>1</v>
      </c>
      <c r="H2769" t="str">
        <f>IF(AND(regexMatch(B2769,".*#[0-9]*$"),ISNUMBER(SEARCH("#",B2769))),CONCATENATE(TRIM(F2769)," #",G2769),B2769)</f>
        <v>Defiled Ragdoll</v>
      </c>
    </row>
    <row r="2770" spans="1:8" ht="15.75" thickBot="1" x14ac:dyDescent="0.3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>IF(ISNUMBER(SEARCH("#",B2770)), LEFT(B2770,FIND("#",B2770)-1), B2770)</f>
        <v>Devin's Box</v>
      </c>
      <c r="G2770" s="26">
        <f>IF(ISNUMBER(SEARCH("#",B2770)),VALUE(MID(B2770,FIND("#",B2770)+1,1000)),1)</f>
        <v>1</v>
      </c>
      <c r="H2770" t="str">
        <f>IF(AND(regexMatch(B2770,".*#[0-9]*$"),ISNUMBER(SEARCH("#",B2770))),CONCATENATE(TRIM(F2770)," #",G2770),B2770)</f>
        <v>Devin's Box</v>
      </c>
    </row>
    <row r="2771" spans="1:8" ht="15.75" thickBot="1" x14ac:dyDescent="0.3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>IF(ISNUMBER(SEARCH("#",B2771)), LEFT(B2771,FIND("#",B2771)-1), B2771)</f>
        <v>Dirt For Shovel</v>
      </c>
      <c r="G2771" s="26">
        <f>IF(ISNUMBER(SEARCH("#",B2771)),VALUE(MID(B2771,FIND("#",B2771)+1,1000)),1)</f>
        <v>1</v>
      </c>
      <c r="H2771" t="str">
        <f>IF(AND(regexMatch(B2771,".*#[0-9]*$"),ISNUMBER(SEARCH("#",B2771))),CONCATENATE(TRIM(F2771)," #",G2771),B2771)</f>
        <v>Dirt For Shovel</v>
      </c>
    </row>
    <row r="2772" spans="1:8" ht="15.75" thickBot="1" x14ac:dyDescent="0.3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>IF(ISNUMBER(SEARCH("#",B2772)), LEFT(B2772,FIND("#",B2772)-1), B2772)</f>
        <v xml:space="preserve">Dog Lead </v>
      </c>
      <c r="G2772" s="26">
        <f>IF(ISNUMBER(SEARCH("#",B2772)),VALUE(MID(B2772,FIND("#",B2772)+1,1000)),1)</f>
        <v>1</v>
      </c>
      <c r="H2772" t="str">
        <f>IF(AND(regexMatch(B2772,".*#[0-9]*$"),ISNUMBER(SEARCH("#",B2772))),CONCATENATE(TRIM(F2772)," #",G2772),B2772)</f>
        <v>Dog Lead #1</v>
      </c>
    </row>
    <row r="2773" spans="1:8" ht="15.75" thickBot="1" x14ac:dyDescent="0.3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>IF(ISNUMBER(SEARCH("#",B2773)), LEFT(B2773,FIND("#",B2773)-1), B2773)</f>
        <v xml:space="preserve">Dog Lead </v>
      </c>
      <c r="G2773" s="26">
        <f>IF(ISNUMBER(SEARCH("#",B2773)),VALUE(MID(B2773,FIND("#",B2773)+1,1000)),1)</f>
        <v>2</v>
      </c>
      <c r="H2773" t="str">
        <f>IF(AND(regexMatch(B2773,".*#[0-9]*$"),ISNUMBER(SEARCH("#",B2773))),CONCATENATE(TRIM(F2773)," #",G2773),B2773)</f>
        <v>Dog Lead #2</v>
      </c>
    </row>
    <row r="2774" spans="1:8" ht="15.75" thickBot="1" x14ac:dyDescent="0.3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>IF(ISNUMBER(SEARCH("#",B2774)), LEFT(B2774,FIND("#",B2774)-1), B2774)</f>
        <v xml:space="preserve">Dog Lead </v>
      </c>
      <c r="G2774" s="26">
        <f>IF(ISNUMBER(SEARCH("#",B2774)),VALUE(MID(B2774,FIND("#",B2774)+1,1000)),1)</f>
        <v>3</v>
      </c>
      <c r="H2774" t="str">
        <f>IF(AND(regexMatch(B2774,".*#[0-9]*$"),ISNUMBER(SEARCH("#",B2774))),CONCATENATE(TRIM(F2774)," #",G2774),B2774)</f>
        <v>Dog Lead #3</v>
      </c>
    </row>
    <row r="2775" spans="1:8" ht="15.75" thickBot="1" x14ac:dyDescent="0.3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>IF(ISNUMBER(SEARCH("#",B2775)), LEFT(B2775,FIND("#",B2775)-1), B2775)</f>
        <v xml:space="preserve">Dog Lead </v>
      </c>
      <c r="G2775" s="26">
        <f>IF(ISNUMBER(SEARCH("#",B2775)),VALUE(MID(B2775,FIND("#",B2775)+1,1000)),1)</f>
        <v>4</v>
      </c>
      <c r="H2775" t="str">
        <f>IF(AND(regexMatch(B2775,".*#[0-9]*$"),ISNUMBER(SEARCH("#",B2775))),CONCATENATE(TRIM(F2775)," #",G2775),B2775)</f>
        <v>Dog Lead #4</v>
      </c>
    </row>
    <row r="2776" spans="1:8" ht="15.75" thickBot="1" x14ac:dyDescent="0.3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>IF(ISNUMBER(SEARCH("#",B2776)), LEFT(B2776,FIND("#",B2776)-1), B2776)</f>
        <v xml:space="preserve">Dog Lead </v>
      </c>
      <c r="G2776" s="26">
        <f>IF(ISNUMBER(SEARCH("#",B2776)),VALUE(MID(B2776,FIND("#",B2776)+1,1000)),1)</f>
        <v>5</v>
      </c>
      <c r="H2776" t="str">
        <f>IF(AND(regexMatch(B2776,".*#[0-9]*$"),ISNUMBER(SEARCH("#",B2776))),CONCATENATE(TRIM(F2776)," #",G2776),B2776)</f>
        <v>Dog Lead #5</v>
      </c>
    </row>
    <row r="2777" spans="1:8" ht="15.75" thickBot="1" x14ac:dyDescent="0.3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>IF(ISNUMBER(SEARCH("#",B2777)), LEFT(B2777,FIND("#",B2777)-1), B2777)</f>
        <v xml:space="preserve">Dog Lead </v>
      </c>
      <c r="G2777" s="26">
        <f>IF(ISNUMBER(SEARCH("#",B2777)),VALUE(MID(B2777,FIND("#",B2777)+1,1000)),1)</f>
        <v>6</v>
      </c>
      <c r="H2777" t="str">
        <f>IF(AND(regexMatch(B2777,".*#[0-9]*$"),ISNUMBER(SEARCH("#",B2777))),CONCATENATE(TRIM(F2777)," #",G2777),B2777)</f>
        <v>Dog Lead #6</v>
      </c>
    </row>
    <row r="2778" spans="1:8" ht="15.75" thickBot="1" x14ac:dyDescent="0.3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>IF(ISNUMBER(SEARCH("#",B2778)), LEFT(B2778,FIND("#",B2778)-1), B2778)</f>
        <v xml:space="preserve">Dog Lead </v>
      </c>
      <c r="G2778" s="26">
        <f>IF(ISNUMBER(SEARCH("#",B2778)),VALUE(MID(B2778,FIND("#",B2778)+1,1000)),1)</f>
        <v>7</v>
      </c>
      <c r="H2778" t="str">
        <f>IF(AND(regexMatch(B2778,".*#[0-9]*$"),ISNUMBER(SEARCH("#",B2778))),CONCATENATE(TRIM(F2778)," #",G2778),B2778)</f>
        <v>Dog Lead #7</v>
      </c>
    </row>
    <row r="2779" spans="1:8" ht="15.75" thickBot="1" x14ac:dyDescent="0.3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>IF(ISNUMBER(SEARCH("#",B2779)), LEFT(B2779,FIND("#",B2779)-1), B2779)</f>
        <v xml:space="preserve">Dog Lead </v>
      </c>
      <c r="G2779" s="26">
        <f>IF(ISNUMBER(SEARCH("#",B2779)),VALUE(MID(B2779,FIND("#",B2779)+1,1000)),1)</f>
        <v>8</v>
      </c>
      <c r="H2779" t="str">
        <f>IF(AND(regexMatch(B2779,".*#[0-9]*$"),ISNUMBER(SEARCH("#",B2779))),CONCATENATE(TRIM(F2779)," #",G2779),B2779)</f>
        <v>Dog Lead #8</v>
      </c>
    </row>
    <row r="2780" spans="1:8" ht="15.75" thickBot="1" x14ac:dyDescent="0.3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>IF(ISNUMBER(SEARCH("#",B2780)), LEFT(B2780,FIND("#",B2780)-1), B2780)</f>
        <v>Draining Water Double</v>
      </c>
      <c r="G2780" s="26">
        <f>IF(ISNUMBER(SEARCH("#",B2780)),VALUE(MID(B2780,FIND("#",B2780)+1,1000)),1)</f>
        <v>1</v>
      </c>
      <c r="H2780" t="str">
        <f>IF(AND(regexMatch(B2780,".*#[0-9]*$"),ISNUMBER(SEARCH("#",B2780))),CONCATENATE(TRIM(F2780)," #",G2780),B2780)</f>
        <v>Draining Water Double</v>
      </c>
    </row>
    <row r="2781" spans="1:8" ht="15.75" thickBot="1" x14ac:dyDescent="0.3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>IF(ISNUMBER(SEARCH("#",B2781)), LEFT(B2781,FIND("#",B2781)-1), B2781)</f>
        <v>Draining Water Long Strip</v>
      </c>
      <c r="G2781" s="26">
        <f>IF(ISNUMBER(SEARCH("#",B2781)),VALUE(MID(B2781,FIND("#",B2781)+1,1000)),1)</f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.75" thickBot="1" x14ac:dyDescent="0.3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>IF(ISNUMBER(SEARCH("#",B2782)), LEFT(B2782,FIND("#",B2782)-1), B2782)</f>
        <v>Draining Water Single</v>
      </c>
      <c r="G2782" s="26">
        <f>IF(ISNUMBER(SEARCH("#",B2782)),VALUE(MID(B2782,FIND("#",B2782)+1,1000)),1)</f>
        <v>1</v>
      </c>
      <c r="H2782" t="str">
        <f>IF(AND(regexMatch(B2782,".*#[0-9]*$"),ISNUMBER(SEARCH("#",B2782))),CONCATENATE(TRIM(F2782)," #",G2782),B2782)</f>
        <v>Draining Water Single</v>
      </c>
    </row>
    <row r="2783" spans="1:8" ht="15.75" thickBot="1" x14ac:dyDescent="0.3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>IF(ISNUMBER(SEARCH("#",B2783)), LEFT(B2783,FIND("#",B2783)-1), B2783)</f>
        <v>Dummy Car</v>
      </c>
      <c r="G2783" s="26">
        <f>IF(ISNUMBER(SEARCH("#",B2783)),VALUE(MID(B2783,FIND("#",B2783)+1,1000)),1)</f>
        <v>1</v>
      </c>
      <c r="H2783" t="str">
        <f>IF(AND(regexMatch(B2783,".*#[0-9]*$"),ISNUMBER(SEARCH("#",B2783))),CONCATENATE(TRIM(F2783)," #",G2783),B2783)</f>
        <v>Dummy Car</v>
      </c>
    </row>
    <row r="2784" spans="1:8" ht="15.75" thickBot="1" x14ac:dyDescent="0.3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>IF(ISNUMBER(SEARCH("#",B2784)), LEFT(B2784,FIND("#",B2784)-1), B2784)</f>
        <v>Dummy Light</v>
      </c>
      <c r="G2784" s="26">
        <f>IF(ISNUMBER(SEARCH("#",B2784)),VALUE(MID(B2784,FIND("#",B2784)+1,1000)),1)</f>
        <v>1</v>
      </c>
      <c r="H2784" t="str">
        <f>IF(AND(regexMatch(B2784,".*#[0-9]*$"),ISNUMBER(SEARCH("#",B2784))),CONCATENATE(TRIM(F2784)," #",G2784),B2784)</f>
        <v>Dummy Light</v>
      </c>
    </row>
    <row r="2785" spans="1:8" ht="15.75" thickBot="1" x14ac:dyDescent="0.3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>IF(ISNUMBER(SEARCH("#",B2785)), LEFT(B2785,FIND("#",B2785)-1), B2785)</f>
        <v>Dummy Plane</v>
      </c>
      <c r="G2785" s="26">
        <f>IF(ISNUMBER(SEARCH("#",B2785)),VALUE(MID(B2785,FIND("#",B2785)+1,1000)),1)</f>
        <v>1</v>
      </c>
      <c r="H2785" t="str">
        <f>IF(AND(regexMatch(B2785,".*#[0-9]*$"),ISNUMBER(SEARCH("#",B2785))),CONCATENATE(TRIM(F2785)," #",G2785),B2785)</f>
        <v>Dummy Plane</v>
      </c>
    </row>
    <row r="2786" spans="1:8" ht="15.75" thickBot="1" x14ac:dyDescent="0.3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>IF(ISNUMBER(SEARCH("#",B2786)), LEFT(B2786,FIND("#",B2786)-1), B2786)</f>
        <v>ECG Machine</v>
      </c>
      <c r="G2786" s="26">
        <f>IF(ISNUMBER(SEARCH("#",B2786)),VALUE(MID(B2786,FIND("#",B2786)+1,1000)),1)</f>
        <v>1</v>
      </c>
      <c r="H2786" t="str">
        <f>IF(AND(regexMatch(B2786,".*#[0-9]*$"),ISNUMBER(SEARCH("#",B2786))),CONCATENATE(TRIM(F2786)," #",G2786),B2786)</f>
        <v>ECG Machine</v>
      </c>
    </row>
    <row r="2787" spans="1:8" ht="15.75" thickBot="1" x14ac:dyDescent="0.3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>IF(ISNUMBER(SEARCH("#",B2787)), LEFT(B2787,FIND("#",B2787)-1), B2787)</f>
        <v xml:space="preserve">ECG Machine Cable </v>
      </c>
      <c r="G2787" s="26">
        <f>IF(ISNUMBER(SEARCH("#",B2787)),VALUE(MID(B2787,FIND("#",B2787)+1,1000)),1)</f>
        <v>1</v>
      </c>
      <c r="H2787" t="str">
        <f>IF(AND(regexMatch(B2787,".*#[0-9]*$"),ISNUMBER(SEARCH("#",B2787))),CONCATENATE(TRIM(F2787)," #",G2787),B2787)</f>
        <v>ECG Machine Cable #1</v>
      </c>
    </row>
    <row r="2788" spans="1:8" ht="15.75" thickBot="1" x14ac:dyDescent="0.3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>IF(ISNUMBER(SEARCH("#",B2788)), LEFT(B2788,FIND("#",B2788)-1), B2788)</f>
        <v xml:space="preserve">ECG Machine Cable </v>
      </c>
      <c r="G2788" s="26">
        <f>IF(ISNUMBER(SEARCH("#",B2788)),VALUE(MID(B2788,FIND("#",B2788)+1,1000)),1)</f>
        <v>2</v>
      </c>
      <c r="H2788" t="str">
        <f>IF(AND(regexMatch(B2788,".*#[0-9]*$"),ISNUMBER(SEARCH("#",B2788))),CONCATENATE(TRIM(F2788)," #",G2788),B2788)</f>
        <v>ECG Machine Cable #2</v>
      </c>
    </row>
    <row r="2789" spans="1:8" ht="15.75" thickBot="1" x14ac:dyDescent="0.3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>IF(ISNUMBER(SEARCH("#",B2789)), LEFT(B2789,FIND("#",B2789)-1), B2789)</f>
        <v xml:space="preserve">Employee of the Month Award </v>
      </c>
      <c r="G2789" s="26">
        <f>IF(ISNUMBER(SEARCH("#",B2789)),VALUE(MID(B2789,FIND("#",B2789)+1,1000)),1)</f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.75" thickBot="1" x14ac:dyDescent="0.3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>IF(ISNUMBER(SEARCH("#",B2790)), LEFT(B2790,FIND("#",B2790)-1), B2790)</f>
        <v xml:space="preserve">Employee of the Month Award </v>
      </c>
      <c r="G2790" s="26">
        <f>IF(ISNUMBER(SEARCH("#",B2790)),VALUE(MID(B2790,FIND("#",B2790)+1,1000)),1)</f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.75" thickBot="1" x14ac:dyDescent="0.3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>IF(ISNUMBER(SEARCH("#",B2791)), LEFT(B2791,FIND("#",B2791)-1), B2791)</f>
        <v>FIB Skylight Plug</v>
      </c>
      <c r="G2791" s="26">
        <f>IF(ISNUMBER(SEARCH("#",B2791)),VALUE(MID(B2791,FIND("#",B2791)+1,1000)),1)</f>
        <v>1</v>
      </c>
      <c r="H2791" t="str">
        <f>IF(AND(regexMatch(B2791,".*#[0-9]*$"),ISNUMBER(SEARCH("#",B2791))),CONCATENATE(TRIM(F2791)," #",G2791),B2791)</f>
        <v>FIB Skylight Plug</v>
      </c>
    </row>
    <row r="2792" spans="1:8" ht="15.75" thickBot="1" x14ac:dyDescent="0.3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>IF(ISNUMBER(SEARCH("#",B2792)), LEFT(B2792,FIND("#",B2792)-1), B2792)</f>
        <v>Foot In Toilet</v>
      </c>
      <c r="G2792" s="26">
        <f>IF(ISNUMBER(SEARCH("#",B2792)),VALUE(MID(B2792,FIND("#",B2792)+1,1000)),1)</f>
        <v>1</v>
      </c>
      <c r="H2792" t="str">
        <f>IF(AND(regexMatch(B2792,".*#[0-9]*$"),ISNUMBER(SEARCH("#",B2792))),CONCATENATE(TRIM(F2792)," #",G2792),B2792)</f>
        <v>Foot In Toilet</v>
      </c>
    </row>
    <row r="2793" spans="1:8" ht="15.75" thickBot="1" x14ac:dyDescent="0.3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>IF(ISNUMBER(SEARCH("#",B2793)), LEFT(B2793,FIND("#",B2793)-1), B2793)</f>
        <v>Frank Photo</v>
      </c>
      <c r="G2793" s="26">
        <f>IF(ISNUMBER(SEARCH("#",B2793)),VALUE(MID(B2793,FIND("#",B2793)+1,1000)),1)</f>
        <v>1</v>
      </c>
      <c r="H2793" t="str">
        <f>IF(AND(regexMatch(B2793,".*#[0-9]*$"),ISNUMBER(SEARCH("#",B2793))),CONCATENATE(TRIM(F2793)," #",G2793),B2793)</f>
        <v>Frank Photo</v>
      </c>
    </row>
    <row r="2794" spans="1:8" ht="15.75" thickBot="1" x14ac:dyDescent="0.3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>IF(ISNUMBER(SEARCH("#",B2794)), LEFT(B2794,FIND("#",B2794)-1), B2794)</f>
        <v xml:space="preserve">Idol </v>
      </c>
      <c r="G2794" s="26">
        <f>IF(ISNUMBER(SEARCH("#",B2794)),VALUE(MID(B2794,FIND("#",B2794)+1,1000)),1)</f>
        <v>1</v>
      </c>
      <c r="H2794" t="str">
        <f>IF(AND(regexMatch(B2794,".*#[0-9]*$"),ISNUMBER(SEARCH("#",B2794))),CONCATENATE(TRIM(F2794)," #",G2794),B2794)</f>
        <v>Idol #1</v>
      </c>
    </row>
    <row r="2795" spans="1:8" ht="15.75" thickBot="1" x14ac:dyDescent="0.3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>IF(ISNUMBER(SEARCH("#",B2795)), LEFT(B2795,FIND("#",B2795)-1), B2795)</f>
        <v xml:space="preserve">Idol </v>
      </c>
      <c r="G2795" s="26">
        <f>IF(ISNUMBER(SEARCH("#",B2795)),VALUE(MID(B2795,FIND("#",B2795)+1,1000)),1)</f>
        <v>2</v>
      </c>
      <c r="H2795" t="str">
        <f>IF(AND(regexMatch(B2795,".*#[0-9]*$"),ISNUMBER(SEARCH("#",B2795))),CONCATENATE(TRIM(F2795)," #",G2795),B2795)</f>
        <v>Idol #2</v>
      </c>
    </row>
    <row r="2796" spans="1:8" ht="15.75" thickBot="1" x14ac:dyDescent="0.3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>IF(ISNUMBER(SEARCH("#",B2796)), LEFT(B2796,FIND("#",B2796)-1), B2796)</f>
        <v xml:space="preserve">Idol Case </v>
      </c>
      <c r="G2796" s="26">
        <f>IF(ISNUMBER(SEARCH("#",B2796)),VALUE(MID(B2796,FIND("#",B2796)+1,1000)),1)</f>
        <v>1</v>
      </c>
      <c r="H2796" t="str">
        <f>IF(AND(regexMatch(B2796,".*#[0-9]*$"),ISNUMBER(SEARCH("#",B2796))),CONCATENATE(TRIM(F2796)," #",G2796),B2796)</f>
        <v>Idol Case #1</v>
      </c>
    </row>
    <row r="2797" spans="1:8" ht="15.75" thickBot="1" x14ac:dyDescent="0.3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>IF(ISNUMBER(SEARCH("#",B2797)), LEFT(B2797,FIND("#",B2797)-1), B2797)</f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.75" thickBot="1" x14ac:dyDescent="0.3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>IF(ISNUMBER(SEARCH("#",B2798)), LEFT(B2798,FIND("#",B2798)-1), B2798)</f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.75" thickBot="1" x14ac:dyDescent="0.3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>IF(ISNUMBER(SEARCH("#",B2799)), LEFT(B2799,FIND("#",B2799)-1), B2799)</f>
        <v>Impotent Rage Statue Part 1</v>
      </c>
      <c r="G2799" s="26">
        <f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.75" thickBot="1" x14ac:dyDescent="0.3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>IF(ISNUMBER(SEARCH("#",B2800)), LEFT(B2800,FIND("#",B2800)-1), B2800)</f>
        <v>Impotent Rage Statue Part 2</v>
      </c>
      <c r="G2800" s="26">
        <f>IF(ISNUMBER(SEARCH("#",B2800)),VALUE(MID(B2800,FIND("#",B2800)+1,1000)),1)</f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.75" thickBot="1" x14ac:dyDescent="0.3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>IF(ISNUMBER(SEARCH("#",B2801)), LEFT(B2801,FIND("#",B2801)-1), B2801)</f>
        <v>Inflatable Air Race Gate</v>
      </c>
      <c r="G2801" s="26">
        <f>IF(ISNUMBER(SEARCH("#",B2801)),VALUE(MID(B2801,FIND("#",B2801)+1,1000)),1)</f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.75" thickBot="1" x14ac:dyDescent="0.3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>IF(ISNUMBER(SEARCH("#",B2802)), LEFT(B2802,FIND("#",B2802)-1), B2802)</f>
        <v>Inflatable Arch</v>
      </c>
      <c r="G2802" s="26">
        <f>IF(ISNUMBER(SEARCH("#",B2802)),VALUE(MID(B2802,FIND("#",B2802)+1,1000)),1)</f>
        <v>1</v>
      </c>
      <c r="H2802" t="str">
        <f>IF(AND(regexMatch(B2802,".*#[0-9]*$"),ISNUMBER(SEARCH("#",B2802))),CONCATENATE(TRIM(F2802)," #",G2802),B2802)</f>
        <v>Inflatable Arch</v>
      </c>
    </row>
    <row r="2803" spans="1:8" ht="15.75" thickBot="1" x14ac:dyDescent="0.3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>IF(ISNUMBER(SEARCH("#",B2803)), LEFT(B2803,FIND("#",B2803)-1), B2803)</f>
        <v>Iron Bar</v>
      </c>
      <c r="G2803" s="26">
        <f>IF(ISNUMBER(SEARCH("#",B2803)),VALUE(MID(B2803,FIND("#",B2803)+1,1000)),1)</f>
        <v>1</v>
      </c>
      <c r="H2803" t="str">
        <f>IF(AND(regexMatch(B2803,".*#[0-9]*$"),ISNUMBER(SEARCH("#",B2803))),CONCATENATE(TRIM(F2803)," #",G2803),B2803)</f>
        <v>Iron Bar</v>
      </c>
    </row>
    <row r="2804" spans="1:8" ht="15.75" thickBot="1" x14ac:dyDescent="0.3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>IF(ISNUMBER(SEARCH("#",B2804)), LEFT(B2804,FIND("#",B2804)-1), B2804)</f>
        <v xml:space="preserve">Keypad </v>
      </c>
      <c r="G2804" s="26">
        <f>IF(ISNUMBER(SEARCH("#",B2804)),VALUE(MID(B2804,FIND("#",B2804)+1,1000)),1)</f>
        <v>1</v>
      </c>
      <c r="H2804" t="str">
        <f>IF(AND(regexMatch(B2804,".*#[0-9]*$"),ISNUMBER(SEARCH("#",B2804))),CONCATENATE(TRIM(F2804)," #",G2804),B2804)</f>
        <v>Keypad #1</v>
      </c>
    </row>
    <row r="2805" spans="1:8" ht="15.75" thickBot="1" x14ac:dyDescent="0.3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>IF(ISNUMBER(SEARCH("#",B2805)), LEFT(B2805,FIND("#",B2805)-1), B2805)</f>
        <v xml:space="preserve">Keypad </v>
      </c>
      <c r="G2805" s="26">
        <f>IF(ISNUMBER(SEARCH("#",B2805)),VALUE(MID(B2805,FIND("#",B2805)+1,1000)),1)</f>
        <v>2</v>
      </c>
      <c r="H2805" t="str">
        <f>IF(AND(regexMatch(B2805,".*#[0-9]*$"),ISNUMBER(SEARCH("#",B2805))),CONCATENATE(TRIM(F2805)," #",G2805),B2805)</f>
        <v>Keypad #2</v>
      </c>
    </row>
    <row r="2806" spans="1:8" ht="15.75" thickBot="1" x14ac:dyDescent="0.3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>IF(ISNUMBER(SEARCH("#",B2806)), LEFT(B2806,FIND("#",B2806)-1), B2806)</f>
        <v>Lazlow Ponytail</v>
      </c>
      <c r="G2806" s="26">
        <f>IF(ISNUMBER(SEARCH("#",B2806)),VALUE(MID(B2806,FIND("#",B2806)+1,1000)),1)</f>
        <v>1</v>
      </c>
      <c r="H2806" t="str">
        <f>IF(AND(regexMatch(B2806,".*#[0-9]*$"),ISNUMBER(SEARCH("#",B2806))),CONCATENATE(TRIM(F2806)," #",G2806),B2806)</f>
        <v>Lazlow Ponytail</v>
      </c>
    </row>
    <row r="2807" spans="1:8" ht="15.75" thickBot="1" x14ac:dyDescent="0.3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>IF(ISNUMBER(SEARCH("#",B2807)), LEFT(B2807,FIND("#",B2807)-1), B2807)</f>
        <v>Leg Chain</v>
      </c>
      <c r="G2807" s="26">
        <f>IF(ISNUMBER(SEARCH("#",B2807)),VALUE(MID(B2807,FIND("#",B2807)+1,1000)),1)</f>
        <v>1</v>
      </c>
      <c r="H2807" t="str">
        <f>IF(AND(regexMatch(B2807,".*#[0-9]*$"),ISNUMBER(SEARCH("#",B2807))),CONCATENATE(TRIM(F2807)," #",G2807),B2807)</f>
        <v>Leg Chain</v>
      </c>
    </row>
    <row r="2808" spans="1:8" ht="15.75" thickBot="1" x14ac:dyDescent="0.3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>IF(ISNUMBER(SEARCH("#",B2808)), LEFT(B2808,FIND("#",B2808)-1), B2808)</f>
        <v>Lester's Bed</v>
      </c>
      <c r="G2808" s="26">
        <f>IF(ISNUMBER(SEARCH("#",B2808)),VALUE(MID(B2808,FIND("#",B2808)+1,1000)),1)</f>
        <v>1</v>
      </c>
      <c r="H2808" t="str">
        <f>IF(AND(regexMatch(B2808,".*#[0-9]*$"),ISNUMBER(SEARCH("#",B2808))),CONCATENATE(TRIM(F2808)," #",G2808),B2808)</f>
        <v>Lester's Bed</v>
      </c>
    </row>
    <row r="2809" spans="1:8" ht="15.75" thickBot="1" x14ac:dyDescent="0.3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>IF(ISNUMBER(SEARCH("#",B2809)), LEFT(B2809,FIND("#",B2809)-1), B2809)</f>
        <v>LifeInvader ID Lanyard</v>
      </c>
      <c r="G2809" s="26">
        <f>IF(ISNUMBER(SEARCH("#",B2809)),VALUE(MID(B2809,FIND("#",B2809)+1,1000)),1)</f>
        <v>1</v>
      </c>
      <c r="H2809" t="str">
        <f>IF(AND(regexMatch(B2809,".*#[0-9]*$"),ISNUMBER(SEARCH("#",B2809))),CONCATENATE(TRIM(F2809)," #",G2809),B2809)</f>
        <v>LifeInvader ID Lanyard</v>
      </c>
    </row>
    <row r="2810" spans="1:8" ht="15.75" thickBot="1" x14ac:dyDescent="0.3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>IF(ISNUMBER(SEARCH("#",B2810)), LEFT(B2810,FIND("#",B2810)-1), B2810)</f>
        <v>Liquid Splash</v>
      </c>
      <c r="G2810" s="26">
        <f>IF(ISNUMBER(SEARCH("#",B2810)),VALUE(MID(B2810,FIND("#",B2810)+1,1000)),1)</f>
        <v>1</v>
      </c>
      <c r="H2810" t="str">
        <f>IF(AND(regexMatch(B2810,".*#[0-9]*$"),ISNUMBER(SEARCH("#",B2810))),CONCATENATE(TRIM(F2810)," #",G2810),B2810)</f>
        <v>Liquid Splash</v>
      </c>
    </row>
    <row r="2811" spans="1:8" ht="15.75" thickBot="1" x14ac:dyDescent="0.3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>IF(ISNUMBER(SEARCH("#",B2811)), LEFT(B2811,FIND("#",B2811)-1), B2811)</f>
        <v xml:space="preserve">Memorial Candle </v>
      </c>
      <c r="G2811" s="26">
        <f>IF(ISNUMBER(SEARCH("#",B2811)),VALUE(MID(B2811,FIND("#",B2811)+1,1000)),1)</f>
        <v>1</v>
      </c>
      <c r="H2811" t="str">
        <f>IF(AND(regexMatch(B2811,".*#[0-9]*$"),ISNUMBER(SEARCH("#",B2811))),CONCATENATE(TRIM(F2811)," #",G2811),B2811)</f>
        <v>Memorial Candle #1</v>
      </c>
    </row>
    <row r="2812" spans="1:8" ht="15.75" thickBot="1" x14ac:dyDescent="0.3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>IF(ISNUMBER(SEARCH("#",B2812)), LEFT(B2812,FIND("#",B2812)-1), B2812)</f>
        <v xml:space="preserve">Memorial Candle </v>
      </c>
      <c r="G2812" s="26">
        <f>IF(ISNUMBER(SEARCH("#",B2812)),VALUE(MID(B2812,FIND("#",B2812)+1,1000)),1)</f>
        <v>2</v>
      </c>
      <c r="H2812" t="str">
        <f>IF(AND(regexMatch(B2812,".*#[0-9]*$"),ISNUMBER(SEARCH("#",B2812))),CONCATENATE(TRIM(F2812)," #",G2812),B2812)</f>
        <v>Memorial Candle #2</v>
      </c>
    </row>
    <row r="2813" spans="1:8" ht="15.75" thickBot="1" x14ac:dyDescent="0.3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>IF(ISNUMBER(SEARCH("#",B2813)), LEFT(B2813,FIND("#",B2813)-1), B2813)</f>
        <v xml:space="preserve">Memorial Candle </v>
      </c>
      <c r="G2813" s="26">
        <f>IF(ISNUMBER(SEARCH("#",B2813)),VALUE(MID(B2813,FIND("#",B2813)+1,1000)),1)</f>
        <v>3</v>
      </c>
      <c r="H2813" t="str">
        <f>IF(AND(regexMatch(B2813,".*#[0-9]*$"),ISNUMBER(SEARCH("#",B2813))),CONCATENATE(TRIM(F2813)," #",G2813),B2813)</f>
        <v>Memorial Candle #3</v>
      </c>
    </row>
    <row r="2814" spans="1:8" ht="15.75" thickBot="1" x14ac:dyDescent="0.3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>IF(ISNUMBER(SEARCH("#",B2814)), LEFT(B2814,FIND("#",B2814)-1), B2814)</f>
        <v xml:space="preserve">Memorial Candle </v>
      </c>
      <c r="G2814" s="26">
        <f>IF(ISNUMBER(SEARCH("#",B2814)),VALUE(MID(B2814,FIND("#",B2814)+1,1000)),1)</f>
        <v>4</v>
      </c>
      <c r="H2814" t="str">
        <f>IF(AND(regexMatch(B2814,".*#[0-9]*$"),ISNUMBER(SEARCH("#",B2814))),CONCATENATE(TRIM(F2814)," #",G2814),B2814)</f>
        <v>Memorial Candle #4</v>
      </c>
    </row>
    <row r="2815" spans="1:8" ht="15.75" thickBot="1" x14ac:dyDescent="0.3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>IF(ISNUMBER(SEARCH("#",B2815)), LEFT(B2815,FIND("#",B2815)-1), B2815)</f>
        <v xml:space="preserve">Memorial Candle </v>
      </c>
      <c r="G2815" s="26">
        <f>IF(ISNUMBER(SEARCH("#",B2815)),VALUE(MID(B2815,FIND("#",B2815)+1,1000)),1)</f>
        <v>5</v>
      </c>
      <c r="H2815" t="str">
        <f>IF(AND(regexMatch(B2815,".*#[0-9]*$"),ISNUMBER(SEARCH("#",B2815))),CONCATENATE(TRIM(F2815)," #",G2815),B2815)</f>
        <v>Memorial Candle #5</v>
      </c>
    </row>
    <row r="2816" spans="1:8" ht="15.75" thickBot="1" x14ac:dyDescent="0.3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>IF(ISNUMBER(SEARCH("#",B2816)), LEFT(B2816,FIND("#",B2816)-1), B2816)</f>
        <v xml:space="preserve">Memorial Candle </v>
      </c>
      <c r="G2816" s="26">
        <f>IF(ISNUMBER(SEARCH("#",B2816)),VALUE(MID(B2816,FIND("#",B2816)+1,1000)),1)</f>
        <v>6</v>
      </c>
      <c r="H2816" t="str">
        <f>IF(AND(regexMatch(B2816,".*#[0-9]*$"),ISNUMBER(SEARCH("#",B2816))),CONCATENATE(TRIM(F2816)," #",G2816),B2816)</f>
        <v>Memorial Candle #6</v>
      </c>
    </row>
    <row r="2817" spans="1:8" ht="15.75" thickBot="1" x14ac:dyDescent="0.3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>IF(ISNUMBER(SEARCH("#",B2817)), LEFT(B2817,FIND("#",B2817)-1), B2817)</f>
        <v>Memorial Candle Set</v>
      </c>
      <c r="G2817" s="26">
        <f>IF(ISNUMBER(SEARCH("#",B2817)),VALUE(MID(B2817,FIND("#",B2817)+1,1000)),1)</f>
        <v>1</v>
      </c>
      <c r="H2817" t="str">
        <f>IF(AND(regexMatch(B2817,".*#[0-9]*$"),ISNUMBER(SEARCH("#",B2817))),CONCATENATE(TRIM(F2817)," #",G2817),B2817)</f>
        <v>Memorial Candle Set</v>
      </c>
    </row>
    <row r="2818" spans="1:8" ht="15.75" thickBot="1" x14ac:dyDescent="0.3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>IF(ISNUMBER(SEARCH("#",B2818)), LEFT(B2818,FIND("#",B2818)-1), B2818)</f>
        <v>Michael's Bed</v>
      </c>
      <c r="G2818" s="26">
        <f>IF(ISNUMBER(SEARCH("#",B2818)),VALUE(MID(B2818,FIND("#",B2818)+1,1000)),1)</f>
        <v>1</v>
      </c>
      <c r="H2818" t="str">
        <f>IF(AND(regexMatch(B2818,".*#[0-9]*$"),ISNUMBER(SEARCH("#",B2818))),CONCATENATE(TRIM(F2818)," #",G2818),B2818)</f>
        <v>Michael's Bed</v>
      </c>
    </row>
    <row r="2819" spans="1:8" ht="15.75" thickBot="1" x14ac:dyDescent="0.3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>IF(ISNUMBER(SEARCH("#",B2819)), LEFT(B2819,FIND("#",B2819)-1), B2819)</f>
        <v xml:space="preserve">Mr. Raspberry </v>
      </c>
      <c r="G2819" s="26">
        <f>IF(ISNUMBER(SEARCH("#",B2819)),VALUE(MID(B2819,FIND("#",B2819)+1,1000)),1)</f>
        <v>1</v>
      </c>
      <c r="H2819" t="str">
        <f>IF(AND(regexMatch(B2819,".*#[0-9]*$"),ISNUMBER(SEARCH("#",B2819))),CONCATENATE(TRIM(F2819)," #",G2819),B2819)</f>
        <v>Mr. Raspberry #1</v>
      </c>
    </row>
    <row r="2820" spans="1:8" ht="15.75" thickBot="1" x14ac:dyDescent="0.3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>IF(ISNUMBER(SEARCH("#",B2820)), LEFT(B2820,FIND("#",B2820)-1), B2820)</f>
        <v xml:space="preserve">Mr. Raspberry </v>
      </c>
      <c r="G2820" s="26">
        <f>IF(ISNUMBER(SEARCH("#",B2820)),VALUE(MID(B2820,FIND("#",B2820)+1,1000)),1)</f>
        <v>2</v>
      </c>
      <c r="H2820" t="str">
        <f>IF(AND(regexMatch(B2820,".*#[0-9]*$"),ISNUMBER(SEARCH("#",B2820))),CONCATENATE(TRIM(F2820)," #",G2820),B2820)</f>
        <v>Mr. Raspberry #2</v>
      </c>
    </row>
    <row r="2821" spans="1:8" ht="15.75" thickBot="1" x14ac:dyDescent="0.3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>IF(ISNUMBER(SEARCH("#",B2821)), LEFT(B2821,FIND("#",B2821)-1), B2821)</f>
        <v>Mr. Raspberry Clean</v>
      </c>
      <c r="G2821" s="26">
        <f>IF(ISNUMBER(SEARCH("#",B2821)),VALUE(MID(B2821,FIND("#",B2821)+1,1000)),1)</f>
        <v>1</v>
      </c>
      <c r="H2821" t="str">
        <f>IF(AND(regexMatch(B2821,".*#[0-9]*$"),ISNUMBER(SEARCH("#",B2821))),CONCATENATE(TRIM(F2821)," #",G2821),B2821)</f>
        <v>Mr. Raspberry Clean</v>
      </c>
    </row>
    <row r="2822" spans="1:8" ht="15.75" thickBot="1" x14ac:dyDescent="0.3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>IF(ISNUMBER(SEARCH("#",B2822)), LEFT(B2822,FIND("#",B2822)-1), B2822)</f>
        <v>Mugshot Lighting</v>
      </c>
      <c r="G2822" s="26">
        <f>IF(ISNUMBER(SEARCH("#",B2822)),VALUE(MID(B2822,FIND("#",B2822)+1,1000)),1)</f>
        <v>1</v>
      </c>
      <c r="H2822" t="str">
        <f>IF(AND(regexMatch(B2822,".*#[0-9]*$"),ISNUMBER(SEARCH("#",B2822))),CONCATENATE(TRIM(F2822)," #",G2822),B2822)</f>
        <v>Mugshot Lighting</v>
      </c>
    </row>
    <row r="2823" spans="1:8" ht="15.75" thickBot="1" x14ac:dyDescent="0.3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>IF(ISNUMBER(SEARCH("#",B2823)), LEFT(B2823,FIND("#",B2823)-1), B2823)</f>
        <v>NPC Gibs</v>
      </c>
      <c r="G2823" s="26">
        <f>IF(ISNUMBER(SEARCH("#",B2823)),VALUE(MID(B2823,FIND("#",B2823)+1,1000)),1)</f>
        <v>1</v>
      </c>
      <c r="H2823" t="str">
        <f>IF(AND(regexMatch(B2823,".*#[0-9]*$"),ISNUMBER(SEARCH("#",B2823))),CONCATENATE(TRIM(F2823)," #",G2823),B2823)</f>
        <v>NPC Gibs</v>
      </c>
    </row>
    <row r="2824" spans="1:8" ht="15.75" thickBot="1" x14ac:dyDescent="0.3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>IF(ISNUMBER(SEARCH("#",B2824)), LEFT(B2824,FIND("#",B2824)-1), B2824)</f>
        <v>Oil Slick</v>
      </c>
      <c r="G2824" s="26">
        <f>IF(ISNUMBER(SEARCH("#",B2824)),VALUE(MID(B2824,FIND("#",B2824)+1,1000)),1)</f>
        <v>1</v>
      </c>
      <c r="H2824" t="str">
        <f>IF(AND(regexMatch(B2824,".*#[0-9]*$"),ISNUMBER(SEARCH("#",B2824))),CONCATENATE(TRIM(F2824)," #",G2824),B2824)</f>
        <v>Oil Slick</v>
      </c>
    </row>
    <row r="2825" spans="1:8" ht="15.75" thickBot="1" x14ac:dyDescent="0.3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>IF(ISNUMBER(SEARCH("#",B2825)), LEFT(B2825,FIND("#",B2825)-1), B2825)</f>
        <v xml:space="preserve">Parachute </v>
      </c>
      <c r="G2825" s="26">
        <f>IF(ISNUMBER(SEARCH("#",B2825)),VALUE(MID(B2825,FIND("#",B2825)+1,1000)),1)</f>
        <v>1</v>
      </c>
      <c r="H2825" t="str">
        <f>IF(AND(regexMatch(B2825,".*#[0-9]*$"),ISNUMBER(SEARCH("#",B2825))),CONCATENATE(TRIM(F2825)," #",G2825),B2825)</f>
        <v>Parachute #1</v>
      </c>
    </row>
    <row r="2826" spans="1:8" ht="15.75" thickBot="1" x14ac:dyDescent="0.3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>IF(ISNUMBER(SEARCH("#",B2826)), LEFT(B2826,FIND("#",B2826)-1), B2826)</f>
        <v xml:space="preserve">Parachute </v>
      </c>
      <c r="G2826" s="26">
        <f>IF(ISNUMBER(SEARCH("#",B2826)),VALUE(MID(B2826,FIND("#",B2826)+1,1000)),1)</f>
        <v>2</v>
      </c>
      <c r="H2826" t="str">
        <f>IF(AND(regexMatch(B2826,".*#[0-9]*$"),ISNUMBER(SEARCH("#",B2826))),CONCATENATE(TRIM(F2826)," #",G2826),B2826)</f>
        <v>Parachute #2</v>
      </c>
    </row>
    <row r="2827" spans="1:8" ht="15.75" thickBot="1" x14ac:dyDescent="0.3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>IF(ISNUMBER(SEARCH("#",B2827)), LEFT(B2827,FIND("#",B2827)-1), B2827)</f>
        <v>Parachute Rope Piece</v>
      </c>
      <c r="G2827" s="26">
        <f>IF(ISNUMBER(SEARCH("#",B2827)),VALUE(MID(B2827,FIND("#",B2827)+1,1000)),1)</f>
        <v>1</v>
      </c>
      <c r="H2827" t="str">
        <f>IF(AND(regexMatch(B2827,".*#[0-9]*$"),ISNUMBER(SEARCH("#",B2827))),CONCATENATE(TRIM(F2827)," #",G2827),B2827)</f>
        <v>Parachute Rope Piece</v>
      </c>
    </row>
    <row r="2828" spans="1:8" ht="15.75" thickBot="1" x14ac:dyDescent="0.3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>IF(ISNUMBER(SEARCH("#",B2828)), LEFT(B2828,FIND("#",B2828)-1), B2828)</f>
        <v>Parachute Ropes</v>
      </c>
      <c r="G2828" s="26">
        <f>IF(ISNUMBER(SEARCH("#",B2828)),VALUE(MID(B2828,FIND("#",B2828)+1,1000)),1)</f>
        <v>1</v>
      </c>
      <c r="H2828" t="str">
        <f>IF(AND(regexMatch(B2828,".*#[0-9]*$"),ISNUMBER(SEARCH("#",B2828))),CONCATENATE(TRIM(F2828)," #",G2828),B2828)</f>
        <v>Parachute Ropes</v>
      </c>
    </row>
    <row r="2829" spans="1:8" ht="15.75" thickBot="1" x14ac:dyDescent="0.3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>IF(ISNUMBER(SEARCH("#",B2829)), LEFT(B2829,FIND("#",B2829)-1), B2829)</f>
        <v>Parachute: Plain</v>
      </c>
      <c r="G2829" s="26">
        <f>IF(ISNUMBER(SEARCH("#",B2829)),VALUE(MID(B2829,FIND("#",B2829)+1,1000)),1)</f>
        <v>1</v>
      </c>
      <c r="H2829" t="str">
        <f>IF(AND(regexMatch(B2829,".*#[0-9]*$"),ISNUMBER(SEARCH("#",B2829))),CONCATENATE(TRIM(F2829)," #",G2829),B2829)</f>
        <v>Parachute: Plain</v>
      </c>
    </row>
    <row r="2830" spans="1:8" ht="15.75" thickBot="1" x14ac:dyDescent="0.3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>IF(ISNUMBER(SEARCH("#",B2830)), LEFT(B2830,FIND("#",B2830)-1), B2830)</f>
        <v xml:space="preserve">Parachute: Rainbow </v>
      </c>
      <c r="G2830" s="26">
        <f>IF(ISNUMBER(SEARCH("#",B2830)),VALUE(MID(B2830,FIND("#",B2830)+1,1000)),1)</f>
        <v>1</v>
      </c>
      <c r="H2830" t="str">
        <f>IF(AND(regexMatch(B2830,".*#[0-9]*$"),ISNUMBER(SEARCH("#",B2830))),CONCATENATE(TRIM(F2830)," #",G2830),B2830)</f>
        <v>Parachute: Rainbow #1</v>
      </c>
    </row>
    <row r="2831" spans="1:8" ht="15.75" thickBot="1" x14ac:dyDescent="0.3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>IF(ISNUMBER(SEARCH("#",B2831)), LEFT(B2831,FIND("#",B2831)-1), B2831)</f>
        <v xml:space="preserve">Parachute: Rainbow </v>
      </c>
      <c r="G2831" s="26">
        <f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.75" thickBot="1" x14ac:dyDescent="0.3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>IF(ISNUMBER(SEARCH("#",B2832)), LEFT(B2832,FIND("#",B2832)-1), B2832)</f>
        <v>Photo Frame</v>
      </c>
      <c r="G2832" s="26">
        <f>IF(ISNUMBER(SEARCH("#",B2832)),VALUE(MID(B2832,FIND("#",B2832)+1,1000)),1)</f>
        <v>1</v>
      </c>
      <c r="H2832" t="str">
        <f>IF(AND(regexMatch(B2832,".*#[0-9]*$"),ISNUMBER(SEARCH("#",B2832))),CONCATENATE(TRIM(F2832)," #",G2832),B2832)</f>
        <v>Photo Frame</v>
      </c>
    </row>
    <row r="2833" spans="1:8" ht="15.75" thickBot="1" x14ac:dyDescent="0.3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>IF(ISNUMBER(SEARCH("#",B2833)), LEFT(B2833,FIND("#",B2833)-1), B2833)</f>
        <v>Power Cell</v>
      </c>
      <c r="G2833" s="26">
        <f>IF(ISNUMBER(SEARCH("#",B2833)),VALUE(MID(B2833,FIND("#",B2833)+1,1000)),1)</f>
        <v>1</v>
      </c>
      <c r="H2833" t="str">
        <f>IF(AND(regexMatch(B2833,".*#[0-9]*$"),ISNUMBER(SEARCH("#",B2833))),CONCATENATE(TRIM(F2833)," #",G2833),B2833)</f>
        <v>Power Cell</v>
      </c>
    </row>
    <row r="2834" spans="1:8" ht="15.75" thickBot="1" x14ac:dyDescent="0.3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>IF(ISNUMBER(SEARCH("#",B2834)), LEFT(B2834,FIND("#",B2834)-1), B2834)</f>
        <v>Power Cord</v>
      </c>
      <c r="G2834" s="26">
        <f>IF(ISNUMBER(SEARCH("#",B2834)),VALUE(MID(B2834,FIND("#",B2834)+1,1000)),1)</f>
        <v>1</v>
      </c>
      <c r="H2834" t="str">
        <f>IF(AND(regexMatch(B2834,".*#[0-9]*$"),ISNUMBER(SEARCH("#",B2834))),CONCATENATE(TRIM(F2834)," #",G2834),B2834)</f>
        <v>Power Cord</v>
      </c>
    </row>
    <row r="2835" spans="1:8" ht="15.75" thickBot="1" x14ac:dyDescent="0.3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>IF(ISNUMBER(SEARCH("#",B2835)), LEFT(B2835,FIND("#",B2835)-1), B2835)</f>
        <v>Projector Overlay</v>
      </c>
      <c r="G2835" s="26">
        <f>IF(ISNUMBER(SEARCH("#",B2835)),VALUE(MID(B2835,FIND("#",B2835)+1,1000)),1)</f>
        <v>1</v>
      </c>
      <c r="H2835" t="str">
        <f>IF(AND(regexMatch(B2835,".*#[0-9]*$"),ISNUMBER(SEARCH("#",B2835))),CONCATENATE(TRIM(F2835)," #",G2835),B2835)</f>
        <v>Projector Overlay</v>
      </c>
    </row>
    <row r="2836" spans="1:8" ht="15.75" thickBot="1" x14ac:dyDescent="0.3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>IF(ISNUMBER(SEARCH("#",B2836)), LEFT(B2836,FIND("#",B2836)-1), B2836)</f>
        <v>Radioactive Waste Barrel</v>
      </c>
      <c r="G2836" s="26">
        <f>IF(ISNUMBER(SEARCH("#",B2836)),VALUE(MID(B2836,FIND("#",B2836)+1,1000)),1)</f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.75" thickBot="1" x14ac:dyDescent="0.3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>IF(ISNUMBER(SEARCH("#",B2837)), LEFT(B2837,FIND("#",B2837)-1), B2837)</f>
        <v>Recycling Light</v>
      </c>
      <c r="G2837" s="26">
        <f>IF(ISNUMBER(SEARCH("#",B2837)),VALUE(MID(B2837,FIND("#",B2837)+1,1000)),1)</f>
        <v>1</v>
      </c>
      <c r="H2837" t="str">
        <f>IF(AND(regexMatch(B2837,".*#[0-9]*$"),ISNUMBER(SEARCH("#",B2837))),CONCATENATE(TRIM(F2837)," #",G2837),B2837)</f>
        <v>Recycling Light</v>
      </c>
    </row>
    <row r="2838" spans="1:8" ht="15.75" thickBot="1" x14ac:dyDescent="0.3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>IF(ISNUMBER(SEARCH("#",B2838)), LEFT(B2838,FIND("#",B2838)-1), B2838)</f>
        <v xml:space="preserve">Safe </v>
      </c>
      <c r="G2838" s="26">
        <f>IF(ISNUMBER(SEARCH("#",B2838)),VALUE(MID(B2838,FIND("#",B2838)+1,1000)),1)</f>
        <v>1</v>
      </c>
      <c r="H2838" t="str">
        <f>IF(AND(regexMatch(B2838,".*#[0-9]*$"),ISNUMBER(SEARCH("#",B2838))),CONCATENATE(TRIM(F2838)," #",G2838),B2838)</f>
        <v>Safe #1</v>
      </c>
    </row>
    <row r="2839" spans="1:8" ht="15.75" thickBot="1" x14ac:dyDescent="0.3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>IF(ISNUMBER(SEARCH("#",B2839)), LEFT(B2839,FIND("#",B2839)-1), B2839)</f>
        <v xml:space="preserve">Safe </v>
      </c>
      <c r="G2839" s="26">
        <f>IF(ISNUMBER(SEARCH("#",B2839)),VALUE(MID(B2839,FIND("#",B2839)+1,1000)),1)</f>
        <v>2</v>
      </c>
      <c r="H2839" t="str">
        <f>IF(AND(regexMatch(B2839,".*#[0-9]*$"),ISNUMBER(SEARCH("#",B2839))),CONCATENATE(TRIM(F2839)," #",G2839),B2839)</f>
        <v>Safe #2</v>
      </c>
    </row>
    <row r="2840" spans="1:8" ht="15.75" thickBot="1" x14ac:dyDescent="0.3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>IF(ISNUMBER(SEARCH("#",B2840)), LEFT(B2840,FIND("#",B2840)-1), B2840)</f>
        <v>Security Van Light Rig</v>
      </c>
      <c r="G2840" s="26">
        <f>IF(ISNUMBER(SEARCH("#",B2840)),VALUE(MID(B2840,FIND("#",B2840)+1,1000)),1)</f>
        <v>1</v>
      </c>
      <c r="H2840" t="str">
        <f>IF(AND(regexMatch(B2840,".*#[0-9]*$"),ISNUMBER(SEARCH("#",B2840))),CONCATENATE(TRIM(F2840)," #",G2840),B2840)</f>
        <v>Security Van Light Rig</v>
      </c>
    </row>
    <row r="2841" spans="1:8" ht="15.75" thickBot="1" x14ac:dyDescent="0.3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>IF(ISNUMBER(SEARCH("#",B2841)), LEFT(B2841,FIND("#",B2841)-1), B2841)</f>
        <v>Sprinkler (Golf Course)</v>
      </c>
      <c r="G2841" s="26">
        <f>IF(ISNUMBER(SEARCH("#",B2841)),VALUE(MID(B2841,FIND("#",B2841)+1,1000)),1)</f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.75" thickBot="1" x14ac:dyDescent="0.3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>IF(ISNUMBER(SEARCH("#",B2842)), LEFT(B2842,FIND("#",B2842)-1), B2842)</f>
        <v>Sprinkler (Park)</v>
      </c>
      <c r="G2842" s="26">
        <f>IF(ISNUMBER(SEARCH("#",B2842)),VALUE(MID(B2842,FIND("#",B2842)+1,1000)),1)</f>
        <v>1</v>
      </c>
      <c r="H2842" t="str">
        <f>IF(AND(regexMatch(B2842,".*#[0-9]*$"),ISNUMBER(SEARCH("#",B2842))),CONCATENATE(TRIM(F2842)," #",G2842),B2842)</f>
        <v>Sprinkler (Park)</v>
      </c>
    </row>
    <row r="2843" spans="1:8" ht="15.75" thickBot="1" x14ac:dyDescent="0.3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>IF(ISNUMBER(SEARCH("#",B2843)), LEFT(B2843,FIND("#",B2843)-1), B2843)</f>
        <v>Spy Camera</v>
      </c>
      <c r="G2843" s="26">
        <f>IF(ISNUMBER(SEARCH("#",B2843)),VALUE(MID(B2843,FIND("#",B2843)+1,1000)),1)</f>
        <v>1</v>
      </c>
      <c r="H2843" t="str">
        <f>IF(AND(regexMatch(B2843,".*#[0-9]*$"),ISNUMBER(SEARCH("#",B2843))),CONCATENATE(TRIM(F2843)," #",G2843),B2843)</f>
        <v>Spy Camera</v>
      </c>
    </row>
    <row r="2844" spans="1:8" ht="15.75" thickBot="1" x14ac:dyDescent="0.3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>IF(ISNUMBER(SEARCH("#",B2844)), LEFT(B2844,FIND("#",B2844)-1), B2844)</f>
        <v xml:space="preserve">Tangled Parachute </v>
      </c>
      <c r="G2844" s="26">
        <f>IF(ISNUMBER(SEARCH("#",B2844)),VALUE(MID(B2844,FIND("#",B2844)+1,1000)),1)</f>
        <v>1</v>
      </c>
      <c r="H2844" t="str">
        <f>IF(AND(regexMatch(B2844,".*#[0-9]*$"),ISNUMBER(SEARCH("#",B2844))),CONCATENATE(TRIM(F2844)," #",G2844),B2844)</f>
        <v>Tangled Parachute #1</v>
      </c>
    </row>
    <row r="2845" spans="1:8" ht="15.75" thickBot="1" x14ac:dyDescent="0.3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>IF(ISNUMBER(SEARCH("#",B2845)), LEFT(B2845,FIND("#",B2845)-1), B2845)</f>
        <v xml:space="preserve">Tangled Parachute </v>
      </c>
      <c r="G2845" s="26">
        <f>IF(ISNUMBER(SEARCH("#",B2845)),VALUE(MID(B2845,FIND("#",B2845)+1,1000)),1)</f>
        <v>2</v>
      </c>
      <c r="H2845" t="str">
        <f>IF(AND(regexMatch(B2845,".*#[0-9]*$"),ISNUMBER(SEARCH("#",B2845))),CONCATENATE(TRIM(F2845)," #",G2845),B2845)</f>
        <v>Tangled Parachute #2</v>
      </c>
    </row>
    <row r="2846" spans="1:8" ht="15.75" thickBot="1" x14ac:dyDescent="0.3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>IF(ISNUMBER(SEARCH("#",B2846)), LEFT(B2846,FIND("#",B2846)-1), B2846)</f>
        <v>Time Capsule</v>
      </c>
      <c r="G2846" s="26">
        <f>IF(ISNUMBER(SEARCH("#",B2846)),VALUE(MID(B2846,FIND("#",B2846)+1,1000)),1)</f>
        <v>1</v>
      </c>
      <c r="H2846" t="str">
        <f>IF(AND(regexMatch(B2846,".*#[0-9]*$"),ISNUMBER(SEARCH("#",B2846))),CONCATENATE(TRIM(F2846)," #",G2846),B2846)</f>
        <v>Time Capsule</v>
      </c>
    </row>
    <row r="2847" spans="1:8" ht="15.75" thickBot="1" x14ac:dyDescent="0.3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>IF(ISNUMBER(SEARCH("#",B2847)), LEFT(B2847,FIND("#",B2847)-1), B2847)</f>
        <v>Toilet Foot Static</v>
      </c>
      <c r="G2847" s="26">
        <f>IF(ISNUMBER(SEARCH("#",B2847)),VALUE(MID(B2847,FIND("#",B2847)+1,1000)),1)</f>
        <v>1</v>
      </c>
      <c r="H2847" t="str">
        <f>IF(AND(regexMatch(B2847,".*#[0-9]*$"),ISNUMBER(SEARCH("#",B2847))),CONCATENATE(TRIM(F2847)," #",G2847),B2847)</f>
        <v>Toilet Foot Static</v>
      </c>
    </row>
    <row r="2848" spans="1:8" ht="15.75" thickBot="1" x14ac:dyDescent="0.3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>IF(ISNUMBER(SEARCH("#",B2848)), LEFT(B2848,FIND("#",B2848)-1), B2848)</f>
        <v>Trevor Bed</v>
      </c>
      <c r="G2848" s="26">
        <f>IF(ISNUMBER(SEARCH("#",B2848)),VALUE(MID(B2848,FIND("#",B2848)+1,1000)),1)</f>
        <v>1</v>
      </c>
      <c r="H2848" t="str">
        <f>IF(AND(regexMatch(B2848,".*#[0-9]*$"),ISNUMBER(SEARCH("#",B2848))),CONCATENATE(TRIM(F2848)," #",G2848),B2848)</f>
        <v>Trevor Bed</v>
      </c>
    </row>
    <row r="2849" spans="1:8" ht="15.75" thickBot="1" x14ac:dyDescent="0.3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>IF(ISNUMBER(SEARCH("#",B2849)), LEFT(B2849,FIND("#",B2849)-1), B2849)</f>
        <v>Trevor Trailer 2D Backside</v>
      </c>
      <c r="G2849" s="26">
        <f>IF(ISNUMBER(SEARCH("#",B2849)),VALUE(MID(B2849,FIND("#",B2849)+1,1000)),1)</f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.75" thickBot="1" x14ac:dyDescent="0.3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>IF(ISNUMBER(SEARCH("#",B2850)), LEFT(B2850,FIND("#",B2850)-1), B2850)</f>
        <v>UFO With Flashing Lights</v>
      </c>
      <c r="G2850" s="26">
        <f>IF(ISNUMBER(SEARCH("#",B2850)),VALUE(MID(B2850,FIND("#",B2850)+1,1000)),1)</f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.75" thickBot="1" x14ac:dyDescent="0.3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>IF(ISNUMBER(SEARCH("#",B2851)), LEFT(B2851,FIND("#",B2851)-1), B2851)</f>
        <v xml:space="preserve">Underwater Corpse </v>
      </c>
      <c r="G2851" s="26">
        <f>IF(ISNUMBER(SEARCH("#",B2851)),VALUE(MID(B2851,FIND("#",B2851)+1,1000)),1)</f>
        <v>1</v>
      </c>
      <c r="H2851" t="str">
        <f>IF(AND(regexMatch(B2851,".*#[0-9]*$"),ISNUMBER(SEARCH("#",B2851))),CONCATENATE(TRIM(F2851)," #",G2851),B2851)</f>
        <v>Underwater Corpse #1</v>
      </c>
    </row>
    <row r="2852" spans="1:8" ht="15.75" thickBot="1" x14ac:dyDescent="0.3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>IF(ISNUMBER(SEARCH("#",B2852)), LEFT(B2852,FIND("#",B2852)-1), B2852)</f>
        <v xml:space="preserve">Underwater Corpse </v>
      </c>
      <c r="G2852" s="26">
        <f>IF(ISNUMBER(SEARCH("#",B2852)),VALUE(MID(B2852,FIND("#",B2852)+1,1000)),1)</f>
        <v>2</v>
      </c>
      <c r="H2852" t="str">
        <f>IF(AND(regexMatch(B2852,".*#[0-9]*$"),ISNUMBER(SEARCH("#",B2852))),CONCATENATE(TRIM(F2852)," #",G2852),B2852)</f>
        <v>Underwater Corpse #2</v>
      </c>
    </row>
    <row r="2853" spans="1:8" ht="15.75" thickBot="1" x14ac:dyDescent="0.3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>IF(ISNUMBER(SEARCH("#",B2853)), LEFT(B2853,FIND("#",B2853)-1), B2853)</f>
        <v>Vinewood Sign Support</v>
      </c>
      <c r="G2853" s="26">
        <f>IF(ISNUMBER(SEARCH("#",B2853)),VALUE(MID(B2853,FIND("#",B2853)+1,1000)),1)</f>
        <v>1</v>
      </c>
      <c r="H2853" t="str">
        <f>IF(AND(regexMatch(B2853,".*#[0-9]*$"),ISNUMBER(SEARCH("#",B2853))),CONCATENATE(TRIM(F2853)," #",G2853),B2853)</f>
        <v>Vinewood Sign Support</v>
      </c>
    </row>
    <row r="2854" spans="1:8" ht="15.75" thickBot="1" x14ac:dyDescent="0.3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>IF(ISNUMBER(SEARCH("#",B2854)), LEFT(B2854,FIND("#",B2854)-1), B2854)</f>
        <v xml:space="preserve">Wheelchair </v>
      </c>
      <c r="G2854" s="26">
        <f>IF(ISNUMBER(SEARCH("#",B2854)),VALUE(MID(B2854,FIND("#",B2854)+1,1000)),1)</f>
        <v>1</v>
      </c>
      <c r="H2854" t="str">
        <f>IF(AND(regexMatch(B2854,".*#[0-9]*$"),ISNUMBER(SEARCH("#",B2854))),CONCATENATE(TRIM(F2854)," #",G2854),B2854)</f>
        <v>Wheelchair #1</v>
      </c>
    </row>
    <row r="2855" spans="1:8" ht="15.75" thickBot="1" x14ac:dyDescent="0.3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>IF(ISNUMBER(SEARCH("#",B2855)), LEFT(B2855,FIND("#",B2855)-1), B2855)</f>
        <v xml:space="preserve">Wheelchair </v>
      </c>
      <c r="G2855" s="26">
        <f>IF(ISNUMBER(SEARCH("#",B2855)),VALUE(MID(B2855,FIND("#",B2855)+1,1000)),1)</f>
        <v>2</v>
      </c>
      <c r="H2855" t="str">
        <f>IF(AND(regexMatch(B2855,".*#[0-9]*$"),ISNUMBER(SEARCH("#",B2855))),CONCATENATE(TRIM(F2855)," #",G2855),B2855)</f>
        <v>Wheelchair #2</v>
      </c>
    </row>
    <row r="2856" spans="1:8" ht="15.75" thickBot="1" x14ac:dyDescent="0.3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>IF(ISNUMBER(SEARCH("#",B2856)), LEFT(B2856,FIND("#",B2856)-1), B2856)</f>
        <v>White Bicycle (Ghost)</v>
      </c>
      <c r="G2856" s="26">
        <f>IF(ISNUMBER(SEARCH("#",B2856)),VALUE(MID(B2856,FIND("#",B2856)+1,1000)),1)</f>
        <v>1</v>
      </c>
      <c r="H2856" t="str">
        <f>IF(AND(regexMatch(B2856,".*#[0-9]*$"),ISNUMBER(SEARCH("#",B2856))),CONCATENATE(TRIM(F2856)," #",G2856),B2856)</f>
        <v>White Bicycle (Ghost)</v>
      </c>
    </row>
    <row r="2857" spans="1:8" ht="15.75" thickBot="1" x14ac:dyDescent="0.3">
      <c r="A2857" s="1" t="s">
        <v>122</v>
      </c>
      <c r="B2857" s="1" t="s">
        <v>123</v>
      </c>
      <c r="C2857" s="4" t="s">
        <v>5</v>
      </c>
      <c r="D2857" s="2" t="s">
        <v>124</v>
      </c>
      <c r="E2857" s="3" t="str">
        <f>IF(ISERROR(VLOOKUP(B2857,Failures!$A$1:$A$4000,1,FALSE)),"Keep","Delete")</f>
        <v>Keep</v>
      </c>
      <c r="F2857" t="str">
        <f>IF(ISNUMBER(SEARCH("#",B2857)), LEFT(B2857,FIND("#",B2857)-1), B2857)</f>
        <v>Mobile Phone</v>
      </c>
      <c r="G2857" s="26">
        <f>IF(ISNUMBER(SEARCH("#",B2857)),VALUE(MID(B2857,FIND("#",B2857)+1,1000)),1)</f>
        <v>1</v>
      </c>
      <c r="H2857" t="str">
        <f>IF(AND(regexMatch(B2857,".*#[0-9]*$"),ISNUMBER(SEARCH("#",B2857))),CONCATENATE(TRIM(F2857)," #",G2857),B2857)</f>
        <v>Mobile Phone</v>
      </c>
    </row>
    <row r="2858" spans="1:8" ht="15.75" thickBot="1" x14ac:dyDescent="0.3">
      <c r="A2858" s="1" t="s">
        <v>2237</v>
      </c>
      <c r="B2858" s="1" t="s">
        <v>3793</v>
      </c>
      <c r="C2858" s="2" t="s">
        <v>5</v>
      </c>
      <c r="D2858" s="2" t="s">
        <v>124</v>
      </c>
      <c r="E2858" s="3" t="str">
        <f>IF(ISERROR(VLOOKUP(B2858,Failures!$A$1:$A$4000,1,FALSE)),"Keep","Delete")</f>
        <v>Keep</v>
      </c>
      <c r="F2858" t="str">
        <f>IF(ISNUMBER(SEARCH("#",B2858)), LEFT(B2858,FIND("#",B2858)-1), B2858)</f>
        <v xml:space="preserve">NPC Phone </v>
      </c>
      <c r="G2858" s="26">
        <f>IF(ISNUMBER(SEARCH("#",B2858)),VALUE(MID(B2858,FIND("#",B2858)+1,1000)),1)</f>
        <v>1</v>
      </c>
      <c r="H2858" t="str">
        <f>IF(AND(regexMatch(B2858,".*#[0-9]*$"),ISNUMBER(SEARCH("#",B2858))),CONCATENATE(TRIM(F2858)," #",G2858),B2858)</f>
        <v>NPC Phone #1</v>
      </c>
    </row>
    <row r="2859" spans="1:8" ht="15.75" thickBot="1" x14ac:dyDescent="0.3">
      <c r="A2859" s="1" t="s">
        <v>2238</v>
      </c>
      <c r="B2859" s="1" t="s">
        <v>2239</v>
      </c>
      <c r="C2859" s="2" t="s">
        <v>5</v>
      </c>
      <c r="D2859" s="2" t="s">
        <v>124</v>
      </c>
      <c r="E2859" s="3" t="str">
        <f>IF(ISERROR(VLOOKUP(B2859,Failures!$A$1:$A$4000,1,FALSE)),"Keep","Delete")</f>
        <v>Keep</v>
      </c>
      <c r="F2859" t="str">
        <f>IF(ISNUMBER(SEARCH("#",B2859)), LEFT(B2859,FIND("#",B2859)-1), B2859)</f>
        <v xml:space="preserve">NPC Phone </v>
      </c>
      <c r="G2859" s="26">
        <f>IF(ISNUMBER(SEARCH("#",B2859)),VALUE(MID(B2859,FIND("#",B2859)+1,1000)),1)</f>
        <v>2</v>
      </c>
      <c r="H2859" t="str">
        <f>IF(AND(regexMatch(B2859,".*#[0-9]*$"),ISNUMBER(SEARCH("#",B2859))),CONCATENATE(TRIM(F2859)," #",G2859),B2859)</f>
        <v>NPC Phone #2</v>
      </c>
    </row>
    <row r="2860" spans="1:8" ht="15.75" thickBot="1" x14ac:dyDescent="0.3">
      <c r="A2860" s="1" t="s">
        <v>2418</v>
      </c>
      <c r="B2860" s="1" t="s">
        <v>2419</v>
      </c>
      <c r="C2860" s="2" t="s">
        <v>145</v>
      </c>
      <c r="D2860" s="2" t="s">
        <v>124</v>
      </c>
      <c r="E2860" s="3" t="str">
        <f>IF(ISERROR(VLOOKUP(B2860,Failures!$A$1:$A$4000,1,FALSE)),"Keep","Delete")</f>
        <v>Keep</v>
      </c>
      <c r="F2860" t="str">
        <f>IF(ISNUMBER(SEARCH("#",B2860)), LEFT(B2860,FIND("#",B2860)-1), B2860)</f>
        <v>Phone Ing</v>
      </c>
      <c r="G2860" s="26">
        <f>IF(ISNUMBER(SEARCH("#",B2860)),VALUE(MID(B2860,FIND("#",B2860)+1,1000)),1)</f>
        <v>1</v>
      </c>
      <c r="H2860" t="str">
        <f>IF(AND(regexMatch(B2860,".*#[0-9]*$"),ISNUMBER(SEARCH("#",B2860))),CONCATENATE(TRIM(F2860)," #",G2860),B2860)</f>
        <v>Phone Ing</v>
      </c>
    </row>
    <row r="2861" spans="1:8" ht="15.75" thickBot="1" x14ac:dyDescent="0.3">
      <c r="A2861" s="1" t="s">
        <v>2420</v>
      </c>
      <c r="B2861" s="1" t="s">
        <v>2421</v>
      </c>
      <c r="C2861" s="2" t="s">
        <v>145</v>
      </c>
      <c r="D2861" s="2" t="s">
        <v>124</v>
      </c>
      <c r="E2861" s="3" t="str">
        <f>IF(ISERROR(VLOOKUP(B2861,Failures!$A$1:$A$4000,1,FALSE)),"Keep","Delete")</f>
        <v>Keep</v>
      </c>
      <c r="F2861" t="str">
        <f>IF(ISNUMBER(SEARCH("#",B2861)), LEFT(B2861,FIND("#",B2861)-1), B2861)</f>
        <v xml:space="preserve">Phone Ing </v>
      </c>
      <c r="G2861" s="26">
        <f>IF(ISNUMBER(SEARCH("#",B2861)),VALUE(MID(B2861,FIND("#",B2861)+1,1000)),1)</f>
        <v>2</v>
      </c>
      <c r="H2861" t="str">
        <f>IF(AND(regexMatch(B2861,".*#[0-9]*$"),ISNUMBER(SEARCH("#",B2861))),CONCATENATE(TRIM(F2861)," #",G2861),B2861)</f>
        <v>Phone Ing #2</v>
      </c>
    </row>
    <row r="2862" spans="1:8" ht="15.75" thickBot="1" x14ac:dyDescent="0.3">
      <c r="A2862" s="1" t="s">
        <v>2422</v>
      </c>
      <c r="B2862" s="1" t="s">
        <v>2423</v>
      </c>
      <c r="C2862" s="2" t="s">
        <v>145</v>
      </c>
      <c r="D2862" s="2" t="s">
        <v>124</v>
      </c>
      <c r="E2862" s="3" t="str">
        <f>IF(ISERROR(VLOOKUP(B2862,Failures!$A$1:$A$4000,1,FALSE)),"Keep","Delete")</f>
        <v>Keep</v>
      </c>
      <c r="F2862" t="str">
        <f>IF(ISNUMBER(SEARCH("#",B2862)), LEFT(B2862,FIND("#",B2862)-1), B2862)</f>
        <v xml:space="preserve">Phone Ing </v>
      </c>
      <c r="G2862" s="26">
        <f>IF(ISNUMBER(SEARCH("#",B2862)),VALUE(MID(B2862,FIND("#",B2862)+1,1000)),1)</f>
        <v>3</v>
      </c>
      <c r="H2862" t="str">
        <f>IF(AND(regexMatch(B2862,".*#[0-9]*$"),ISNUMBER(SEARCH("#",B2862))),CONCATENATE(TRIM(F2862)," #",G2862),B2862)</f>
        <v>Phone Ing #3</v>
      </c>
    </row>
    <row r="2863" spans="1:8" ht="15.75" thickBot="1" x14ac:dyDescent="0.3">
      <c r="A2863" s="1" t="s">
        <v>2424</v>
      </c>
      <c r="B2863" s="1" t="s">
        <v>2425</v>
      </c>
      <c r="C2863" s="2" t="s">
        <v>145</v>
      </c>
      <c r="D2863" s="2" t="s">
        <v>124</v>
      </c>
      <c r="E2863" s="3" t="str">
        <f>IF(ISERROR(VLOOKUP(B2863,Failures!$A$1:$A$4000,1,FALSE)),"Keep","Delete")</f>
        <v>Keep</v>
      </c>
      <c r="F2863" t="str">
        <f>IF(ISNUMBER(SEARCH("#",B2863)), LEFT(B2863,FIND("#",B2863)-1), B2863)</f>
        <v xml:space="preserve">Phone Overlay </v>
      </c>
      <c r="G2863" s="26">
        <f>IF(ISNUMBER(SEARCH("#",B2863)),VALUE(MID(B2863,FIND("#",B2863)+1,1000)),1)</f>
        <v>1</v>
      </c>
      <c r="H2863" t="str">
        <f>IF(AND(regexMatch(B2863,".*#[0-9]*$"),ISNUMBER(SEARCH("#",B2863))),CONCATENATE(TRIM(F2863)," #",G2863),B2863)</f>
        <v>Phone Overlay #1</v>
      </c>
    </row>
    <row r="2864" spans="1:8" ht="15.75" thickBot="1" x14ac:dyDescent="0.3">
      <c r="A2864" s="1" t="s">
        <v>2426</v>
      </c>
      <c r="B2864" s="1" t="s">
        <v>2427</v>
      </c>
      <c r="C2864" s="2" t="s">
        <v>145</v>
      </c>
      <c r="D2864" s="2" t="s">
        <v>124</v>
      </c>
      <c r="E2864" s="3" t="str">
        <f>IF(ISERROR(VLOOKUP(B2864,Failures!$A$1:$A$4000,1,FALSE)),"Keep","Delete")</f>
        <v>Keep</v>
      </c>
      <c r="F2864" t="str">
        <f>IF(ISNUMBER(SEARCH("#",B2864)), LEFT(B2864,FIND("#",B2864)-1), B2864)</f>
        <v xml:space="preserve">Phone Overlay </v>
      </c>
      <c r="G2864" s="26">
        <f>IF(ISNUMBER(SEARCH("#",B2864)),VALUE(MID(B2864,FIND("#",B2864)+1,1000)),1)</f>
        <v>2</v>
      </c>
      <c r="H2864" t="str">
        <f>IF(AND(regexMatch(B2864,".*#[0-9]*$"),ISNUMBER(SEARCH("#",B2864))),CONCATENATE(TRIM(F2864)," #",G2864),B2864)</f>
        <v>Phone Overlay #2</v>
      </c>
    </row>
    <row r="2865" spans="1:8" ht="15.75" thickBot="1" x14ac:dyDescent="0.3">
      <c r="A2865" s="1" t="s">
        <v>2428</v>
      </c>
      <c r="B2865" s="1" t="s">
        <v>2429</v>
      </c>
      <c r="C2865" s="2" t="s">
        <v>145</v>
      </c>
      <c r="D2865" s="2" t="s">
        <v>124</v>
      </c>
      <c r="E2865" s="3" t="str">
        <f>IF(ISERROR(VLOOKUP(B2865,Failures!$A$1:$A$4000,1,FALSE)),"Keep","Delete")</f>
        <v>Keep</v>
      </c>
      <c r="F2865" t="str">
        <f>IF(ISNUMBER(SEARCH("#",B2865)), LEFT(B2865,FIND("#",B2865)-1), B2865)</f>
        <v>Phone Overlay Anim</v>
      </c>
      <c r="G2865" s="26">
        <f>IF(ISNUMBER(SEARCH("#",B2865)),VALUE(MID(B2865,FIND("#",B2865)+1,1000)),1)</f>
        <v>1</v>
      </c>
      <c r="H2865" t="str">
        <f>IF(AND(regexMatch(B2865,".*#[0-9]*$"),ISNUMBER(SEARCH("#",B2865))),CONCATENATE(TRIM(F2865)," #",G2865),B2865)</f>
        <v>Phone Overlay Anim</v>
      </c>
    </row>
    <row r="2866" spans="1:8" ht="15.75" thickBot="1" x14ac:dyDescent="0.3">
      <c r="A2866" s="1" t="s">
        <v>2430</v>
      </c>
      <c r="B2866" s="1" t="s">
        <v>2431</v>
      </c>
      <c r="C2866" s="2" t="s">
        <v>5</v>
      </c>
      <c r="D2866" s="2" t="s">
        <v>124</v>
      </c>
      <c r="E2866" s="3" t="str">
        <f>IF(ISERROR(VLOOKUP(B2866,Failures!$A$1:$A$4000,1,FALSE)),"Keep","Delete")</f>
        <v>Keep</v>
      </c>
      <c r="F2866" t="str">
        <f>IF(ISNUMBER(SEARCH("#",B2866)), LEFT(B2866,FIND("#",B2866)-1), B2866)</f>
        <v>Phone Prototype</v>
      </c>
      <c r="G2866" s="26">
        <f>IF(ISNUMBER(SEARCH("#",B2866)),VALUE(MID(B2866,FIND("#",B2866)+1,1000)),1)</f>
        <v>1</v>
      </c>
      <c r="H2866" t="str">
        <f>IF(AND(regexMatch(B2866,".*#[0-9]*$"),ISNUMBER(SEARCH("#",B2866))),CONCATENATE(TRIM(F2866)," #",G2866),B2866)</f>
        <v>Phone Prototype</v>
      </c>
    </row>
    <row r="2867" spans="1:8" ht="15.75" thickBot="1" x14ac:dyDescent="0.3">
      <c r="A2867" s="1" t="s">
        <v>2432</v>
      </c>
      <c r="B2867" s="1" t="s">
        <v>2433</v>
      </c>
      <c r="C2867" s="2" t="s">
        <v>5</v>
      </c>
      <c r="D2867" s="2" t="s">
        <v>124</v>
      </c>
      <c r="E2867" s="3" t="str">
        <f>IF(ISERROR(VLOOKUP(B2867,Failures!$A$1:$A$4000,1,FALSE)),"Keep","Delete")</f>
        <v>Keep</v>
      </c>
      <c r="F2867" t="str">
        <f>IF(ISNUMBER(SEARCH("#",B2867)), LEFT(B2867,FIND("#",B2867)-1), B2867)</f>
        <v>Phone Prototype Back</v>
      </c>
      <c r="G2867" s="26">
        <f>IF(ISNUMBER(SEARCH("#",B2867)),VALUE(MID(B2867,FIND("#",B2867)+1,1000)),1)</f>
        <v>1</v>
      </c>
      <c r="H2867" t="str">
        <f>IF(AND(regexMatch(B2867,".*#[0-9]*$"),ISNUMBER(SEARCH("#",B2867))),CONCATENATE(TRIM(F2867)," #",G2867),B2867)</f>
        <v>Phone Prototype Back</v>
      </c>
    </row>
    <row r="2868" spans="1:8" ht="15.75" thickBot="1" x14ac:dyDescent="0.3">
      <c r="A2868" s="1" t="s">
        <v>2434</v>
      </c>
      <c r="B2868" s="1" t="s">
        <v>2435</v>
      </c>
      <c r="C2868" s="2" t="s">
        <v>5</v>
      </c>
      <c r="D2868" s="2" t="s">
        <v>124</v>
      </c>
      <c r="E2868" s="3" t="str">
        <f>IF(ISERROR(VLOOKUP(B2868,Failures!$A$1:$A$4000,1,FALSE)),"Keep","Delete")</f>
        <v>Keep</v>
      </c>
      <c r="F2868" t="str">
        <f>IF(ISNUMBER(SEARCH("#",B2868)), LEFT(B2868,FIND("#",B2868)-1), B2868)</f>
        <v>Phone Prototype Battery</v>
      </c>
      <c r="G2868" s="26">
        <f>IF(ISNUMBER(SEARCH("#",B2868)),VALUE(MID(B2868,FIND("#",B2868)+1,1000)),1)</f>
        <v>1</v>
      </c>
      <c r="H2868" t="str">
        <f>IF(AND(regexMatch(B2868,".*#[0-9]*$"),ISNUMBER(SEARCH("#",B2868))),CONCATENATE(TRIM(F2868)," #",G2868),B2868)</f>
        <v>Phone Prototype Battery</v>
      </c>
    </row>
    <row r="2869" spans="1:8" ht="15.75" thickBot="1" x14ac:dyDescent="0.3">
      <c r="A2869" s="1" t="s">
        <v>2602</v>
      </c>
      <c r="B2869" s="1" t="s">
        <v>2603</v>
      </c>
      <c r="C2869" s="2" t="s">
        <v>5</v>
      </c>
      <c r="D2869" s="2" t="s">
        <v>124</v>
      </c>
      <c r="E2869" s="3" t="str">
        <f>IF(ISERROR(VLOOKUP(B2869,Failures!$A$1:$A$4000,1,FALSE)),"Keep","Delete")</f>
        <v>Keep</v>
      </c>
      <c r="F2869" t="str">
        <f>IF(ISNUMBER(SEARCH("#",B2869)), LEFT(B2869,FIND("#",B2869)-1), B2869)</f>
        <v>Prologue Phone</v>
      </c>
      <c r="G2869" s="26">
        <f>IF(ISNUMBER(SEARCH("#",B2869)),VALUE(MID(B2869,FIND("#",B2869)+1,1000)),1)</f>
        <v>1</v>
      </c>
      <c r="H2869" t="str">
        <f>IF(AND(regexMatch(B2869,".*#[0-9]*$"),ISNUMBER(SEARCH("#",B2869))),CONCATENATE(TRIM(F2869)," #",G2869),B2869)</f>
        <v>Prologue Phone</v>
      </c>
    </row>
    <row r="2870" spans="1:8" ht="15.75" thickBot="1" x14ac:dyDescent="0.3">
      <c r="A2870" s="1" t="s">
        <v>3328</v>
      </c>
      <c r="B2870" s="1" t="s">
        <v>3329</v>
      </c>
      <c r="C2870" s="4" t="s">
        <v>145</v>
      </c>
      <c r="D2870" s="2" t="s">
        <v>124</v>
      </c>
      <c r="E2870" s="3" t="str">
        <f>IF(ISERROR(VLOOKUP(B2870,Failures!$A$1:$A$4000,1,FALSE)),"Keep","Delete")</f>
        <v>Keep</v>
      </c>
      <c r="F2870" t="str">
        <f>IF(ISNUMBER(SEARCH("#",B2870)), LEFT(B2870,FIND("#",B2870)-1), B2870)</f>
        <v xml:space="preserve">V M Phone </v>
      </c>
      <c r="G2870" s="26">
        <f>IF(ISNUMBER(SEARCH("#",B2870)),VALUE(MID(B2870,FIND("#",B2870)+1,1000)),1)</f>
        <v>1</v>
      </c>
      <c r="H2870" t="str">
        <f>IF(AND(regexMatch(B2870,".*#[0-9]*$"),ISNUMBER(SEARCH("#",B2870))),CONCATENATE(TRIM(F2870)," #",G2870),B2870)</f>
        <v>V M Phone #1</v>
      </c>
    </row>
    <row r="2871" spans="1:8" ht="15.75" thickBot="1" x14ac:dyDescent="0.3">
      <c r="A2871" s="1" t="s">
        <v>3330</v>
      </c>
      <c r="B2871" s="1" t="s">
        <v>3331</v>
      </c>
      <c r="C2871" s="4" t="s">
        <v>145</v>
      </c>
      <c r="D2871" s="2" t="s">
        <v>124</v>
      </c>
      <c r="E2871" s="3" t="str">
        <f>IF(ISERROR(VLOOKUP(B2871,Failures!$A$1:$A$4000,1,FALSE)),"Keep","Delete")</f>
        <v>Keep</v>
      </c>
      <c r="F2871" t="str">
        <f>IF(ISNUMBER(SEARCH("#",B2871)), LEFT(B2871,FIND("#",B2871)-1), B2871)</f>
        <v>V M Phone O1S</v>
      </c>
      <c r="G2871" s="26">
        <f>IF(ISNUMBER(SEARCH("#",B2871)),VALUE(MID(B2871,FIND("#",B2871)+1,1000)),1)</f>
        <v>1</v>
      </c>
      <c r="H2871" t="str">
        <f>IF(AND(regexMatch(B2871,".*#[0-9]*$"),ISNUMBER(SEARCH("#",B2871))),CONCATENATE(TRIM(F2871)," #",G2871),B2871)</f>
        <v>V M Phone O1S</v>
      </c>
    </row>
    <row r="2872" spans="1:8" ht="15.75" thickBot="1" x14ac:dyDescent="0.3">
      <c r="A2872" s="1" t="s">
        <v>1426</v>
      </c>
      <c r="B2872" s="1" t="s">
        <v>1427</v>
      </c>
      <c r="C2872" s="2" t="s">
        <v>5</v>
      </c>
      <c r="D2872" s="2" t="s">
        <v>130</v>
      </c>
      <c r="E2872" s="3" t="str">
        <f>IF(ISERROR(VLOOKUP(B2872,Failures!$A$1:$A$4000,1,FALSE)),"Keep","Delete")</f>
        <v>Keep</v>
      </c>
      <c r="F2872" t="str">
        <f>IF(ISNUMBER(SEARCH("#",B2872)), LEFT(B2872,FIND("#",B2872)-1), B2872)</f>
        <v>ATM (Fleeca)</v>
      </c>
      <c r="G2872" s="26">
        <f>IF(ISNUMBER(SEARCH("#",B2872)),VALUE(MID(B2872,FIND("#",B2872)+1,1000)),1)</f>
        <v>1</v>
      </c>
      <c r="H2872" t="str">
        <f>IF(AND(regexMatch(B2872,".*#[0-9]*$"),ISNUMBER(SEARCH("#",B2872))),CONCATENATE(TRIM(F2872)," #",G2872),B2872)</f>
        <v>ATM (Fleeca)</v>
      </c>
    </row>
    <row r="2873" spans="1:8" ht="15.75" thickBot="1" x14ac:dyDescent="0.3">
      <c r="A2873" s="7" t="s">
        <v>4352</v>
      </c>
      <c r="B2873" s="1" t="s">
        <v>4671</v>
      </c>
      <c r="C2873" s="9"/>
      <c r="D2873" s="2" t="s">
        <v>130</v>
      </c>
      <c r="E2873" s="3" t="str">
        <f>IF(ISERROR(VLOOKUP(B2873,Failures!$A$1:$A$4000,1,FALSE)),"Keep","Delete")</f>
        <v>Keep</v>
      </c>
      <c r="F2873" t="str">
        <f>IF(ISNUMBER(SEARCH("#",B2873)), LEFT(B2873,FIND("#",B2873)-1), B2873)</f>
        <v>ATM (Freestanding)</v>
      </c>
      <c r="G2873" s="26">
        <f>IF(ISNUMBER(SEARCH("#",B2873)),VALUE(MID(B2873,FIND("#",B2873)+1,1000)),1)</f>
        <v>1</v>
      </c>
      <c r="H2873" t="str">
        <f>IF(AND(regexMatch(B2873,".*#[0-9]*$"),ISNUMBER(SEARCH("#",B2873))),CONCATENATE(TRIM(F2873)," #",G2873),B2873)</f>
        <v>ATM (Freestanding)</v>
      </c>
    </row>
    <row r="2874" spans="1:8" ht="15.75" thickBot="1" x14ac:dyDescent="0.3">
      <c r="A2874" s="1" t="s">
        <v>171</v>
      </c>
      <c r="B2874" s="1" t="s">
        <v>172</v>
      </c>
      <c r="C2874" s="2" t="s">
        <v>5</v>
      </c>
      <c r="D2874" s="2" t="s">
        <v>130</v>
      </c>
      <c r="E2874" s="3" t="str">
        <f>IF(ISERROR(VLOOKUP(B2874,Failures!$A$1:$A$4000,1,FALSE)),"Keep","Delete")</f>
        <v>Keep</v>
      </c>
      <c r="F2874" t="str">
        <f>IF(ISNUMBER(SEARCH("#",B2874)), LEFT(B2874,FIND("#",B2874)-1), B2874)</f>
        <v xml:space="preserve">ATM (Wall) </v>
      </c>
      <c r="G2874" s="26">
        <f>IF(ISNUMBER(SEARCH("#",B2874)),VALUE(MID(B2874,FIND("#",B2874)+1,1000)),1)</f>
        <v>1</v>
      </c>
      <c r="H2874" t="str">
        <f>IF(AND(regexMatch(B2874,".*#[0-9]*$"),ISNUMBER(SEARCH("#",B2874))),CONCATENATE(TRIM(F2874)," #",G2874),B2874)</f>
        <v>ATM (Wall) #1</v>
      </c>
    </row>
    <row r="2875" spans="1:8" ht="15.75" thickBot="1" x14ac:dyDescent="0.3">
      <c r="A2875" s="1" t="s">
        <v>173</v>
      </c>
      <c r="B2875" s="1" t="s">
        <v>174</v>
      </c>
      <c r="C2875" s="2" t="s">
        <v>5</v>
      </c>
      <c r="D2875" s="2" t="s">
        <v>130</v>
      </c>
      <c r="E2875" s="3" t="str">
        <f>IF(ISERROR(VLOOKUP(B2875,Failures!$A$1:$A$4000,1,FALSE)),"Keep","Delete")</f>
        <v>Keep</v>
      </c>
      <c r="F2875" t="str">
        <f>IF(ISNUMBER(SEARCH("#",B2875)), LEFT(B2875,FIND("#",B2875)-1), B2875)</f>
        <v xml:space="preserve">ATM (Wall) </v>
      </c>
      <c r="G2875" s="26">
        <f>IF(ISNUMBER(SEARCH("#",B2875)),VALUE(MID(B2875,FIND("#",B2875)+1,1000)),1)</f>
        <v>2</v>
      </c>
      <c r="H2875" t="str">
        <f>IF(AND(regexMatch(B2875,".*#[0-9]*$"),ISNUMBER(SEARCH("#",B2875))),CONCATENATE(TRIM(F2875)," #",G2875),B2875)</f>
        <v>ATM (Wall) #2</v>
      </c>
    </row>
    <row r="2876" spans="1:8" ht="15.75" thickBot="1" x14ac:dyDescent="0.3">
      <c r="A2876" s="1" t="s">
        <v>608</v>
      </c>
      <c r="B2876" s="1" t="s">
        <v>609</v>
      </c>
      <c r="C2876" s="2" t="s">
        <v>5</v>
      </c>
      <c r="D2876" s="2" t="s">
        <v>130</v>
      </c>
      <c r="E2876" s="3" t="str">
        <f>IF(ISERROR(VLOOKUP(B2876,Failures!$A$1:$A$4000,1,FALSE)),"Keep","Delete")</f>
        <v>Keep</v>
      </c>
      <c r="F2876" t="str">
        <f>IF(ISNUMBER(SEARCH("#",B2876)), LEFT(B2876,FIND("#",B2876)-1), B2876)</f>
        <v xml:space="preserve">Cash Case </v>
      </c>
      <c r="G2876" s="26">
        <f>IF(ISNUMBER(SEARCH("#",B2876)),VALUE(MID(B2876,FIND("#",B2876)+1,1000)),1)</f>
        <v>1</v>
      </c>
      <c r="H2876" t="str">
        <f>IF(AND(regexMatch(B2876,".*#[0-9]*$"),ISNUMBER(SEARCH("#",B2876))),CONCATENATE(TRIM(F2876)," #",G2876),B2876)</f>
        <v>Cash Case #1</v>
      </c>
    </row>
    <row r="2877" spans="1:8" ht="15.75" thickBot="1" x14ac:dyDescent="0.3">
      <c r="A2877" s="1" t="s">
        <v>610</v>
      </c>
      <c r="B2877" s="1" t="s">
        <v>611</v>
      </c>
      <c r="C2877" s="2" t="s">
        <v>5</v>
      </c>
      <c r="D2877" s="2" t="s">
        <v>130</v>
      </c>
      <c r="E2877" s="3" t="str">
        <f>IF(ISERROR(VLOOKUP(B2877,Failures!$A$1:$A$4000,1,FALSE)),"Keep","Delete")</f>
        <v>Keep</v>
      </c>
      <c r="F2877" t="str">
        <f>IF(ISNUMBER(SEARCH("#",B2877)), LEFT(B2877,FIND("#",B2877)-1), B2877)</f>
        <v xml:space="preserve">Cash Case </v>
      </c>
      <c r="G2877" s="26">
        <f>IF(ISNUMBER(SEARCH("#",B2877)),VALUE(MID(B2877,FIND("#",B2877)+1,1000)),1)</f>
        <v>2</v>
      </c>
      <c r="H2877" t="str">
        <f>IF(AND(regexMatch(B2877,".*#[0-9]*$"),ISNUMBER(SEARCH("#",B2877))),CONCATENATE(TRIM(F2877)," #",G2877),B2877)</f>
        <v>Cash Case #2</v>
      </c>
    </row>
    <row r="2878" spans="1:8" ht="15.75" thickBot="1" x14ac:dyDescent="0.3">
      <c r="A2878" s="1" t="s">
        <v>612</v>
      </c>
      <c r="B2878" s="1" t="s">
        <v>3556</v>
      </c>
      <c r="C2878" s="2" t="s">
        <v>5</v>
      </c>
      <c r="D2878" s="2" t="s">
        <v>130</v>
      </c>
      <c r="E2878" s="3" t="str">
        <f>IF(ISERROR(VLOOKUP(B2878,Failures!$A$1:$A$4000,1,FALSE)),"Keep","Delete")</f>
        <v>Keep</v>
      </c>
      <c r="F2878" t="str">
        <f>IF(ISNUMBER(SEARCH("#",B2878)), LEFT(B2878,FIND("#",B2878)-1), B2878)</f>
        <v>Cash Crate</v>
      </c>
      <c r="G2878" s="26">
        <f>IF(ISNUMBER(SEARCH("#",B2878)),VALUE(MID(B2878,FIND("#",B2878)+1,1000)),1)</f>
        <v>1</v>
      </c>
      <c r="H2878" t="str">
        <f>IF(AND(regexMatch(B2878,".*#[0-9]*$"),ISNUMBER(SEARCH("#",B2878))),CONCATENATE(TRIM(F2878)," #",G2878),B2878)</f>
        <v>Cash Crate</v>
      </c>
    </row>
    <row r="2879" spans="1:8" ht="15.75" thickBot="1" x14ac:dyDescent="0.3">
      <c r="A2879" s="1" t="s">
        <v>613</v>
      </c>
      <c r="B2879" s="1" t="s">
        <v>3557</v>
      </c>
      <c r="C2879" s="2" t="s">
        <v>5</v>
      </c>
      <c r="D2879" s="2" t="s">
        <v>130</v>
      </c>
      <c r="E2879" s="3" t="str">
        <f>IF(ISERROR(VLOOKUP(B2879,Failures!$A$1:$A$4000,1,FALSE)),"Keep","Delete")</f>
        <v>Keep</v>
      </c>
      <c r="F2879" t="str">
        <f>IF(ISNUMBER(SEARCH("#",B2879)), LEFT(B2879,FIND("#",B2879)-1), B2879)</f>
        <v>Cash Deposit Bag</v>
      </c>
      <c r="G2879" s="26">
        <f>IF(ISNUMBER(SEARCH("#",B2879)),VALUE(MID(B2879,FIND("#",B2879)+1,1000)),1)</f>
        <v>1</v>
      </c>
      <c r="H2879" t="str">
        <f>IF(AND(regexMatch(B2879,".*#[0-9]*$"),ISNUMBER(SEARCH("#",B2879))),CONCATENATE(TRIM(F2879)," #",G2879),B2879)</f>
        <v>Cash Deposit Bag</v>
      </c>
    </row>
    <row r="2880" spans="1:8" ht="15.75" thickBot="1" x14ac:dyDescent="0.3">
      <c r="A2880" s="1" t="s">
        <v>614</v>
      </c>
      <c r="B2880" s="1" t="s">
        <v>615</v>
      </c>
      <c r="C2880" s="2" t="s">
        <v>5</v>
      </c>
      <c r="D2880" s="2" t="s">
        <v>130</v>
      </c>
      <c r="E2880" s="3" t="str">
        <f>IF(ISERROR(VLOOKUP(B2880,Failures!$A$1:$A$4000,1,FALSE)),"Keep","Delete")</f>
        <v>Keep</v>
      </c>
      <c r="F2880" t="str">
        <f>IF(ISNUMBER(SEARCH("#",B2880)), LEFT(B2880,FIND("#",B2880)-1), B2880)</f>
        <v xml:space="preserve">Cash Envelope </v>
      </c>
      <c r="G2880" s="26">
        <f>IF(ISNUMBER(SEARCH("#",B2880)),VALUE(MID(B2880,FIND("#",B2880)+1,1000)),1)</f>
        <v>1</v>
      </c>
      <c r="H2880" t="str">
        <f>IF(AND(regexMatch(B2880,".*#[0-9]*$"),ISNUMBER(SEARCH("#",B2880))),CONCATENATE(TRIM(F2880)," #",G2880),B2880)</f>
        <v>Cash Envelope #1</v>
      </c>
    </row>
    <row r="2881" spans="1:8" ht="15.75" thickBot="1" x14ac:dyDescent="0.3">
      <c r="A2881" s="7" t="s">
        <v>4277</v>
      </c>
      <c r="B2881" s="1" t="s">
        <v>11159</v>
      </c>
      <c r="C2881" s="9"/>
      <c r="D2881" s="2" t="s">
        <v>130</v>
      </c>
      <c r="E2881" s="3" t="str">
        <f>IF(ISERROR(VLOOKUP(B2881,Failures!$A$1:$A$4000,1,FALSE)),"Keep","Delete")</f>
        <v>Keep</v>
      </c>
      <c r="F2881" t="str">
        <f>IF(ISNUMBER(SEARCH("#",B2881)), LEFT(B2881,FIND("#",B2881)-1), B2881)</f>
        <v xml:space="preserve">Cash Envelope </v>
      </c>
      <c r="G2881" s="26">
        <f>IF(ISNUMBER(SEARCH("#",B2881)),VALUE(MID(B2881,FIND("#",B2881)+1,1000)),1)</f>
        <v>2</v>
      </c>
      <c r="H2881" t="str">
        <f>IF(AND(regexMatch(B2881,".*#[0-9]*$"),ISNUMBER(SEARCH("#",B2881))),CONCATENATE(TRIM(F2881)," #",G2881),B2881)</f>
        <v>Cash Envelope #2</v>
      </c>
    </row>
    <row r="2882" spans="1:8" ht="15.75" thickBot="1" x14ac:dyDescent="0.3">
      <c r="A2882" s="1" t="s">
        <v>128</v>
      </c>
      <c r="B2882" s="1" t="s">
        <v>129</v>
      </c>
      <c r="C2882" s="2" t="s">
        <v>5</v>
      </c>
      <c r="D2882" s="2" t="s">
        <v>130</v>
      </c>
      <c r="E2882" s="3" t="str">
        <f>IF(ISERROR(VLOOKUP(B2882,Failures!$A$1:$A$4000,1,FALSE)),"Keep","Delete")</f>
        <v>Keep</v>
      </c>
      <c r="F2882" t="str">
        <f>IF(ISNUMBER(SEARCH("#",B2882)), LEFT(B2882,FIND("#",B2882)-1), B2882)</f>
        <v>Cash Note</v>
      </c>
      <c r="G2882" s="26">
        <f>IF(ISNUMBER(SEARCH("#",B2882)),VALUE(MID(B2882,FIND("#",B2882)+1,1000)),1)</f>
        <v>1</v>
      </c>
      <c r="H2882" t="str">
        <f>IF(AND(regexMatch(B2882,".*#[0-9]*$"),ISNUMBER(SEARCH("#",B2882))),CONCATENATE(TRIM(F2882)," #",G2882),B2882)</f>
        <v>Cash Note</v>
      </c>
    </row>
    <row r="2883" spans="1:8" ht="15.75" thickBot="1" x14ac:dyDescent="0.3">
      <c r="A2883" s="1" t="s">
        <v>616</v>
      </c>
      <c r="B2883" s="1" t="s">
        <v>617</v>
      </c>
      <c r="C2883" s="2" t="s">
        <v>5</v>
      </c>
      <c r="D2883" s="2" t="s">
        <v>130</v>
      </c>
      <c r="E2883" s="3" t="str">
        <f>IF(ISERROR(VLOOKUP(B2883,Failures!$A$1:$A$4000,1,FALSE)),"Keep","Delete")</f>
        <v>Keep</v>
      </c>
      <c r="F2883" t="str">
        <f>IF(ISNUMBER(SEARCH("#",B2883)), LEFT(B2883,FIND("#",B2883)-1), B2883)</f>
        <v xml:space="preserve">Cash Note </v>
      </c>
      <c r="G2883" s="26">
        <f>IF(ISNUMBER(SEARCH("#",B2883)),VALUE(MID(B2883,FIND("#",B2883)+1,1000)),1)</f>
        <v>1</v>
      </c>
      <c r="H2883" t="str">
        <f>IF(AND(regexMatch(B2883,".*#[0-9]*$"),ISNUMBER(SEARCH("#",B2883))),CONCATENATE(TRIM(F2883)," #",G2883),B2883)</f>
        <v>Cash Note #1</v>
      </c>
    </row>
    <row r="2884" spans="1:8" ht="15.75" thickBot="1" x14ac:dyDescent="0.3">
      <c r="A2884" s="1" t="s">
        <v>884</v>
      </c>
      <c r="B2884" s="1" t="s">
        <v>3559</v>
      </c>
      <c r="C2884" s="2" t="s">
        <v>5</v>
      </c>
      <c r="D2884" s="2" t="s">
        <v>130</v>
      </c>
      <c r="E2884" s="3" t="str">
        <f>IF(ISERROR(VLOOKUP(B2884,Failures!$A$1:$A$4000,1,FALSE)),"Keep","Delete")</f>
        <v>Keep</v>
      </c>
      <c r="F2884" t="str">
        <f>IF(ISNUMBER(SEARCH("#",B2884)), LEFT(B2884,FIND("#",B2884)-1), B2884)</f>
        <v xml:space="preserve">Cash Note </v>
      </c>
      <c r="G2884" s="26">
        <f>IF(ISNUMBER(SEARCH("#",B2884)),VALUE(MID(B2884,FIND("#",B2884)+1,1000)),1)</f>
        <v>2</v>
      </c>
      <c r="H2884" t="str">
        <f>IF(AND(regexMatch(B2884,".*#[0-9]*$"),ISNUMBER(SEARCH("#",B2884))),CONCATENATE(TRIM(F2884)," #",G2884),B2884)</f>
        <v>Cash Note #2</v>
      </c>
    </row>
    <row r="2885" spans="1:8" ht="15.75" thickBot="1" x14ac:dyDescent="0.3">
      <c r="A2885" s="1" t="s">
        <v>131</v>
      </c>
      <c r="B2885" s="1" t="s">
        <v>3560</v>
      </c>
      <c r="C2885" s="2" t="s">
        <v>5</v>
      </c>
      <c r="D2885" s="2" t="s">
        <v>130</v>
      </c>
      <c r="E2885" s="3" t="str">
        <f>IF(ISERROR(VLOOKUP(B2885,Failures!$A$1:$A$4000,1,FALSE)),"Keep","Delete")</f>
        <v>Keep</v>
      </c>
      <c r="F2885" t="str">
        <f>IF(ISNUMBER(SEARCH("#",B2885)), LEFT(B2885,FIND("#",B2885)-1), B2885)</f>
        <v xml:space="preserve">Cash Note </v>
      </c>
      <c r="G2885" s="26">
        <f>IF(ISNUMBER(SEARCH("#",B2885)),VALUE(MID(B2885,FIND("#",B2885)+1,1000)),1)</f>
        <v>3</v>
      </c>
      <c r="H2885" t="str">
        <f>IF(AND(regexMatch(B2885,".*#[0-9]*$"),ISNUMBER(SEARCH("#",B2885))),CONCATENATE(TRIM(F2885)," #",G2885),B2885)</f>
        <v>Cash Note #3</v>
      </c>
    </row>
    <row r="2886" spans="1:8" ht="15.75" thickBot="1" x14ac:dyDescent="0.3">
      <c r="A2886" s="1" t="s">
        <v>618</v>
      </c>
      <c r="B2886" s="1" t="s">
        <v>133</v>
      </c>
      <c r="C2886" s="2" t="s">
        <v>5</v>
      </c>
      <c r="D2886" s="2" t="s">
        <v>130</v>
      </c>
      <c r="E2886" s="3" t="str">
        <f>IF(ISERROR(VLOOKUP(B2886,Failures!$A$1:$A$4000,1,FALSE)),"Keep","Delete")</f>
        <v>Keep</v>
      </c>
      <c r="F2886" t="str">
        <f>IF(ISNUMBER(SEARCH("#",B2886)), LEFT(B2886,FIND("#",B2886)-1), B2886)</f>
        <v xml:space="preserve">Cash Pile </v>
      </c>
      <c r="G2886" s="26">
        <f>IF(ISNUMBER(SEARCH("#",B2886)),VALUE(MID(B2886,FIND("#",B2886)+1,1000)),1)</f>
        <v>1</v>
      </c>
      <c r="H2886" t="str">
        <f>IF(AND(regexMatch(B2886,".*#[0-9]*$"),ISNUMBER(SEARCH("#",B2886))),CONCATENATE(TRIM(F2886)," #",G2886),B2886)</f>
        <v>Cash Pile #1</v>
      </c>
    </row>
    <row r="2887" spans="1:8" ht="15.75" thickBot="1" x14ac:dyDescent="0.3">
      <c r="A2887" s="1" t="s">
        <v>132</v>
      </c>
      <c r="B2887" s="1" t="s">
        <v>3561</v>
      </c>
      <c r="C2887" s="2" t="s">
        <v>5</v>
      </c>
      <c r="D2887" s="2" t="s">
        <v>130</v>
      </c>
      <c r="E2887" s="3" t="str">
        <f>IF(ISERROR(VLOOKUP(B2887,Failures!$A$1:$A$4000,1,FALSE)),"Keep","Delete")</f>
        <v>Keep</v>
      </c>
      <c r="F2887" t="str">
        <f>IF(ISNUMBER(SEARCH("#",B2887)), LEFT(B2887,FIND("#",B2887)-1), B2887)</f>
        <v xml:space="preserve">Cash Pile </v>
      </c>
      <c r="G2887" s="26">
        <v>1</v>
      </c>
      <c r="H2887" t="str">
        <f>IF(AND(regexMatch(B2887,".*#[0-9]*$"),ISNUMBER(SEARCH("#",B2887))),CONCATENATE(TRIM(F2887)," #",G2887),B2887)</f>
        <v>Cash Pile #1 Anim</v>
      </c>
    </row>
    <row r="2888" spans="1:8" ht="15.75" thickBot="1" x14ac:dyDescent="0.3">
      <c r="A2888" s="1" t="s">
        <v>619</v>
      </c>
      <c r="B2888" s="1" t="s">
        <v>135</v>
      </c>
      <c r="C2888" s="2" t="s">
        <v>5</v>
      </c>
      <c r="D2888" s="2" t="s">
        <v>130</v>
      </c>
      <c r="E2888" s="3" t="str">
        <f>IF(ISERROR(VLOOKUP(B2888,Failures!$A$1:$A$4000,1,FALSE)),"Keep","Delete")</f>
        <v>Keep</v>
      </c>
      <c r="F2888" t="str">
        <f>IF(ISNUMBER(SEARCH("#",B2888)), LEFT(B2888,FIND("#",B2888)-1), B2888)</f>
        <v xml:space="preserve">Cash Pile </v>
      </c>
      <c r="G2888" s="26">
        <f>IF(ISNUMBER(SEARCH("#",B2888)),VALUE(MID(B2888,FIND("#",B2888)+1,1000)),1)</f>
        <v>2</v>
      </c>
      <c r="H2888" t="str">
        <f>IF(AND(regexMatch(B2888,".*#[0-9]*$"),ISNUMBER(SEARCH("#",B2888))),CONCATENATE(TRIM(F2888)," #",G2888),B2888)</f>
        <v>Cash Pile #2</v>
      </c>
    </row>
    <row r="2889" spans="1:8" ht="15.75" thickBot="1" x14ac:dyDescent="0.3">
      <c r="A2889" s="1" t="s">
        <v>134</v>
      </c>
      <c r="B2889" s="1" t="s">
        <v>3562</v>
      </c>
      <c r="C2889" s="2" t="s">
        <v>5</v>
      </c>
      <c r="D2889" s="2" t="s">
        <v>130</v>
      </c>
      <c r="E2889" s="3" t="str">
        <f>IF(ISERROR(VLOOKUP(B2889,Failures!$A$1:$A$4000,1,FALSE)),"Keep","Delete")</f>
        <v>Keep</v>
      </c>
      <c r="F2889" t="str">
        <f>IF(ISNUMBER(SEARCH("#",B2889)), LEFT(B2889,FIND("#",B2889)-1), B2889)</f>
        <v xml:space="preserve">Cash Pile </v>
      </c>
      <c r="G2889" s="26">
        <v>2</v>
      </c>
      <c r="H2889" t="str">
        <f>IF(AND(regexMatch(B2889,".*#[0-9]*$"),ISNUMBER(SEARCH("#",B2889))),CONCATENATE(TRIM(F2889)," #",G2889),B2889)</f>
        <v>Cash Pile #2 Anim</v>
      </c>
    </row>
    <row r="2890" spans="1:8" ht="15.75" thickBot="1" x14ac:dyDescent="0.3">
      <c r="A2890" s="1" t="s">
        <v>620</v>
      </c>
      <c r="B2890" s="1" t="s">
        <v>621</v>
      </c>
      <c r="C2890" s="2" t="s">
        <v>5</v>
      </c>
      <c r="D2890" s="2" t="s">
        <v>130</v>
      </c>
      <c r="E2890" s="3" t="str">
        <f>IF(ISERROR(VLOOKUP(B2890,Failures!$A$1:$A$4000,1,FALSE)),"Keep","Delete")</f>
        <v>Keep</v>
      </c>
      <c r="F2890" t="str">
        <f>IF(ISNUMBER(SEARCH("#",B2890)), LEFT(B2890,FIND("#",B2890)-1), B2890)</f>
        <v>Cash Trolley</v>
      </c>
      <c r="G2890" s="26">
        <f>IF(ISNUMBER(SEARCH("#",B2890)),VALUE(MID(B2890,FIND("#",B2890)+1,1000)),1)</f>
        <v>1</v>
      </c>
      <c r="H2890" t="str">
        <f>IF(AND(regexMatch(B2890,".*#[0-9]*$"),ISNUMBER(SEARCH("#",B2890))),CONCATENATE(TRIM(F2890)," #",G2890),B2890)</f>
        <v>Cash Trolley</v>
      </c>
    </row>
    <row r="2891" spans="1:8" ht="15.75" thickBot="1" x14ac:dyDescent="0.3">
      <c r="A2891" s="1" t="s">
        <v>5406</v>
      </c>
      <c r="B2891" s="1" t="s">
        <v>10089</v>
      </c>
      <c r="C2891" s="1"/>
      <c r="D2891" s="2" t="s">
        <v>130</v>
      </c>
      <c r="E2891" s="3" t="str">
        <f>IF(ISERROR(VLOOKUP(B2891,Failures!$A$1:$A$4000,1,FALSE)),"Keep","Delete")</f>
        <v>Keep</v>
      </c>
      <c r="F2891" t="str">
        <f>IF(ISNUMBER(SEARCH("#",B2891)), LEFT(B2891,FIND("#",B2891)-1), B2891)</f>
        <v>Chest of Gold</v>
      </c>
      <c r="G2891" s="26">
        <f>IF(ISNUMBER(SEARCH("#",B2891)),VALUE(MID(B2891,FIND("#",B2891)+1,1000)),1)</f>
        <v>1</v>
      </c>
      <c r="H2891" t="str">
        <f>IF(AND(regexMatch(B2891,".*#[0-9]*$"),ISNUMBER(SEARCH("#",B2891))),CONCATENATE(TRIM(F2891)," #",G2891),B2891)</f>
        <v>Chest of Gold</v>
      </c>
    </row>
    <row r="2892" spans="1:8" ht="15.75" thickBot="1" x14ac:dyDescent="0.3">
      <c r="A2892" s="1" t="s">
        <v>1579</v>
      </c>
      <c r="B2892" s="1" t="s">
        <v>1580</v>
      </c>
      <c r="C2892" s="4" t="s">
        <v>5</v>
      </c>
      <c r="D2892" s="2" t="s">
        <v>130</v>
      </c>
      <c r="E2892" s="3" t="str">
        <f>IF(ISERROR(VLOOKUP(B2892,Failures!$A$1:$A$4000,1,FALSE)),"Keep","Delete")</f>
        <v>Keep</v>
      </c>
      <c r="F2892" t="str">
        <f>IF(ISNUMBER(SEARCH("#",B2892)), LEFT(B2892,FIND("#",B2892)-1), B2892)</f>
        <v>Gold Bar</v>
      </c>
      <c r="G2892" s="26">
        <f>IF(ISNUMBER(SEARCH("#",B2892)),VALUE(MID(B2892,FIND("#",B2892)+1,1000)),1)</f>
        <v>1</v>
      </c>
      <c r="H2892" t="str">
        <f>IF(AND(regexMatch(B2892,".*#[0-9]*$"),ISNUMBER(SEARCH("#",B2892))),CONCATENATE(TRIM(F2892)," #",G2892),B2892)</f>
        <v>Gold Bar</v>
      </c>
    </row>
    <row r="2893" spans="1:8" ht="15.75" thickBot="1" x14ac:dyDescent="0.3">
      <c r="A2893" s="1" t="s">
        <v>1581</v>
      </c>
      <c r="B2893" s="1" t="s">
        <v>3702</v>
      </c>
      <c r="C2893" s="4" t="s">
        <v>145</v>
      </c>
      <c r="D2893" s="2" t="s">
        <v>130</v>
      </c>
      <c r="E2893" s="3" t="str">
        <f>IF(ISERROR(VLOOKUP(B2893,Failures!$A$1:$A$4000,1,FALSE)),"Keep","Delete")</f>
        <v>Keep</v>
      </c>
      <c r="F2893" t="str">
        <f>IF(ISNUMBER(SEARCH("#",B2893)), LEFT(B2893,FIND("#",B2893)-1), B2893)</f>
        <v xml:space="preserve">Gold Container </v>
      </c>
      <c r="G2893" s="26">
        <f>IF(ISNUMBER(SEARCH("#",B2893)),VALUE(MID(B2893,FIND("#",B2893)+1,1000)),1)</f>
        <v>1</v>
      </c>
      <c r="H2893" t="str">
        <f>IF(AND(regexMatch(B2893,".*#[0-9]*$"),ISNUMBER(SEARCH("#",B2893))),CONCATENATE(TRIM(F2893)," #",G2893),B2893)</f>
        <v>Gold Container #1</v>
      </c>
    </row>
    <row r="2894" spans="1:8" ht="15.75" thickBot="1" x14ac:dyDescent="0.3">
      <c r="A2894" s="1" t="s">
        <v>1582</v>
      </c>
      <c r="B2894" s="1" t="s">
        <v>3703</v>
      </c>
      <c r="C2894" s="2" t="s">
        <v>145</v>
      </c>
      <c r="D2894" s="2" t="s">
        <v>130</v>
      </c>
      <c r="E2894" s="3" t="str">
        <f>IF(ISERROR(VLOOKUP(B2894,Failures!$A$1:$A$4000,1,FALSE)),"Keep","Delete")</f>
        <v>Keep</v>
      </c>
      <c r="F2894" t="str">
        <f>IF(ISNUMBER(SEARCH("#",B2894)), LEFT(B2894,FIND("#",B2894)-1), B2894)</f>
        <v xml:space="preserve">Gold Container </v>
      </c>
      <c r="G2894" s="26">
        <f>IF(ISNUMBER(SEARCH("#",B2894)),VALUE(MID(B2894,FIND("#",B2894)+1,1000)),1)</f>
        <v>2</v>
      </c>
      <c r="H2894" t="str">
        <f>IF(AND(regexMatch(B2894,".*#[0-9]*$"),ISNUMBER(SEARCH("#",B2894))),CONCATENATE(TRIM(F2894)," #",G2894),B2894)</f>
        <v>Gold Container #2</v>
      </c>
    </row>
    <row r="2895" spans="1:8" ht="15.75" thickBot="1" x14ac:dyDescent="0.3">
      <c r="A2895" s="1" t="s">
        <v>1583</v>
      </c>
      <c r="B2895" s="1" t="s">
        <v>1584</v>
      </c>
      <c r="C2895" s="2" t="s">
        <v>5</v>
      </c>
      <c r="D2895" s="2" t="s">
        <v>130</v>
      </c>
      <c r="E2895" s="3" t="str">
        <f>IF(ISERROR(VLOOKUP(B2895,Failures!$A$1:$A$4000,1,FALSE)),"Keep","Delete")</f>
        <v>Keep</v>
      </c>
      <c r="F2895" t="str">
        <f>IF(ISNUMBER(SEARCH("#",B2895)), LEFT(B2895,FIND("#",B2895)-1), B2895)</f>
        <v>Gold Trolley</v>
      </c>
      <c r="G2895" s="26">
        <f>IF(ISNUMBER(SEARCH("#",B2895)),VALUE(MID(B2895,FIND("#",B2895)+1,1000)),1)</f>
        <v>1</v>
      </c>
      <c r="H2895" t="str">
        <f>IF(AND(regexMatch(B2895,".*#[0-9]*$"),ISNUMBER(SEARCH("#",B2895))),CONCATENATE(TRIM(F2895)," #",G2895),B2895)</f>
        <v>Gold Trolley</v>
      </c>
    </row>
    <row r="2896" spans="1:8" ht="15.75" thickBot="1" x14ac:dyDescent="0.3">
      <c r="A2896" s="1" t="s">
        <v>1585</v>
      </c>
      <c r="B2896" s="1" t="s">
        <v>1586</v>
      </c>
      <c r="C2896" s="4" t="s">
        <v>5</v>
      </c>
      <c r="D2896" s="2" t="s">
        <v>130</v>
      </c>
      <c r="E2896" s="3" t="str">
        <f>IF(ISERROR(VLOOKUP(B2896,Failures!$A$1:$A$4000,1,FALSE)),"Keep","Delete")</f>
        <v>Keep</v>
      </c>
      <c r="F2896" t="str">
        <f>IF(ISNUMBER(SEARCH("#",B2896)), LEFT(B2896,FIND("#",B2896)-1), B2896)</f>
        <v>Gold Trolley Full</v>
      </c>
      <c r="G2896" s="26">
        <f>IF(ISNUMBER(SEARCH("#",B2896)),VALUE(MID(B2896,FIND("#",B2896)+1,1000)),1)</f>
        <v>1</v>
      </c>
      <c r="H2896" t="str">
        <f>IF(AND(regexMatch(B2896,".*#[0-9]*$"),ISNUMBER(SEARCH("#",B2896))),CONCATENATE(TRIM(F2896)," #",G2896),B2896)</f>
        <v>Gold Trolley Full</v>
      </c>
    </row>
    <row r="2897" spans="1:8" ht="15.75" thickBot="1" x14ac:dyDescent="0.3">
      <c r="A2897" s="1" t="s">
        <v>1587</v>
      </c>
      <c r="B2897" s="1" t="s">
        <v>1588</v>
      </c>
      <c r="C2897" s="4" t="s">
        <v>5</v>
      </c>
      <c r="D2897" s="2" t="s">
        <v>130</v>
      </c>
      <c r="E2897" s="3" t="str">
        <f>IF(ISERROR(VLOOKUP(B2897,Failures!$A$1:$A$4000,1,FALSE)),"Keep","Delete")</f>
        <v>Keep</v>
      </c>
      <c r="F2897" t="str">
        <f>IF(ISNUMBER(SEARCH("#",B2897)), LEFT(B2897,FIND("#",B2897)-1), B2897)</f>
        <v>Gold Trolley Strap</v>
      </c>
      <c r="G2897" s="26">
        <f>IF(ISNUMBER(SEARCH("#",B2897)),VALUE(MID(B2897,FIND("#",B2897)+1,1000)),1)</f>
        <v>1</v>
      </c>
      <c r="H2897" t="str">
        <f>IF(AND(regexMatch(B2897,".*#[0-9]*$"),ISNUMBER(SEARCH("#",B2897))),CONCATENATE(TRIM(F2897)," #",G2897),B2897)</f>
        <v>Gold Trolley Strap</v>
      </c>
    </row>
    <row r="2898" spans="1:8" ht="15.75" thickBot="1" x14ac:dyDescent="0.3">
      <c r="A2898" s="7" t="s">
        <v>4132</v>
      </c>
      <c r="B2898" s="9" t="s">
        <v>4572</v>
      </c>
      <c r="C2898" s="9"/>
      <c r="D2898" s="2" t="s">
        <v>130</v>
      </c>
      <c r="E2898" s="3" t="str">
        <f>IF(ISERROR(VLOOKUP(B2898,Failures!$A$1:$A$4000,1,FALSE)),"Keep","Delete")</f>
        <v>Keep</v>
      </c>
      <c r="F2898" t="str">
        <f>IF(ISNUMBER(SEARCH("#",B2898)), LEFT(B2898,FIND("#",B2898)-1), B2898)</f>
        <v>Gold Vault Gate</v>
      </c>
      <c r="G2898" s="26">
        <f>IF(ISNUMBER(SEARCH("#",B2898)),VALUE(MID(B2898,FIND("#",B2898)+1,1000)),1)</f>
        <v>1</v>
      </c>
      <c r="H2898" t="str">
        <f>IF(AND(regexMatch(B2898,".*#[0-9]*$"),ISNUMBER(SEARCH("#",B2898))),CONCATENATE(TRIM(F2898)," #",G2898),B2898)</f>
        <v>Gold Vault Gate</v>
      </c>
    </row>
    <row r="2899" spans="1:8" ht="15.75" thickBot="1" x14ac:dyDescent="0.3">
      <c r="A2899" s="1" t="s">
        <v>1838</v>
      </c>
      <c r="B2899" s="1" t="s">
        <v>1839</v>
      </c>
      <c r="C2899" s="2" t="s">
        <v>5</v>
      </c>
      <c r="D2899" s="2" t="s">
        <v>130</v>
      </c>
      <c r="E2899" s="3" t="str">
        <f>IF(ISERROR(VLOOKUP(B2899,Failures!$A$1:$A$4000,1,FALSE)),"Keep","Delete")</f>
        <v>Keep</v>
      </c>
      <c r="F2899" t="str">
        <f>IF(ISNUMBER(SEARCH("#",B2899)), LEFT(B2899,FIND("#",B2899)-1), B2899)</f>
        <v>Large Gold Trolley</v>
      </c>
      <c r="G2899" s="26">
        <f>IF(ISNUMBER(SEARCH("#",B2899)),VALUE(MID(B2899,FIND("#",B2899)+1,1000)),1)</f>
        <v>1</v>
      </c>
      <c r="H2899" t="str">
        <f>IF(AND(regexMatch(B2899,".*#[0-9]*$"),ISNUMBER(SEARCH("#",B2899))),CONCATENATE(TRIM(F2899)," #",G2899),B2899)</f>
        <v>Large Gold Trolley</v>
      </c>
    </row>
    <row r="2900" spans="1:8" ht="15.75" thickBot="1" x14ac:dyDescent="0.3">
      <c r="A2900" s="1" t="s">
        <v>1840</v>
      </c>
      <c r="B2900" s="1" t="s">
        <v>1841</v>
      </c>
      <c r="C2900" s="2" t="s">
        <v>5</v>
      </c>
      <c r="D2900" s="2" t="s">
        <v>130</v>
      </c>
      <c r="E2900" s="3" t="str">
        <f>IF(ISERROR(VLOOKUP(B2900,Failures!$A$1:$A$4000,1,FALSE)),"Keep","Delete")</f>
        <v>Keep</v>
      </c>
      <c r="F2900" t="str">
        <f>IF(ISNUMBER(SEARCH("#",B2900)), LEFT(B2900,FIND("#",B2900)-1), B2900)</f>
        <v>Large Gold Trolley Alt A</v>
      </c>
      <c r="G2900" s="26">
        <f>IF(ISNUMBER(SEARCH("#",B2900)),VALUE(MID(B2900,FIND("#",B2900)+1,1000)),1)</f>
        <v>1</v>
      </c>
      <c r="H2900" t="str">
        <f>IF(AND(regexMatch(B2900,".*#[0-9]*$"),ISNUMBER(SEARCH("#",B2900))),CONCATENATE(TRIM(F2900)," #",G2900),B2900)</f>
        <v>Large Gold Trolley Alt A</v>
      </c>
    </row>
    <row r="2901" spans="1:8" ht="15.75" thickBot="1" x14ac:dyDescent="0.3">
      <c r="A2901" s="1" t="s">
        <v>1842</v>
      </c>
      <c r="B2901" s="1" t="s">
        <v>1843</v>
      </c>
      <c r="C2901" s="2" t="s">
        <v>5</v>
      </c>
      <c r="D2901" s="2" t="s">
        <v>130</v>
      </c>
      <c r="E2901" s="3" t="str">
        <f>IF(ISERROR(VLOOKUP(B2901,Failures!$A$1:$A$4000,1,FALSE)),"Keep","Delete")</f>
        <v>Keep</v>
      </c>
      <c r="F2901" t="str">
        <f>IF(ISNUMBER(SEARCH("#",B2901)), LEFT(B2901,FIND("#",B2901)-1), B2901)</f>
        <v>Large Gold Trolley Alt B</v>
      </c>
      <c r="G2901" s="26">
        <f>IF(ISNUMBER(SEARCH("#",B2901)),VALUE(MID(B2901,FIND("#",B2901)+1,1000)),1)</f>
        <v>1</v>
      </c>
      <c r="H2901" t="str">
        <f>IF(AND(regexMatch(B2901,".*#[0-9]*$"),ISNUMBER(SEARCH("#",B2901))),CONCATENATE(TRIM(F2901)," #",G2901),B2901)</f>
        <v>Large Gold Trolley Alt B</v>
      </c>
    </row>
    <row r="2902" spans="1:8" ht="15.75" thickBot="1" x14ac:dyDescent="0.3">
      <c r="A2902" s="1" t="s">
        <v>1844</v>
      </c>
      <c r="B2902" s="1" t="s">
        <v>1845</v>
      </c>
      <c r="C2902" s="2" t="s">
        <v>5</v>
      </c>
      <c r="D2902" s="2" t="s">
        <v>130</v>
      </c>
      <c r="E2902" s="3" t="str">
        <f>IF(ISERROR(VLOOKUP(B2902,Failures!$A$1:$A$4000,1,FALSE)),"Keep","Delete")</f>
        <v>Keep</v>
      </c>
      <c r="F2902" t="str">
        <f>IF(ISNUMBER(SEARCH("#",B2902)), LEFT(B2902,FIND("#",B2902)-1), B2902)</f>
        <v>Large Gold Trolley Alt C</v>
      </c>
      <c r="G2902" s="26">
        <f>IF(ISNUMBER(SEARCH("#",B2902)),VALUE(MID(B2902,FIND("#",B2902)+1,1000)),1)</f>
        <v>1</v>
      </c>
      <c r="H2902" t="str">
        <f>IF(AND(regexMatch(B2902,".*#[0-9]*$"),ISNUMBER(SEARCH("#",B2902))),CONCATENATE(TRIM(F2902)," #",G2902),B2902)</f>
        <v>Large Gold Trolley Alt C</v>
      </c>
    </row>
    <row r="2903" spans="1:8" ht="15.75" thickBot="1" x14ac:dyDescent="0.3">
      <c r="A2903" s="1" t="s">
        <v>1846</v>
      </c>
      <c r="B2903" s="1" t="s">
        <v>1847</v>
      </c>
      <c r="C2903" s="2" t="s">
        <v>5</v>
      </c>
      <c r="D2903" s="2" t="s">
        <v>130</v>
      </c>
      <c r="E2903" s="3" t="str">
        <f>IF(ISERROR(VLOOKUP(B2903,Failures!$A$1:$A$4000,1,FALSE)),"Keep","Delete")</f>
        <v>Keep</v>
      </c>
      <c r="F2903" t="str">
        <f>IF(ISNUMBER(SEARCH("#",B2903)), LEFT(B2903,FIND("#",B2903)-1), B2903)</f>
        <v>Large Gold Trolley Empty</v>
      </c>
      <c r="G2903" s="26">
        <f>IF(ISNUMBER(SEARCH("#",B2903)),VALUE(MID(B2903,FIND("#",B2903)+1,1000)),1)</f>
        <v>1</v>
      </c>
      <c r="H2903" t="str">
        <f>IF(AND(regexMatch(B2903,".*#[0-9]*$"),ISNUMBER(SEARCH("#",B2903))),CONCATENATE(TRIM(F2903)," #",G2903),B2903)</f>
        <v>Large Gold Trolley Empty</v>
      </c>
    </row>
    <row r="2904" spans="1:8" ht="15.75" thickBot="1" x14ac:dyDescent="0.3">
      <c r="A2904" s="1" t="s">
        <v>2140</v>
      </c>
      <c r="B2904" s="1" t="s">
        <v>3785</v>
      </c>
      <c r="C2904" s="4" t="s">
        <v>5</v>
      </c>
      <c r="D2904" s="2" t="s">
        <v>130</v>
      </c>
      <c r="E2904" s="3" t="str">
        <f>IF(ISERROR(VLOOKUP(B2904,Failures!$A$1:$A$4000,1,FALSE)),"Keep","Delete")</f>
        <v>Keep</v>
      </c>
      <c r="F2904" t="str">
        <f>IF(ISNUMBER(SEARCH("#",B2904)), LEFT(B2904,FIND("#",B2904)-1), B2904)</f>
        <v>Money Bag</v>
      </c>
      <c r="G2904" s="26">
        <f>IF(ISNUMBER(SEARCH("#",B2904)),VALUE(MID(B2904,FIND("#",B2904)+1,1000)),1)</f>
        <v>1</v>
      </c>
      <c r="H2904" t="str">
        <f>IF(AND(regexMatch(B2904,".*#[0-9]*$"),ISNUMBER(SEARCH("#",B2904))),CONCATENATE(TRIM(F2904)," #",G2904),B2904)</f>
        <v>Money Bag</v>
      </c>
    </row>
    <row r="2905" spans="1:8" ht="15.75" thickBot="1" x14ac:dyDescent="0.3">
      <c r="A2905" s="1" t="s">
        <v>2230</v>
      </c>
      <c r="B2905" s="1" t="s">
        <v>3792</v>
      </c>
      <c r="C2905" s="2" t="s">
        <v>5</v>
      </c>
      <c r="D2905" s="2" t="s">
        <v>130</v>
      </c>
      <c r="E2905" s="3" t="str">
        <f>IF(ISERROR(VLOOKUP(B2905,Failures!$A$1:$A$4000,1,FALSE)),"Keep","Delete")</f>
        <v>Keep</v>
      </c>
      <c r="F2905" t="str">
        <f>IF(ISNUMBER(SEARCH("#",B2905)), LEFT(B2905,FIND("#",B2905)-1), B2905)</f>
        <v>Night Safe</v>
      </c>
      <c r="G2905" s="26">
        <f>IF(ISNUMBER(SEARCH("#",B2905)),VALUE(MID(B2905,FIND("#",B2905)+1,1000)),1)</f>
        <v>1</v>
      </c>
      <c r="H2905" t="str">
        <f>IF(AND(regexMatch(B2905,".*#[0-9]*$"),ISNUMBER(SEARCH("#",B2905))),CONCATENATE(TRIM(F2905)," #",G2905),B2905)</f>
        <v>Night Safe</v>
      </c>
    </row>
    <row r="2906" spans="1:8" ht="15.75" thickBot="1" x14ac:dyDescent="0.3">
      <c r="A2906" s="1" t="s">
        <v>2493</v>
      </c>
      <c r="B2906" s="1" t="s">
        <v>2494</v>
      </c>
      <c r="C2906" s="4" t="s">
        <v>5</v>
      </c>
      <c r="D2906" s="2" t="s">
        <v>130</v>
      </c>
      <c r="E2906" s="3" t="str">
        <f>IF(ISERROR(VLOOKUP(B2906,Failures!$A$1:$A$4000,1,FALSE)),"Keep","Delete")</f>
        <v>Keep</v>
      </c>
      <c r="F2906" t="str">
        <f>IF(ISNUMBER(SEARCH("#",B2906)), LEFT(B2906,FIND("#",B2906)-1), B2906)</f>
        <v>Plastic Bag Of Money</v>
      </c>
      <c r="G2906" s="26">
        <f>IF(ISNUMBER(SEARCH("#",B2906)),VALUE(MID(B2906,FIND("#",B2906)+1,1000)),1)</f>
        <v>1</v>
      </c>
      <c r="H2906" t="str">
        <f>IF(AND(regexMatch(B2906,".*#[0-9]*$"),ISNUMBER(SEARCH("#",B2906))),CONCATENATE(TRIM(F2906)," #",G2906),B2906)</f>
        <v>Plastic Bag Of Money</v>
      </c>
    </row>
    <row r="2907" spans="1:8" ht="15.75" thickBot="1" x14ac:dyDescent="0.3">
      <c r="A2907" s="1" t="s">
        <v>105</v>
      </c>
      <c r="B2907" s="1" t="s">
        <v>106</v>
      </c>
      <c r="C2907" s="2" t="s">
        <v>5</v>
      </c>
      <c r="D2907" s="2" t="s">
        <v>107</v>
      </c>
      <c r="E2907" s="3" t="str">
        <f>IF(ISERROR(VLOOKUP(B2907,Failures!$A$1:$A$4000,1,FALSE)),"Keep","Delete")</f>
        <v>Keep</v>
      </c>
      <c r="F2907" t="str">
        <f>IF(ISNUMBER(SEARCH("#",B2907)), LEFT(B2907,FIND("#",B2907)-1), B2907)</f>
        <v>Alien Egg</v>
      </c>
      <c r="G2907" s="26">
        <f>IF(ISNUMBER(SEARCH("#",B2907)),VALUE(MID(B2907,FIND("#",B2907)+1,1000)),1)</f>
        <v>1</v>
      </c>
      <c r="H2907" t="str">
        <f>IF(AND(regexMatch(B2907,".*#[0-9]*$"),ISNUMBER(SEARCH("#",B2907))),CONCATENATE(TRIM(F2907)," #",G2907),B2907)</f>
        <v>Alien Egg</v>
      </c>
    </row>
    <row r="2908" spans="1:8" ht="15.75" thickBot="1" x14ac:dyDescent="0.3">
      <c r="A2908" s="1" t="s">
        <v>169</v>
      </c>
      <c r="B2908" s="1" t="s">
        <v>170</v>
      </c>
      <c r="C2908" s="2" t="s">
        <v>5</v>
      </c>
      <c r="D2908" s="2" t="s">
        <v>107</v>
      </c>
      <c r="E2908" s="3" t="str">
        <f>IF(ISERROR(VLOOKUP(B2908,Failures!$A$1:$A$4000,1,FALSE)),"Keep","Delete")</f>
        <v>Keep</v>
      </c>
      <c r="F2908" t="str">
        <f>IF(ISNUMBER(SEARCH("#",B2908)), LEFT(B2908,FIND("#",B2908)-1), B2908)</f>
        <v>Asteroid</v>
      </c>
      <c r="G2908" s="26">
        <f>IF(ISNUMBER(SEARCH("#",B2908)),VALUE(MID(B2908,FIND("#",B2908)+1,1000)),1)</f>
        <v>1</v>
      </c>
      <c r="H2908" t="str">
        <f>IF(AND(regexMatch(B2908,".*#[0-9]*$"),ISNUMBER(SEARCH("#",B2908))),CONCATENATE(TRIM(F2908)," #",G2908),B2908)</f>
        <v>Asteroid</v>
      </c>
    </row>
    <row r="2909" spans="1:8" ht="15.75" thickBot="1" x14ac:dyDescent="0.3">
      <c r="A2909" s="27" t="s">
        <v>7511</v>
      </c>
      <c r="B2909" s="22" t="s">
        <v>10641</v>
      </c>
      <c r="C2909" s="1"/>
      <c r="D2909" s="2" t="s">
        <v>107</v>
      </c>
      <c r="E2909" s="3" t="str">
        <f>IF(ISERROR(VLOOKUP(B2909,Failures!$A$1:$A$4000,1,FALSE)),"Keep","Delete")</f>
        <v>Keep</v>
      </c>
      <c r="F2909" t="str">
        <f>IF(ISNUMBER(SEARCH("#",B2909)), LEFT(B2909,FIND("#",B2909)-1), B2909)</f>
        <v>Bird Poo</v>
      </c>
      <c r="G2909" s="26">
        <f>IF(ISNUMBER(SEARCH("#",B2909)),VALUE(MID(B2909,FIND("#",B2909)+1,1000)),1)</f>
        <v>1</v>
      </c>
      <c r="H2909" t="str">
        <f>IF(AND(regexMatch(B2909,".*#[0-9]*$"),ISNUMBER(SEARCH("#",B2909))),CONCATENATE(TRIM(F2909)," #",G2909),B2909)</f>
        <v>Bird Poo</v>
      </c>
    </row>
    <row r="2910" spans="1:8" ht="15.75" thickBot="1" x14ac:dyDescent="0.3">
      <c r="A2910" s="1" t="s">
        <v>3140</v>
      </c>
      <c r="B2910" s="1" t="s">
        <v>3141</v>
      </c>
      <c r="C2910" s="2" t="s">
        <v>5</v>
      </c>
      <c r="D2910" s="2" t="s">
        <v>107</v>
      </c>
      <c r="E2910" s="3" t="str">
        <f>IF(ISERROR(VLOOKUP(B2910,Failures!$A$1:$A$4000,1,FALSE)),"Keep","Delete")</f>
        <v>Keep</v>
      </c>
      <c r="F2910" t="str">
        <f>IF(ISNUMBER(SEARCH("#",B2910)), LEFT(B2910,FIND("#",B2910)-1), B2910)</f>
        <v xml:space="preserve">Boulder </v>
      </c>
      <c r="G2910" s="26">
        <f>IF(ISNUMBER(SEARCH("#",B2910)),VALUE(MID(B2910,FIND("#",B2910)+1,1000)),1)</f>
        <v>1</v>
      </c>
      <c r="H2910" t="str">
        <f>IF(AND(regexMatch(B2910,".*#[0-9]*$"),ISNUMBER(SEARCH("#",B2910))),CONCATENATE(TRIM(F2910)," #",G2910),B2910)</f>
        <v>Boulder #1</v>
      </c>
    </row>
    <row r="2911" spans="1:8" ht="15.75" thickBot="1" x14ac:dyDescent="0.3">
      <c r="A2911" s="1" t="s">
        <v>3142</v>
      </c>
      <c r="B2911" s="1" t="s">
        <v>3143</v>
      </c>
      <c r="C2911" s="2" t="s">
        <v>5</v>
      </c>
      <c r="D2911" s="2" t="s">
        <v>107</v>
      </c>
      <c r="E2911" s="3" t="str">
        <f>IF(ISERROR(VLOOKUP(B2911,Failures!$A$1:$A$4000,1,FALSE)),"Keep","Delete")</f>
        <v>Keep</v>
      </c>
      <c r="F2911" t="str">
        <f>IF(ISNUMBER(SEARCH("#",B2911)), LEFT(B2911,FIND("#",B2911)-1), B2911)</f>
        <v xml:space="preserve">Boulder </v>
      </c>
      <c r="G2911" s="26">
        <f>IF(ISNUMBER(SEARCH("#",B2911)),VALUE(MID(B2911,FIND("#",B2911)+1,1000)),1)</f>
        <v>2</v>
      </c>
      <c r="H2911" t="str">
        <f>IF(AND(regexMatch(B2911,".*#[0-9]*$"),ISNUMBER(SEARCH("#",B2911))),CONCATENATE(TRIM(F2911)," #",G2911),B2911)</f>
        <v>Boulder #2</v>
      </c>
    </row>
    <row r="2912" spans="1:8" ht="15.75" thickBot="1" x14ac:dyDescent="0.3">
      <c r="A2912" s="1" t="s">
        <v>3144</v>
      </c>
      <c r="B2912" s="1" t="s">
        <v>3145</v>
      </c>
      <c r="C2912" s="2" t="s">
        <v>5</v>
      </c>
      <c r="D2912" s="2" t="s">
        <v>107</v>
      </c>
      <c r="E2912" s="3" t="str">
        <f>IF(ISERROR(VLOOKUP(B2912,Failures!$A$1:$A$4000,1,FALSE)),"Keep","Delete")</f>
        <v>Keep</v>
      </c>
      <c r="F2912" t="str">
        <f>IF(ISNUMBER(SEARCH("#",B2912)), LEFT(B2912,FIND("#",B2912)-1), B2912)</f>
        <v xml:space="preserve">Boulder </v>
      </c>
      <c r="G2912" s="26">
        <f>IF(ISNUMBER(SEARCH("#",B2912)),VALUE(MID(B2912,FIND("#",B2912)+1,1000)),1)</f>
        <v>3</v>
      </c>
      <c r="H2912" t="str">
        <f>IF(AND(regexMatch(B2912,".*#[0-9]*$"),ISNUMBER(SEARCH("#",B2912))),CONCATENATE(TRIM(F2912)," #",G2912),B2912)</f>
        <v>Boulder #3</v>
      </c>
    </row>
    <row r="2913" spans="1:8" ht="15.75" thickBot="1" x14ac:dyDescent="0.3">
      <c r="A2913" s="1" t="s">
        <v>3146</v>
      </c>
      <c r="B2913" s="1" t="s">
        <v>3147</v>
      </c>
      <c r="C2913" s="2" t="s">
        <v>5</v>
      </c>
      <c r="D2913" s="2" t="s">
        <v>107</v>
      </c>
      <c r="E2913" s="3" t="str">
        <f>IF(ISERROR(VLOOKUP(B2913,Failures!$A$1:$A$4000,1,FALSE)),"Keep","Delete")</f>
        <v>Keep</v>
      </c>
      <c r="F2913" t="str">
        <f>IF(ISNUMBER(SEARCH("#",B2913)), LEFT(B2913,FIND("#",B2913)-1), B2913)</f>
        <v xml:space="preserve">Boulder </v>
      </c>
      <c r="G2913" s="26">
        <f>IF(ISNUMBER(SEARCH("#",B2913)),VALUE(MID(B2913,FIND("#",B2913)+1,1000)),1)</f>
        <v>4</v>
      </c>
      <c r="H2913" t="str">
        <f>IF(AND(regexMatch(B2913,".*#[0-9]*$"),ISNUMBER(SEARCH("#",B2913))),CONCATENATE(TRIM(F2913)," #",G2913),B2913)</f>
        <v>Boulder #4</v>
      </c>
    </row>
    <row r="2914" spans="1:8" ht="15.75" thickBot="1" x14ac:dyDescent="0.3">
      <c r="A2914" s="7" t="s">
        <v>4074</v>
      </c>
      <c r="B2914" s="9" t="s">
        <v>4607</v>
      </c>
      <c r="C2914" s="9"/>
      <c r="D2914" s="14" t="s">
        <v>107</v>
      </c>
      <c r="E2914" s="3" t="str">
        <f>IF(ISERROR(VLOOKUP(B2914,Failures!$A$1:$A$4000,1,FALSE)),"Keep","Delete")</f>
        <v>Keep</v>
      </c>
      <c r="F2914" t="str">
        <f>IF(ISNUMBER(SEARCH("#",B2914)), LEFT(B2914,FIND("#",B2914)-1), B2914)</f>
        <v xml:space="preserve">Bush </v>
      </c>
      <c r="G2914" s="26">
        <f>IF(ISNUMBER(SEARCH("#",B2914)),VALUE(MID(B2914,FIND("#",B2914)+1,1000)),1)</f>
        <v>1</v>
      </c>
      <c r="H2914" t="str">
        <f>IF(AND(regexMatch(B2914,".*#[0-9]*$"),ISNUMBER(SEARCH("#",B2914))),CONCATENATE(TRIM(F2914)," #",G2914),B2914)</f>
        <v>Bush #1</v>
      </c>
    </row>
    <row r="2915" spans="1:8" ht="15.75" thickBot="1" x14ac:dyDescent="0.3">
      <c r="A2915" s="7" t="s">
        <v>4070</v>
      </c>
      <c r="B2915" s="9" t="s">
        <v>4608</v>
      </c>
      <c r="C2915" s="9"/>
      <c r="D2915" s="14" t="s">
        <v>107</v>
      </c>
      <c r="E2915" s="3" t="str">
        <f>IF(ISERROR(VLOOKUP(B2915,Failures!$A$1:$A$4000,1,FALSE)),"Keep","Delete")</f>
        <v>Keep</v>
      </c>
      <c r="F2915" t="str">
        <f>IF(ISNUMBER(SEARCH("#",B2915)), LEFT(B2915,FIND("#",B2915)-1), B2915)</f>
        <v xml:space="preserve">Bush </v>
      </c>
      <c r="G2915" s="26">
        <f>IF(ISNUMBER(SEARCH("#",B2915)),VALUE(MID(B2915,FIND("#",B2915)+1,1000)),1)</f>
        <v>2</v>
      </c>
      <c r="H2915" t="str">
        <f>IF(AND(regexMatch(B2915,".*#[0-9]*$"),ISNUMBER(SEARCH("#",B2915))),CONCATENATE(TRIM(F2915)," #",G2915),B2915)</f>
        <v>Bush #2</v>
      </c>
    </row>
    <row r="2916" spans="1:8" ht="15.75" thickBot="1" x14ac:dyDescent="0.3">
      <c r="A2916" s="7" t="s">
        <v>4075</v>
      </c>
      <c r="B2916" s="9" t="s">
        <v>4609</v>
      </c>
      <c r="C2916" s="9"/>
      <c r="D2916" s="14" t="s">
        <v>107</v>
      </c>
      <c r="E2916" s="3" t="str">
        <f>IF(ISERROR(VLOOKUP(B2916,Failures!$A$1:$A$4000,1,FALSE)),"Keep","Delete")</f>
        <v>Keep</v>
      </c>
      <c r="F2916" t="str">
        <f>IF(ISNUMBER(SEARCH("#",B2916)), LEFT(B2916,FIND("#",B2916)-1), B2916)</f>
        <v xml:space="preserve">Bush </v>
      </c>
      <c r="G2916" s="26">
        <f>IF(ISNUMBER(SEARCH("#",B2916)),VALUE(MID(B2916,FIND("#",B2916)+1,1000)),1)</f>
        <v>3</v>
      </c>
      <c r="H2916" t="str">
        <f>IF(AND(regexMatch(B2916,".*#[0-9]*$"),ISNUMBER(SEARCH("#",B2916))),CONCATENATE(TRIM(F2916)," #",G2916),B2916)</f>
        <v>Bush #3</v>
      </c>
    </row>
    <row r="2917" spans="1:8" ht="15.75" thickBot="1" x14ac:dyDescent="0.3">
      <c r="A2917" s="7" t="s">
        <v>4071</v>
      </c>
      <c r="B2917" s="9" t="s">
        <v>4610</v>
      </c>
      <c r="C2917" s="9"/>
      <c r="D2917" s="14" t="s">
        <v>107</v>
      </c>
      <c r="E2917" s="3" t="str">
        <f>IF(ISERROR(VLOOKUP(B2917,Failures!$A$1:$A$4000,1,FALSE)),"Keep","Delete")</f>
        <v>Keep</v>
      </c>
      <c r="F2917" t="str">
        <f>IF(ISNUMBER(SEARCH("#",B2917)), LEFT(B2917,FIND("#",B2917)-1), B2917)</f>
        <v xml:space="preserve">Bush </v>
      </c>
      <c r="G2917" s="26">
        <f>IF(ISNUMBER(SEARCH("#",B2917)),VALUE(MID(B2917,FIND("#",B2917)+1,1000)),1)</f>
        <v>4</v>
      </c>
      <c r="H2917" t="str">
        <f>IF(AND(regexMatch(B2917,".*#[0-9]*$"),ISNUMBER(SEARCH("#",B2917))),CONCATENATE(TRIM(F2917)," #",G2917),B2917)</f>
        <v>Bush #4</v>
      </c>
    </row>
    <row r="2918" spans="1:8" ht="15.75" thickBot="1" x14ac:dyDescent="0.3">
      <c r="A2918" s="7" t="s">
        <v>4076</v>
      </c>
      <c r="B2918" s="9" t="s">
        <v>4611</v>
      </c>
      <c r="C2918" s="9"/>
      <c r="D2918" s="14" t="s">
        <v>107</v>
      </c>
      <c r="E2918" s="3" t="str">
        <f>IF(ISERROR(VLOOKUP(B2918,Failures!$A$1:$A$4000,1,FALSE)),"Keep","Delete")</f>
        <v>Keep</v>
      </c>
      <c r="F2918" t="str">
        <f>IF(ISNUMBER(SEARCH("#",B2918)), LEFT(B2918,FIND("#",B2918)-1), B2918)</f>
        <v xml:space="preserve">Bush </v>
      </c>
      <c r="G2918" s="26">
        <f>IF(ISNUMBER(SEARCH("#",B2918)),VALUE(MID(B2918,FIND("#",B2918)+1,1000)),1)</f>
        <v>5</v>
      </c>
      <c r="H2918" t="str">
        <f>IF(AND(regexMatch(B2918,".*#[0-9]*$"),ISNUMBER(SEARCH("#",B2918))),CONCATENATE(TRIM(F2918)," #",G2918),B2918)</f>
        <v>Bush #5</v>
      </c>
    </row>
    <row r="2919" spans="1:8" ht="15.75" thickBot="1" x14ac:dyDescent="0.3">
      <c r="A2919" s="7" t="s">
        <v>4226</v>
      </c>
      <c r="B2919" s="9" t="s">
        <v>4754</v>
      </c>
      <c r="C2919" s="9"/>
      <c r="D2919" s="14" t="s">
        <v>107</v>
      </c>
      <c r="E2919" s="3" t="str">
        <f>IF(ISERROR(VLOOKUP(B2919,Failures!$A$1:$A$4000,1,FALSE)),"Keep","Delete")</f>
        <v>Keep</v>
      </c>
      <c r="F2919" t="str">
        <f>IF(ISNUMBER(SEARCH("#",B2919)), LEFT(B2919,FIND("#",B2919)-1), B2919)</f>
        <v xml:space="preserve">Cactus </v>
      </c>
      <c r="G2919" s="26">
        <f>IF(ISNUMBER(SEARCH("#",B2919)),VALUE(MID(B2919,FIND("#",B2919)+1,1000)),1)</f>
        <v>1</v>
      </c>
      <c r="H2919" t="str">
        <f>IF(AND(regexMatch(B2919,".*#[0-9]*$"),ISNUMBER(SEARCH("#",B2919))),CONCATENATE(TRIM(F2919)," #",G2919),B2919)</f>
        <v>Cactus #1</v>
      </c>
    </row>
    <row r="2920" spans="1:8" ht="15.75" thickBot="1" x14ac:dyDescent="0.3">
      <c r="A2920" s="7" t="s">
        <v>4746</v>
      </c>
      <c r="B2920" s="9" t="s">
        <v>4750</v>
      </c>
      <c r="C2920" s="9"/>
      <c r="D2920" s="14" t="s">
        <v>107</v>
      </c>
      <c r="E2920" s="3" t="str">
        <f>IF(ISERROR(VLOOKUP(B2920,Failures!$A$1:$A$4000,1,FALSE)),"Keep","Delete")</f>
        <v>Keep</v>
      </c>
      <c r="F2920" t="str">
        <f>IF(ISNUMBER(SEARCH("#",B2920)), LEFT(B2920,FIND("#",B2920)-1), B2920)</f>
        <v xml:space="preserve">Cactus </v>
      </c>
      <c r="G2920" s="26">
        <f>IF(ISNUMBER(SEARCH("#",B2920)),VALUE(MID(B2920,FIND("#",B2920)+1,1000)),1)</f>
        <v>2</v>
      </c>
      <c r="H2920" t="str">
        <f>IF(AND(regexMatch(B2920,".*#[0-9]*$"),ISNUMBER(SEARCH("#",B2920))),CONCATENATE(TRIM(F2920)," #",G2920),B2920)</f>
        <v>Cactus #2</v>
      </c>
    </row>
    <row r="2921" spans="1:8" ht="15.75" thickBot="1" x14ac:dyDescent="0.3">
      <c r="A2921" s="1" t="s">
        <v>5135</v>
      </c>
      <c r="B2921" s="1" t="s">
        <v>4750</v>
      </c>
      <c r="C2921" s="1"/>
      <c r="D2921" s="2" t="s">
        <v>107</v>
      </c>
      <c r="E2921" s="3" t="str">
        <f>IF(ISERROR(VLOOKUP(B2921,Failures!$A$1:$A$4000,1,FALSE)),"Keep","Delete")</f>
        <v>Keep</v>
      </c>
      <c r="F2921" t="str">
        <f>IF(ISNUMBER(SEARCH("#",B2921)), LEFT(B2921,FIND("#",B2921)-1), B2921)</f>
        <v xml:space="preserve">Cactus </v>
      </c>
      <c r="G2921" s="26">
        <v>3</v>
      </c>
      <c r="H2921" t="str">
        <f>IF(AND(regexMatch(B2921,".*#[0-9]*$"),ISNUMBER(SEARCH("#",B2921))),CONCATENATE(TRIM(F2921)," #",G2921),B2921)</f>
        <v>Cactus #3</v>
      </c>
    </row>
    <row r="2922" spans="1:8" ht="15.75" thickBot="1" x14ac:dyDescent="0.3">
      <c r="A2922" s="7" t="s">
        <v>4747</v>
      </c>
      <c r="B2922" s="9" t="s">
        <v>4751</v>
      </c>
      <c r="C2922" s="9"/>
      <c r="D2922" s="14" t="s">
        <v>107</v>
      </c>
      <c r="E2922" s="3" t="str">
        <f>IF(ISERROR(VLOOKUP(B2922,Failures!$A$1:$A$4000,1,FALSE)),"Keep","Delete")</f>
        <v>Keep</v>
      </c>
      <c r="F2922" t="str">
        <f>IF(ISNUMBER(SEARCH("#",B2922)), LEFT(B2922,FIND("#",B2922)-1), B2922)</f>
        <v xml:space="preserve">Cactus </v>
      </c>
      <c r="G2922" s="26">
        <v>4</v>
      </c>
      <c r="H2922" t="str">
        <f>IF(AND(regexMatch(B2922,".*#[0-9]*$"),ISNUMBER(SEARCH("#",B2922))),CONCATENATE(TRIM(F2922)," #",G2922),B2922)</f>
        <v>Cactus #4</v>
      </c>
    </row>
    <row r="2923" spans="1:8" ht="15.75" thickBot="1" x14ac:dyDescent="0.3">
      <c r="A2923" s="1" t="s">
        <v>5134</v>
      </c>
      <c r="B2923" s="1" t="s">
        <v>4751</v>
      </c>
      <c r="C2923" s="1"/>
      <c r="D2923" s="2" t="s">
        <v>107</v>
      </c>
      <c r="E2923" s="3" t="str">
        <f>IF(ISERROR(VLOOKUP(B2923,Failures!$A$1:$A$4000,1,FALSE)),"Keep","Delete")</f>
        <v>Keep</v>
      </c>
      <c r="F2923" t="str">
        <f>IF(ISNUMBER(SEARCH("#",B2923)), LEFT(B2923,FIND("#",B2923)-1), B2923)</f>
        <v xml:space="preserve">Cactus </v>
      </c>
      <c r="G2923" s="26">
        <v>5</v>
      </c>
      <c r="H2923" t="str">
        <f>IF(AND(regexMatch(B2923,".*#[0-9]*$"),ISNUMBER(SEARCH("#",B2923))),CONCATENATE(TRIM(F2923)," #",G2923),B2923)</f>
        <v>Cactus #5</v>
      </c>
    </row>
    <row r="2924" spans="1:8" ht="15.75" thickBot="1" x14ac:dyDescent="0.3">
      <c r="A2924" s="7" t="s">
        <v>4748</v>
      </c>
      <c r="B2924" s="9" t="s">
        <v>4752</v>
      </c>
      <c r="C2924" s="9"/>
      <c r="D2924" s="14" t="s">
        <v>107</v>
      </c>
      <c r="E2924" s="3" t="str">
        <f>IF(ISERROR(VLOOKUP(B2924,Failures!$A$1:$A$4000,1,FALSE)),"Keep","Delete")</f>
        <v>Keep</v>
      </c>
      <c r="F2924" t="str">
        <f>IF(ISNUMBER(SEARCH("#",B2924)), LEFT(B2924,FIND("#",B2924)-1), B2924)</f>
        <v xml:space="preserve">Cactus </v>
      </c>
      <c r="G2924" s="26">
        <v>6</v>
      </c>
      <c r="H2924" t="str">
        <f>IF(AND(regexMatch(B2924,".*#[0-9]*$"),ISNUMBER(SEARCH("#",B2924))),CONCATENATE(TRIM(F2924)," #",G2924),B2924)</f>
        <v>Cactus #6</v>
      </c>
    </row>
    <row r="2925" spans="1:8" ht="15.75" thickBot="1" x14ac:dyDescent="0.3">
      <c r="A2925" s="7" t="s">
        <v>4749</v>
      </c>
      <c r="B2925" s="9" t="s">
        <v>4753</v>
      </c>
      <c r="C2925" s="9"/>
      <c r="D2925" s="14" t="s">
        <v>107</v>
      </c>
      <c r="E2925" s="3" t="str">
        <f>IF(ISERROR(VLOOKUP(B2925,Failures!$A$1:$A$4000,1,FALSE)),"Keep","Delete")</f>
        <v>Keep</v>
      </c>
      <c r="F2925" t="str">
        <f>IF(ISNUMBER(SEARCH("#",B2925)), LEFT(B2925,FIND("#",B2925)-1), B2925)</f>
        <v xml:space="preserve">Cactus </v>
      </c>
      <c r="G2925" s="26">
        <v>7</v>
      </c>
      <c r="H2925" t="str">
        <f>IF(AND(regexMatch(B2925,".*#[0-9]*$"),ISNUMBER(SEARCH("#",B2925))),CONCATENATE(TRIM(F2925)," #",G2925),B2925)</f>
        <v>Cactus #7</v>
      </c>
    </row>
    <row r="2926" spans="1:8" ht="15.75" thickBot="1" x14ac:dyDescent="0.3">
      <c r="A2926" s="1" t="s">
        <v>3256</v>
      </c>
      <c r="B2926" s="1" t="s">
        <v>4739</v>
      </c>
      <c r="C2926" s="2" t="s">
        <v>5</v>
      </c>
      <c r="D2926" s="14" t="s">
        <v>107</v>
      </c>
      <c r="E2926" s="3" t="str">
        <f>IF(ISERROR(VLOOKUP(B2926,Failures!$A$1:$A$4000,1,FALSE)),"Keep","Delete")</f>
        <v>Keep</v>
      </c>
      <c r="F2926" t="str">
        <f>IF(ISNUMBER(SEARCH("#",B2926)), LEFT(B2926,FIND("#",B2926)-1), B2926)</f>
        <v xml:space="preserve">Fallen Tree </v>
      </c>
      <c r="G2926" s="26">
        <f>IF(ISNUMBER(SEARCH("#",B2926)),VALUE(MID(B2926,FIND("#",B2926)+1,1000)),1)</f>
        <v>1</v>
      </c>
      <c r="H2926" t="str">
        <f>IF(AND(regexMatch(B2926,".*#[0-9]*$"),ISNUMBER(SEARCH("#",B2926))),CONCATENATE(TRIM(F2926)," #",G2926),B2926)</f>
        <v>Fallen Tree #1</v>
      </c>
    </row>
    <row r="2927" spans="1:8" ht="15.75" thickBot="1" x14ac:dyDescent="0.3">
      <c r="A2927" s="7" t="s">
        <v>4072</v>
      </c>
      <c r="B2927" s="9" t="s">
        <v>4561</v>
      </c>
      <c r="C2927" s="9"/>
      <c r="D2927" s="14" t="s">
        <v>107</v>
      </c>
      <c r="E2927" s="3" t="str">
        <f>IF(ISERROR(VLOOKUP(B2927,Failures!$A$1:$A$4000,1,FALSE)),"Keep","Delete")</f>
        <v>Keep</v>
      </c>
      <c r="F2927" t="str">
        <f>IF(ISNUMBER(SEARCH("#",B2927)), LEFT(B2927,FIND("#",B2927)-1), B2927)</f>
        <v xml:space="preserve">Fallen Tree </v>
      </c>
      <c r="G2927" s="26">
        <f>IF(ISNUMBER(SEARCH("#",B2927)),VALUE(MID(B2927,FIND("#",B2927)+1,1000)),1)</f>
        <v>2</v>
      </c>
      <c r="H2927" t="str">
        <f>IF(AND(regexMatch(B2927,".*#[0-9]*$"),ISNUMBER(SEARCH("#",B2927))),CONCATENATE(TRIM(F2927)," #",G2927),B2927)</f>
        <v>Fallen Tree #2</v>
      </c>
    </row>
    <row r="2928" spans="1:8" ht="15.75" thickBot="1" x14ac:dyDescent="0.3">
      <c r="A2928" s="7" t="s">
        <v>4073</v>
      </c>
      <c r="B2928" s="9" t="s">
        <v>4513</v>
      </c>
      <c r="C2928" s="9"/>
      <c r="D2928" s="14" t="s">
        <v>107</v>
      </c>
      <c r="E2928" s="3" t="str">
        <f>IF(ISERROR(VLOOKUP(B2928,Failures!$A$1:$A$4000,1,FALSE)),"Keep","Delete")</f>
        <v>Keep</v>
      </c>
      <c r="F2928" t="str">
        <f>IF(ISNUMBER(SEARCH("#",B2928)), LEFT(B2928,FIND("#",B2928)-1), B2928)</f>
        <v>Group of Bushes</v>
      </c>
      <c r="G2928" s="26">
        <f>IF(ISNUMBER(SEARCH("#",B2928)),VALUE(MID(B2928,FIND("#",B2928)+1,1000)),1)</f>
        <v>1</v>
      </c>
      <c r="H2928" t="str">
        <f>IF(AND(regexMatch(B2928,".*#[0-9]*$"),ISNUMBER(SEARCH("#",B2928))),CONCATENATE(TRIM(F2928)," #",G2928),B2928)</f>
        <v>Group of Bushes</v>
      </c>
    </row>
    <row r="2929" spans="1:8" ht="15.75" thickBot="1" x14ac:dyDescent="0.3">
      <c r="A2929" s="1" t="s">
        <v>5157</v>
      </c>
      <c r="B2929" s="1" t="s">
        <v>10137</v>
      </c>
      <c r="C2929" s="1"/>
      <c r="D2929" s="2" t="s">
        <v>107</v>
      </c>
      <c r="E2929" s="3" t="str">
        <f>IF(ISERROR(VLOOKUP(B2929,Failures!$A$1:$A$4000,1,FALSE)),"Keep","Delete")</f>
        <v>Keep</v>
      </c>
      <c r="F2929" t="str">
        <f>IF(ISNUMBER(SEARCH("#",B2929)), LEFT(B2929,FIND("#",B2929)-1), B2929)</f>
        <v xml:space="preserve">House Plant </v>
      </c>
      <c r="G2929" s="26">
        <f>IF(ISNUMBER(SEARCH("#",B2929)),VALUE(MID(B2929,FIND("#",B2929)+1,1000)),1)</f>
        <v>1</v>
      </c>
      <c r="H2929" t="str">
        <f>IF(AND(regexMatch(B2929,".*#[0-9]*$"),ISNUMBER(SEARCH("#",B2929))),CONCATENATE(TRIM(F2929)," #",G2929),B2929)</f>
        <v>House Plant #1</v>
      </c>
    </row>
    <row r="2930" spans="1:8" ht="15.75" thickBot="1" x14ac:dyDescent="0.3">
      <c r="A2930" s="1" t="s">
        <v>5156</v>
      </c>
      <c r="B2930" s="1" t="s">
        <v>10138</v>
      </c>
      <c r="C2930" s="1"/>
      <c r="D2930" s="2" t="s">
        <v>107</v>
      </c>
      <c r="E2930" s="3" t="str">
        <f>IF(ISERROR(VLOOKUP(B2930,Failures!$A$1:$A$4000,1,FALSE)),"Keep","Delete")</f>
        <v>Keep</v>
      </c>
      <c r="F2930" t="str">
        <f>IF(ISNUMBER(SEARCH("#",B2930)), LEFT(B2930,FIND("#",B2930)-1), B2930)</f>
        <v xml:space="preserve">House Plant </v>
      </c>
      <c r="G2930" s="26">
        <f>IF(ISNUMBER(SEARCH("#",B2930)),VALUE(MID(B2930,FIND("#",B2930)+1,1000)),1)</f>
        <v>2</v>
      </c>
      <c r="H2930" t="str">
        <f>IF(AND(regexMatch(B2930,".*#[0-9]*$"),ISNUMBER(SEARCH("#",B2930))),CONCATENATE(TRIM(F2930)," #",G2930),B2930)</f>
        <v>House Plant #2</v>
      </c>
    </row>
    <row r="2931" spans="1:8" ht="15.75" thickBot="1" x14ac:dyDescent="0.3">
      <c r="A2931" s="1" t="s">
        <v>5155</v>
      </c>
      <c r="B2931" s="1" t="s">
        <v>10139</v>
      </c>
      <c r="C2931" s="1"/>
      <c r="D2931" s="2" t="s">
        <v>107</v>
      </c>
      <c r="E2931" s="3" t="str">
        <f>IF(ISERROR(VLOOKUP(B2931,Failures!$A$1:$A$4000,1,FALSE)),"Keep","Delete")</f>
        <v>Keep</v>
      </c>
      <c r="F2931" t="str">
        <f>IF(ISNUMBER(SEARCH("#",B2931)), LEFT(B2931,FIND("#",B2931)-1), B2931)</f>
        <v xml:space="preserve">House Plant </v>
      </c>
      <c r="G2931" s="26">
        <f>IF(ISNUMBER(SEARCH("#",B2931)),VALUE(MID(B2931,FIND("#",B2931)+1,1000)),1)</f>
        <v>3</v>
      </c>
      <c r="H2931" t="str">
        <f>IF(AND(regexMatch(B2931,".*#[0-9]*$"),ISNUMBER(SEARCH("#",B2931))),CONCATENATE(TRIM(F2931)," #",G2931),B2931)</f>
        <v>House Plant #3</v>
      </c>
    </row>
    <row r="2932" spans="1:8" ht="15.75" thickBot="1" x14ac:dyDescent="0.3">
      <c r="A2932" s="1" t="s">
        <v>5154</v>
      </c>
      <c r="B2932" s="1" t="s">
        <v>10140</v>
      </c>
      <c r="C2932" s="1"/>
      <c r="D2932" s="2" t="s">
        <v>107</v>
      </c>
      <c r="E2932" s="3" t="str">
        <f>IF(ISERROR(VLOOKUP(B2932,Failures!$A$1:$A$4000,1,FALSE)),"Keep","Delete")</f>
        <v>Keep</v>
      </c>
      <c r="F2932" t="str">
        <f>IF(ISNUMBER(SEARCH("#",B2932)), LEFT(B2932,FIND("#",B2932)-1), B2932)</f>
        <v xml:space="preserve">House Plant </v>
      </c>
      <c r="G2932" s="26">
        <f>IF(ISNUMBER(SEARCH("#",B2932)),VALUE(MID(B2932,FIND("#",B2932)+1,1000)),1)</f>
        <v>4</v>
      </c>
      <c r="H2932" t="str">
        <f>IF(AND(regexMatch(B2932,".*#[0-9]*$"),ISNUMBER(SEARCH("#",B2932))),CONCATENATE(TRIM(F2932)," #",G2932),B2932)</f>
        <v>House Plant #4</v>
      </c>
    </row>
    <row r="2933" spans="1:8" ht="15.75" thickBot="1" x14ac:dyDescent="0.3">
      <c r="A2933" s="1" t="s">
        <v>5153</v>
      </c>
      <c r="B2933" s="1" t="s">
        <v>10141</v>
      </c>
      <c r="C2933" s="1"/>
      <c r="D2933" s="2" t="s">
        <v>107</v>
      </c>
      <c r="E2933" s="3" t="str">
        <f>IF(ISERROR(VLOOKUP(B2933,Failures!$A$1:$A$4000,1,FALSE)),"Keep","Delete")</f>
        <v>Keep</v>
      </c>
      <c r="F2933" t="str">
        <f>IF(ISNUMBER(SEARCH("#",B2933)), LEFT(B2933,FIND("#",B2933)-1), B2933)</f>
        <v xml:space="preserve">House Plant </v>
      </c>
      <c r="G2933" s="26">
        <f>IF(ISNUMBER(SEARCH("#",B2933)),VALUE(MID(B2933,FIND("#",B2933)+1,1000)),1)</f>
        <v>5</v>
      </c>
      <c r="H2933" t="str">
        <f>IF(AND(regexMatch(B2933,".*#[0-9]*$"),ISNUMBER(SEARCH("#",B2933))),CONCATENATE(TRIM(F2933)," #",G2933),B2933)</f>
        <v>House Plant #5</v>
      </c>
    </row>
    <row r="2934" spans="1:8" ht="15.75" thickBot="1" x14ac:dyDescent="0.3">
      <c r="A2934" s="1" t="s">
        <v>5152</v>
      </c>
      <c r="B2934" s="1" t="s">
        <v>10142</v>
      </c>
      <c r="C2934" s="1"/>
      <c r="D2934" s="2" t="s">
        <v>107</v>
      </c>
      <c r="E2934" s="3" t="str">
        <f>IF(ISERROR(VLOOKUP(B2934,Failures!$A$1:$A$4000,1,FALSE)),"Keep","Delete")</f>
        <v>Keep</v>
      </c>
      <c r="F2934" t="str">
        <f>IF(ISNUMBER(SEARCH("#",B2934)), LEFT(B2934,FIND("#",B2934)-1), B2934)</f>
        <v xml:space="preserve">House Plant </v>
      </c>
      <c r="G2934" s="26">
        <f>IF(ISNUMBER(SEARCH("#",B2934)),VALUE(MID(B2934,FIND("#",B2934)+1,1000)),1)</f>
        <v>6</v>
      </c>
      <c r="H2934" t="str">
        <f>IF(AND(regexMatch(B2934,".*#[0-9]*$"),ISNUMBER(SEARCH("#",B2934))),CONCATENATE(TRIM(F2934)," #",G2934),B2934)</f>
        <v>House Plant #6</v>
      </c>
    </row>
    <row r="2935" spans="1:8" ht="15.75" thickBot="1" x14ac:dyDescent="0.3">
      <c r="A2935" s="1" t="s">
        <v>5151</v>
      </c>
      <c r="B2935" s="1" t="s">
        <v>10143</v>
      </c>
      <c r="C2935" s="1"/>
      <c r="D2935" s="2" t="s">
        <v>107</v>
      </c>
      <c r="E2935" s="3" t="str">
        <f>IF(ISERROR(VLOOKUP(B2935,Failures!$A$1:$A$4000,1,FALSE)),"Keep","Delete")</f>
        <v>Keep</v>
      </c>
      <c r="F2935" t="str">
        <f>IF(ISNUMBER(SEARCH("#",B2935)), LEFT(B2935,FIND("#",B2935)-1), B2935)</f>
        <v xml:space="preserve">House Plant </v>
      </c>
      <c r="G2935" s="26">
        <f>IF(ISNUMBER(SEARCH("#",B2935)),VALUE(MID(B2935,FIND("#",B2935)+1,1000)),1)</f>
        <v>7</v>
      </c>
      <c r="H2935" t="str">
        <f>IF(AND(regexMatch(B2935,".*#[0-9]*$"),ISNUMBER(SEARCH("#",B2935))),CONCATENATE(TRIM(F2935)," #",G2935),B2935)</f>
        <v>House Plant #7</v>
      </c>
    </row>
    <row r="2936" spans="1:8" ht="15.75" thickBot="1" x14ac:dyDescent="0.3">
      <c r="A2936" s="1" t="s">
        <v>5150</v>
      </c>
      <c r="B2936" s="1" t="s">
        <v>10144</v>
      </c>
      <c r="C2936" s="1"/>
      <c r="D2936" s="2" t="s">
        <v>107</v>
      </c>
      <c r="E2936" s="3" t="str">
        <f>IF(ISERROR(VLOOKUP(B2936,Failures!$A$1:$A$4000,1,FALSE)),"Keep","Delete")</f>
        <v>Keep</v>
      </c>
      <c r="F2936" t="str">
        <f>IF(ISNUMBER(SEARCH("#",B2936)), LEFT(B2936,FIND("#",B2936)-1), B2936)</f>
        <v xml:space="preserve">House Plant </v>
      </c>
      <c r="G2936" s="26">
        <f>IF(ISNUMBER(SEARCH("#",B2936)),VALUE(MID(B2936,FIND("#",B2936)+1,1000)),1)</f>
        <v>8</v>
      </c>
      <c r="H2936" t="str">
        <f>IF(AND(regexMatch(B2936,".*#[0-9]*$"),ISNUMBER(SEARCH("#",B2936))),CONCATENATE(TRIM(F2936)," #",G2936),B2936)</f>
        <v>House Plant #8</v>
      </c>
    </row>
    <row r="2937" spans="1:8" ht="15.75" thickBot="1" x14ac:dyDescent="0.3">
      <c r="A2937" s="9" t="s">
        <v>4034</v>
      </c>
      <c r="B2937" s="11" t="s">
        <v>10515</v>
      </c>
      <c r="C2937" s="9"/>
      <c r="D2937" s="14" t="s">
        <v>107</v>
      </c>
      <c r="E2937" s="3" t="str">
        <f>IF(ISERROR(VLOOKUP(B2937,Failures!$A$1:$A$4000,1,FALSE)),"Keep","Delete")</f>
        <v>Keep</v>
      </c>
      <c r="F2937" t="str">
        <f>IF(ISNUMBER(SEARCH("#",B2937)), LEFT(B2937,FIND("#",B2937)-1), B2937)</f>
        <v xml:space="preserve">Joshua Tree </v>
      </c>
      <c r="G2937" s="26">
        <v>1</v>
      </c>
      <c r="H2937" t="str">
        <f>IF(AND(regexMatch(B2937,".*#[0-9]*$"),ISNUMBER(SEARCH("#",B2937))),CONCATENATE(TRIM(F2937)," #",G2937),B2937)</f>
        <v>Joshua Tree #1</v>
      </c>
    </row>
    <row r="2938" spans="1:8" ht="15.75" thickBot="1" x14ac:dyDescent="0.3">
      <c r="A2938" s="1" t="s">
        <v>5133</v>
      </c>
      <c r="B2938" s="11" t="s">
        <v>10515</v>
      </c>
      <c r="C2938" s="1"/>
      <c r="D2938" s="2" t="s">
        <v>107</v>
      </c>
      <c r="E2938" s="3" t="str">
        <f>IF(ISERROR(VLOOKUP(B2938,Failures!$A$1:$A$4000,1,FALSE)),"Keep","Delete")</f>
        <v>Keep</v>
      </c>
      <c r="F2938" t="str">
        <f>IF(ISNUMBER(SEARCH("#",B2938)), LEFT(B2938,FIND("#",B2938)-1), B2938)</f>
        <v xml:space="preserve">Joshua Tree </v>
      </c>
      <c r="G2938" s="26">
        <f>G2937+1</f>
        <v>2</v>
      </c>
      <c r="H2938" t="str">
        <f>IF(AND(regexMatch(B2938,".*#[0-9]*$"),ISNUMBER(SEARCH("#",B2938))),CONCATENATE(TRIM(F2938)," #",G2938),B2938)</f>
        <v>Joshua Tree #2</v>
      </c>
    </row>
    <row r="2939" spans="1:8" ht="15.75" thickBot="1" x14ac:dyDescent="0.3">
      <c r="A2939" s="1" t="s">
        <v>5132</v>
      </c>
      <c r="B2939" s="11" t="s">
        <v>10515</v>
      </c>
      <c r="C2939" s="1"/>
      <c r="D2939" s="2" t="s">
        <v>107</v>
      </c>
      <c r="E2939" s="3" t="str">
        <f>IF(ISERROR(VLOOKUP(B2939,Failures!$A$1:$A$4000,1,FALSE)),"Keep","Delete")</f>
        <v>Keep</v>
      </c>
      <c r="F2939" t="str">
        <f>IF(ISNUMBER(SEARCH("#",B2939)), LEFT(B2939,FIND("#",B2939)-1), B2939)</f>
        <v xml:space="preserve">Joshua Tree </v>
      </c>
      <c r="G2939" s="26">
        <f>G2938+1</f>
        <v>3</v>
      </c>
      <c r="H2939" t="str">
        <f>IF(AND(regexMatch(B2939,".*#[0-9]*$"),ISNUMBER(SEARCH("#",B2939))),CONCATENATE(TRIM(F2939)," #",G2939),B2939)</f>
        <v>Joshua Tree #3</v>
      </c>
    </row>
    <row r="2940" spans="1:8" ht="15.75" thickBot="1" x14ac:dyDescent="0.3">
      <c r="A2940" s="1" t="s">
        <v>5131</v>
      </c>
      <c r="B2940" s="11" t="s">
        <v>10515</v>
      </c>
      <c r="C2940" s="1"/>
      <c r="D2940" s="2" t="s">
        <v>107</v>
      </c>
      <c r="E2940" s="3" t="str">
        <f>IF(ISERROR(VLOOKUP(B2940,Failures!$A$1:$A$4000,1,FALSE)),"Keep","Delete")</f>
        <v>Keep</v>
      </c>
      <c r="F2940" t="str">
        <f>IF(ISNUMBER(SEARCH("#",B2940)), LEFT(B2940,FIND("#",B2940)-1), B2940)</f>
        <v xml:space="preserve">Joshua Tree </v>
      </c>
      <c r="G2940" s="26">
        <f>G2939+1</f>
        <v>4</v>
      </c>
      <c r="H2940" t="str">
        <f>IF(AND(regexMatch(B2940,".*#[0-9]*$"),ISNUMBER(SEARCH("#",B2940))),CONCATENATE(TRIM(F2940)," #",G2940),B2940)</f>
        <v>Joshua Tree #4</v>
      </c>
    </row>
    <row r="2941" spans="1:8" ht="15.75" thickBot="1" x14ac:dyDescent="0.3">
      <c r="A2941" s="1" t="s">
        <v>5130</v>
      </c>
      <c r="B2941" s="11" t="s">
        <v>10515</v>
      </c>
      <c r="C2941" s="1"/>
      <c r="D2941" s="2" t="s">
        <v>107</v>
      </c>
      <c r="E2941" s="3" t="str">
        <f>IF(ISERROR(VLOOKUP(B2941,Failures!$A$1:$A$4000,1,FALSE)),"Keep","Delete")</f>
        <v>Keep</v>
      </c>
      <c r="F2941" t="str">
        <f>IF(ISNUMBER(SEARCH("#",B2941)), LEFT(B2941,FIND("#",B2941)-1), B2941)</f>
        <v xml:space="preserve">Joshua Tree </v>
      </c>
      <c r="G2941" s="26">
        <f>G2940+1</f>
        <v>5</v>
      </c>
      <c r="H2941" t="str">
        <f>IF(AND(regexMatch(B2941,".*#[0-9]*$"),ISNUMBER(SEARCH("#",B2941))),CONCATENATE(TRIM(F2941)," #",G2941),B2941)</f>
        <v>Joshua Tree #5</v>
      </c>
    </row>
    <row r="2942" spans="1:8" ht="15.75" thickBot="1" x14ac:dyDescent="0.3">
      <c r="A2942" s="1" t="s">
        <v>5129</v>
      </c>
      <c r="B2942" s="11" t="s">
        <v>10515</v>
      </c>
      <c r="C2942" s="1"/>
      <c r="D2942" s="2" t="s">
        <v>107</v>
      </c>
      <c r="E2942" s="3" t="str">
        <f>IF(ISERROR(VLOOKUP(B2942,Failures!$A$1:$A$4000,1,FALSE)),"Keep","Delete")</f>
        <v>Keep</v>
      </c>
      <c r="F2942" t="str">
        <f>IF(ISNUMBER(SEARCH("#",B2942)), LEFT(B2942,FIND("#",B2942)-1), B2942)</f>
        <v xml:space="preserve">Joshua Tree </v>
      </c>
      <c r="G2942" s="26">
        <f>G2941+1</f>
        <v>6</v>
      </c>
      <c r="H2942" t="str">
        <f>IF(AND(regexMatch(B2942,".*#[0-9]*$"),ISNUMBER(SEARCH("#",B2942))),CONCATENATE(TRIM(F2942)," #",G2942),B2942)</f>
        <v>Joshua Tree #6</v>
      </c>
    </row>
    <row r="2943" spans="1:8" ht="15.75" thickBot="1" x14ac:dyDescent="0.3">
      <c r="A2943" s="1" t="s">
        <v>5128</v>
      </c>
      <c r="B2943" s="11" t="s">
        <v>10515</v>
      </c>
      <c r="C2943" s="1"/>
      <c r="D2943" s="2" t="s">
        <v>107</v>
      </c>
      <c r="E2943" s="3" t="str">
        <f>IF(ISERROR(VLOOKUP(B2943,Failures!$A$1:$A$4000,1,FALSE)),"Keep","Delete")</f>
        <v>Keep</v>
      </c>
      <c r="F2943" t="str">
        <f>IF(ISNUMBER(SEARCH("#",B2943)), LEFT(B2943,FIND("#",B2943)-1), B2943)</f>
        <v xml:space="preserve">Joshua Tree </v>
      </c>
      <c r="G2943" s="26">
        <f>G2942+1</f>
        <v>7</v>
      </c>
      <c r="H2943" t="str">
        <f>IF(AND(regexMatch(B2943,".*#[0-9]*$"),ISNUMBER(SEARCH("#",B2943))),CONCATENATE(TRIM(F2943)," #",G2943),B2943)</f>
        <v>Joshua Tree #7</v>
      </c>
    </row>
    <row r="2944" spans="1:8" ht="15.75" thickBot="1" x14ac:dyDescent="0.3">
      <c r="A2944" s="1" t="s">
        <v>5127</v>
      </c>
      <c r="B2944" s="11" t="s">
        <v>10515</v>
      </c>
      <c r="C2944" s="1"/>
      <c r="D2944" s="2" t="s">
        <v>107</v>
      </c>
      <c r="E2944" s="3" t="str">
        <f>IF(ISERROR(VLOOKUP(B2944,Failures!$A$1:$A$4000,1,FALSE)),"Keep","Delete")</f>
        <v>Keep</v>
      </c>
      <c r="F2944" t="str">
        <f>IF(ISNUMBER(SEARCH("#",B2944)), LEFT(B2944,FIND("#",B2944)-1), B2944)</f>
        <v xml:space="preserve">Joshua Tree </v>
      </c>
      <c r="G2944" s="26">
        <f>G2943+1</f>
        <v>8</v>
      </c>
      <c r="H2944" t="str">
        <f>IF(AND(regexMatch(B2944,".*#[0-9]*$"),ISNUMBER(SEARCH("#",B2944))),CONCATENATE(TRIM(F2944)," #",G2944),B2944)</f>
        <v>Joshua Tree #8</v>
      </c>
    </row>
    <row r="2945" spans="1:8" ht="15.75" thickBot="1" x14ac:dyDescent="0.3">
      <c r="A2945" s="1" t="s">
        <v>5126</v>
      </c>
      <c r="B2945" s="11" t="s">
        <v>10515</v>
      </c>
      <c r="C2945" s="1"/>
      <c r="D2945" s="2" t="s">
        <v>107</v>
      </c>
      <c r="E2945" s="3" t="str">
        <f>IF(ISERROR(VLOOKUP(B2945,Failures!$A$1:$A$4000,1,FALSE)),"Keep","Delete")</f>
        <v>Keep</v>
      </c>
      <c r="F2945" t="str">
        <f>IF(ISNUMBER(SEARCH("#",B2945)), LEFT(B2945,FIND("#",B2945)-1), B2945)</f>
        <v xml:space="preserve">Joshua Tree </v>
      </c>
      <c r="G2945" s="26">
        <f>G2944+1</f>
        <v>9</v>
      </c>
      <c r="H2945" t="str">
        <f>IF(AND(regexMatch(B2945,".*#[0-9]*$"),ISNUMBER(SEARCH("#",B2945))),CONCATENATE(TRIM(F2945)," #",G2945),B2945)</f>
        <v>Joshua Tree #9</v>
      </c>
    </row>
    <row r="2946" spans="1:8" ht="15.75" thickBot="1" x14ac:dyDescent="0.3">
      <c r="A2946" s="1" t="s">
        <v>5125</v>
      </c>
      <c r="B2946" s="11" t="s">
        <v>10515</v>
      </c>
      <c r="C2946" s="1"/>
      <c r="D2946" s="2" t="s">
        <v>107</v>
      </c>
      <c r="E2946" s="3" t="str">
        <f>IF(ISERROR(VLOOKUP(B2946,Failures!$A$1:$A$4000,1,FALSE)),"Keep","Delete")</f>
        <v>Keep</v>
      </c>
      <c r="F2946" t="str">
        <f>IF(ISNUMBER(SEARCH("#",B2946)), LEFT(B2946,FIND("#",B2946)-1), B2946)</f>
        <v xml:space="preserve">Joshua Tree </v>
      </c>
      <c r="G2946" s="26">
        <f>G2945+1</f>
        <v>10</v>
      </c>
      <c r="H2946" t="str">
        <f>IF(AND(regexMatch(B2946,".*#[0-9]*$"),ISNUMBER(SEARCH("#",B2946))),CONCATENATE(TRIM(F2946)," #",G2946),B2946)</f>
        <v>Joshua Tree #10</v>
      </c>
    </row>
    <row r="2947" spans="1:8" ht="15.75" thickBot="1" x14ac:dyDescent="0.3">
      <c r="A2947" s="1" t="s">
        <v>1002</v>
      </c>
      <c r="B2947" s="1" t="s">
        <v>1003</v>
      </c>
      <c r="C2947" s="4" t="s">
        <v>5</v>
      </c>
      <c r="D2947" s="2" t="s">
        <v>107</v>
      </c>
      <c r="E2947" s="3" t="str">
        <f>IF(ISERROR(VLOOKUP(B2947,Failures!$A$1:$A$4000,1,FALSE)),"Keep","Delete")</f>
        <v>Keep</v>
      </c>
      <c r="F2947" t="str">
        <f>IF(ISNUMBER(SEARCH("#",B2947)), LEFT(B2947,FIND("#",B2947)-1), B2947)</f>
        <v>Leaf</v>
      </c>
      <c r="G2947" s="26">
        <f>IF(ISNUMBER(SEARCH("#",B2947)),VALUE(MID(B2947,FIND("#",B2947)+1,1000)),1)</f>
        <v>1</v>
      </c>
      <c r="H2947" t="str">
        <f>IF(AND(regexMatch(B2947,".*#[0-9]*$"),ISNUMBER(SEARCH("#",B2947))),CONCATENATE(TRIM(F2947)," #",G2947),B2947)</f>
        <v>Leaf</v>
      </c>
    </row>
    <row r="2948" spans="1:8" ht="15.75" thickBot="1" x14ac:dyDescent="0.3">
      <c r="A2948" s="9" t="s">
        <v>4033</v>
      </c>
      <c r="B2948" s="11" t="s">
        <v>4735</v>
      </c>
      <c r="C2948" s="9"/>
      <c r="D2948" s="14" t="s">
        <v>107</v>
      </c>
      <c r="E2948" s="3" t="str">
        <f>IF(ISERROR(VLOOKUP(B2948,Failures!$A$1:$A$4000,1,FALSE)),"Keep","Delete")</f>
        <v>Keep</v>
      </c>
      <c r="F2948" t="str">
        <f>IF(ISNUMBER(SEARCH("#",B2948)), LEFT(B2948,FIND("#",B2948)-1), B2948)</f>
        <v xml:space="preserve">Oak Tree </v>
      </c>
      <c r="G2948" s="26">
        <f>IF(ISNUMBER(SEARCH("#",B2948)),VALUE(MID(B2948,FIND("#",B2948)+1,1000)),1)</f>
        <v>1</v>
      </c>
      <c r="H2948" t="str">
        <f>IF(AND(regexMatch(B2948,".*#[0-9]*$"),ISNUMBER(SEARCH("#",B2948))),CONCATENATE(TRIM(F2948)," #",G2948),B2948)</f>
        <v>Oak Tree #1</v>
      </c>
    </row>
    <row r="2949" spans="1:8" ht="15.75" thickBot="1" x14ac:dyDescent="0.3">
      <c r="A2949" s="7" t="s">
        <v>4273</v>
      </c>
      <c r="B2949" s="11" t="s">
        <v>4736</v>
      </c>
      <c r="C2949" s="9"/>
      <c r="D2949" s="14" t="s">
        <v>107</v>
      </c>
      <c r="E2949" s="3" t="str">
        <f>IF(ISERROR(VLOOKUP(B2949,Failures!$A$1:$A$4000,1,FALSE)),"Keep","Delete")</f>
        <v>Keep</v>
      </c>
      <c r="F2949" t="str">
        <f>IF(ISNUMBER(SEARCH("#",B2949)), LEFT(B2949,FIND("#",B2949)-1), B2949)</f>
        <v xml:space="preserve">Oak Tree </v>
      </c>
      <c r="G2949" s="26">
        <f>IF(ISNUMBER(SEARCH("#",B2949)),VALUE(MID(B2949,FIND("#",B2949)+1,1000)),1)</f>
        <v>2</v>
      </c>
      <c r="H2949" t="str">
        <f>IF(AND(regexMatch(B2949,".*#[0-9]*$"),ISNUMBER(SEARCH("#",B2949))),CONCATENATE(TRIM(F2949)," #",G2949),B2949)</f>
        <v>Oak Tree #2</v>
      </c>
    </row>
    <row r="2950" spans="1:8" ht="15.75" thickBot="1" x14ac:dyDescent="0.3">
      <c r="A2950" s="9" t="s">
        <v>4032</v>
      </c>
      <c r="B2950" s="11" t="s">
        <v>4737</v>
      </c>
      <c r="C2950" s="9"/>
      <c r="D2950" s="14" t="s">
        <v>107</v>
      </c>
      <c r="E2950" s="3" t="str">
        <f>IF(ISERROR(VLOOKUP(B2950,Failures!$A$1:$A$4000,1,FALSE)),"Keep","Delete")</f>
        <v>Keep</v>
      </c>
      <c r="F2950" t="str">
        <f>IF(ISNUMBER(SEARCH("#",B2950)), LEFT(B2950,FIND("#",B2950)-1), B2950)</f>
        <v xml:space="preserve">Olive Tree </v>
      </c>
      <c r="G2950" s="26">
        <f>IF(ISNUMBER(SEARCH("#",B2950)),VALUE(MID(B2950,FIND("#",B2950)+1,1000)),1)</f>
        <v>1</v>
      </c>
      <c r="H2950" t="str">
        <f>IF(AND(regexMatch(B2950,".*#[0-9]*$"),ISNUMBER(SEARCH("#",B2950))),CONCATENATE(TRIM(F2950)," #",G2950),B2950)</f>
        <v>Olive Tree #1</v>
      </c>
    </row>
    <row r="2951" spans="1:8" ht="15.75" thickBot="1" x14ac:dyDescent="0.3">
      <c r="A2951" s="7" t="s">
        <v>4272</v>
      </c>
      <c r="B2951" s="11" t="s">
        <v>4738</v>
      </c>
      <c r="C2951" s="9"/>
      <c r="D2951" s="14" t="s">
        <v>107</v>
      </c>
      <c r="E2951" s="3" t="str">
        <f>IF(ISERROR(VLOOKUP(B2951,Failures!$A$1:$A$4000,1,FALSE)),"Keep","Delete")</f>
        <v>Keep</v>
      </c>
      <c r="F2951" t="str">
        <f>IF(ISNUMBER(SEARCH("#",B2951)), LEFT(B2951,FIND("#",B2951)-1), B2951)</f>
        <v xml:space="preserve">Olive Tree </v>
      </c>
      <c r="G2951" s="26">
        <f>IF(ISNUMBER(SEARCH("#",B2951)),VALUE(MID(B2951,FIND("#",B2951)+1,1000)),1)</f>
        <v>2</v>
      </c>
      <c r="H2951" t="str">
        <f>IF(AND(regexMatch(B2951,".*#[0-9]*$"),ISNUMBER(SEARCH("#",B2951))),CONCATENATE(TRIM(F2951)," #",G2951),B2951)</f>
        <v>Olive Tree #2</v>
      </c>
    </row>
    <row r="2952" spans="1:8" ht="15.75" thickBot="1" x14ac:dyDescent="0.3">
      <c r="A2952" s="1" t="s">
        <v>5502</v>
      </c>
      <c r="B2952" s="1" t="s">
        <v>10145</v>
      </c>
      <c r="C2952" s="1"/>
      <c r="D2952" s="2" t="s">
        <v>107</v>
      </c>
      <c r="E2952" s="3" t="str">
        <f>IF(ISERROR(VLOOKUP(B2952,Failures!$A$1:$A$4000,1,FALSE)),"Keep","Delete")</f>
        <v>Keep</v>
      </c>
      <c r="F2952" t="str">
        <f>IF(ISNUMBER(SEARCH("#",B2952)), LEFT(B2952,FIND("#",B2952)-1), B2952)</f>
        <v xml:space="preserve">Palm Plant </v>
      </c>
      <c r="G2952" s="26">
        <f>IF(ISNUMBER(SEARCH("#",B2952)),VALUE(MID(B2952,FIND("#",B2952)+1,1000)),1)</f>
        <v>1</v>
      </c>
      <c r="H2952" t="str">
        <f>IF(AND(regexMatch(B2952,".*#[0-9]*$"),ISNUMBER(SEARCH("#",B2952))),CONCATENATE(TRIM(F2952)," #",G2952),B2952)</f>
        <v>Palm Plant #1</v>
      </c>
    </row>
    <row r="2953" spans="1:8" ht="15.75" thickBot="1" x14ac:dyDescent="0.3">
      <c r="A2953" s="1" t="s">
        <v>5501</v>
      </c>
      <c r="B2953" s="1" t="s">
        <v>10146</v>
      </c>
      <c r="C2953" s="1"/>
      <c r="D2953" s="2" t="s">
        <v>107</v>
      </c>
      <c r="E2953" s="3" t="str">
        <f>IF(ISERROR(VLOOKUP(B2953,Failures!$A$1:$A$4000,1,FALSE)),"Keep","Delete")</f>
        <v>Keep</v>
      </c>
      <c r="F2953" t="str">
        <f>IF(ISNUMBER(SEARCH("#",B2953)), LEFT(B2953,FIND("#",B2953)-1), B2953)</f>
        <v xml:space="preserve">Palm Plant </v>
      </c>
      <c r="G2953" s="26">
        <f>IF(ISNUMBER(SEARCH("#",B2953)),VALUE(MID(B2953,FIND("#",B2953)+1,1000)),1)</f>
        <v>2</v>
      </c>
      <c r="H2953" t="str">
        <f>IF(AND(regexMatch(B2953,".*#[0-9]*$"),ISNUMBER(SEARCH("#",B2953))),CONCATENATE(TRIM(F2953)," #",G2953),B2953)</f>
        <v>Palm Plant #2</v>
      </c>
    </row>
    <row r="2954" spans="1:8" ht="15.75" thickBot="1" x14ac:dyDescent="0.3">
      <c r="A2954" s="1" t="s">
        <v>5500</v>
      </c>
      <c r="B2954" s="1" t="s">
        <v>10147</v>
      </c>
      <c r="C2954" s="1"/>
      <c r="D2954" s="2" t="s">
        <v>107</v>
      </c>
      <c r="E2954" s="3" t="str">
        <f>IF(ISERROR(VLOOKUP(B2954,Failures!$A$1:$A$4000,1,FALSE)),"Keep","Delete")</f>
        <v>Keep</v>
      </c>
      <c r="F2954" t="str">
        <f>IF(ISNUMBER(SEARCH("#",B2954)), LEFT(B2954,FIND("#",B2954)-1), B2954)</f>
        <v xml:space="preserve">Palm Plant </v>
      </c>
      <c r="G2954" s="26">
        <f>IF(ISNUMBER(SEARCH("#",B2954)),VALUE(MID(B2954,FIND("#",B2954)+1,1000)),1)</f>
        <v>3</v>
      </c>
      <c r="H2954" t="str">
        <f>IF(AND(regexMatch(B2954,".*#[0-9]*$"),ISNUMBER(SEARCH("#",B2954))),CONCATENATE(TRIM(F2954)," #",G2954),B2954)</f>
        <v>Palm Plant #3</v>
      </c>
    </row>
    <row r="2955" spans="1:8" ht="15.75" thickBot="1" x14ac:dyDescent="0.3">
      <c r="A2955" s="1" t="s">
        <v>1048</v>
      </c>
      <c r="B2955" s="1" t="s">
        <v>3826</v>
      </c>
      <c r="C2955" s="2" t="s">
        <v>5</v>
      </c>
      <c r="D2955" s="2" t="s">
        <v>107</v>
      </c>
      <c r="E2955" s="3" t="str">
        <f>IF(ISERROR(VLOOKUP(B2955,Failures!$A$1:$A$4000,1,FALSE)),"Keep","Delete")</f>
        <v>Keep</v>
      </c>
      <c r="F2955" t="str">
        <f>IF(ISNUMBER(SEARCH("#",B2955)), LEFT(B2955,FIND("#",B2955)-1), B2955)</f>
        <v xml:space="preserve">Pebble </v>
      </c>
      <c r="G2955" s="26">
        <f>IF(ISNUMBER(SEARCH("#",B2955)),VALUE(MID(B2955,FIND("#",B2955)+1,1000)),1)</f>
        <v>1</v>
      </c>
      <c r="H2955" t="str">
        <f>IF(AND(regexMatch(B2955,".*#[0-9]*$"),ISNUMBER(SEARCH("#",B2955))),CONCATENATE(TRIM(F2955)," #",G2955),B2955)</f>
        <v>Pebble #1</v>
      </c>
    </row>
    <row r="2956" spans="1:8" ht="15.75" thickBot="1" x14ac:dyDescent="0.3">
      <c r="A2956" s="1" t="s">
        <v>1049</v>
      </c>
      <c r="B2956" s="1" t="s">
        <v>1050</v>
      </c>
      <c r="C2956" s="2" t="s">
        <v>5</v>
      </c>
      <c r="D2956" s="2" t="s">
        <v>107</v>
      </c>
      <c r="E2956" s="3" t="str">
        <f>IF(ISERROR(VLOOKUP(B2956,Failures!$A$1:$A$4000,1,FALSE)),"Keep","Delete")</f>
        <v>Keep</v>
      </c>
      <c r="F2956" t="str">
        <f>IF(ISNUMBER(SEARCH("#",B2956)), LEFT(B2956,FIND("#",B2956)-1), B2956)</f>
        <v xml:space="preserve">Pebble </v>
      </c>
      <c r="G2956" s="26">
        <f>IF(ISNUMBER(SEARCH("#",B2956)),VALUE(MID(B2956,FIND("#",B2956)+1,1000)),1)</f>
        <v>2</v>
      </c>
      <c r="H2956" t="str">
        <f>IF(AND(regexMatch(B2956,".*#[0-9]*$"),ISNUMBER(SEARCH("#",B2956))),CONCATENATE(TRIM(F2956)," #",G2956),B2956)</f>
        <v>Pebble #2</v>
      </c>
    </row>
    <row r="2957" spans="1:8" ht="15.75" thickBot="1" x14ac:dyDescent="0.3">
      <c r="A2957" s="7" t="s">
        <v>4061</v>
      </c>
      <c r="B2957" s="9" t="s">
        <v>4519</v>
      </c>
      <c r="C2957" s="9"/>
      <c r="D2957" s="14" t="s">
        <v>107</v>
      </c>
      <c r="E2957" s="3" t="str">
        <f>IF(ISERROR(VLOOKUP(B2957,Failures!$A$1:$A$4000,1,FALSE)),"Keep","Delete")</f>
        <v>Keep</v>
      </c>
      <c r="F2957" t="str">
        <f>IF(ISNUMBER(SEARCH("#",B2957)), LEFT(B2957,FIND("#",B2957)-1), B2957)</f>
        <v>Peyote: Chunk</v>
      </c>
      <c r="G2957" s="26">
        <f>IF(ISNUMBER(SEARCH("#",B2957)),VALUE(MID(B2957,FIND("#",B2957)+1,1000)),1)</f>
        <v>1</v>
      </c>
      <c r="H2957" t="str">
        <f>IF(AND(regexMatch(B2957,".*#[0-9]*$"),ISNUMBER(SEARCH("#",B2957))),CONCATENATE(TRIM(F2957)," #",G2957),B2957)</f>
        <v>Peyote: Chunk</v>
      </c>
    </row>
    <row r="2958" spans="1:8" ht="15.75" thickBot="1" x14ac:dyDescent="0.3">
      <c r="A2958" s="7" t="s">
        <v>4064</v>
      </c>
      <c r="B2958" s="9" t="s">
        <v>4520</v>
      </c>
      <c r="C2958" s="9"/>
      <c r="D2958" s="14" t="s">
        <v>107</v>
      </c>
      <c r="E2958" s="3" t="str">
        <f>IF(ISERROR(VLOOKUP(B2958,Failures!$A$1:$A$4000,1,FALSE)),"Keep","Delete")</f>
        <v>Keep</v>
      </c>
      <c r="F2958" t="str">
        <f>IF(ISNUMBER(SEARCH("#",B2958)), LEFT(B2958,FIND("#",B2958)-1), B2958)</f>
        <v>Peyote: Gold</v>
      </c>
      <c r="G2958" s="26">
        <f>IF(ISNUMBER(SEARCH("#",B2958)),VALUE(MID(B2958,FIND("#",B2958)+1,1000)),1)</f>
        <v>1</v>
      </c>
      <c r="H2958" t="str">
        <f>IF(AND(regexMatch(B2958,".*#[0-9]*$"),ISNUMBER(SEARCH("#",B2958))),CONCATENATE(TRIM(F2958)," #",G2958),B2958)</f>
        <v>Peyote: Gold</v>
      </c>
    </row>
    <row r="2959" spans="1:8" ht="15.75" thickBot="1" x14ac:dyDescent="0.3">
      <c r="A2959" s="7" t="s">
        <v>4063</v>
      </c>
      <c r="B2959" s="9" t="s">
        <v>4522</v>
      </c>
      <c r="C2959" s="9"/>
      <c r="D2959" s="14" t="s">
        <v>107</v>
      </c>
      <c r="E2959" s="3" t="str">
        <f>IF(ISERROR(VLOOKUP(B2959,Failures!$A$1:$A$4000,1,FALSE)),"Keep","Delete")</f>
        <v>Keep</v>
      </c>
      <c r="F2959" t="str">
        <f>IF(ISNUMBER(SEARCH("#",B2959)), LEFT(B2959,FIND("#",B2959)-1), B2959)</f>
        <v xml:space="preserve">Peyote: Highland </v>
      </c>
      <c r="G2959" s="26">
        <f>IF(ISNUMBER(SEARCH("#",B2959)),VALUE(MID(B2959,FIND("#",B2959)+1,1000)),1)</f>
        <v>1</v>
      </c>
      <c r="H2959" t="str">
        <f>IF(AND(regexMatch(B2959,".*#[0-9]*$"),ISNUMBER(SEARCH("#",B2959))),CONCATENATE(TRIM(F2959)," #",G2959),B2959)</f>
        <v>Peyote: Highland #1</v>
      </c>
    </row>
    <row r="2960" spans="1:8" ht="15.75" thickBot="1" x14ac:dyDescent="0.3">
      <c r="A2960" s="7" t="s">
        <v>4066</v>
      </c>
      <c r="B2960" s="9" t="s">
        <v>4525</v>
      </c>
      <c r="C2960" s="9"/>
      <c r="D2960" s="14" t="s">
        <v>107</v>
      </c>
      <c r="E2960" s="3" t="str">
        <f>IF(ISERROR(VLOOKUP(B2960,Failures!$A$1:$A$4000,1,FALSE)),"Keep","Delete")</f>
        <v>Keep</v>
      </c>
      <c r="F2960" t="str">
        <f>IF(ISNUMBER(SEARCH("#",B2960)), LEFT(B2960,FIND("#",B2960)-1), B2960)</f>
        <v xml:space="preserve">Peyote: Highland </v>
      </c>
      <c r="G2960" s="26">
        <f>IF(ISNUMBER(SEARCH("#",B2960)),VALUE(MID(B2960,FIND("#",B2960)+1,1000)),1)</f>
        <v>2</v>
      </c>
      <c r="H2960" t="str">
        <f>IF(AND(regexMatch(B2960,".*#[0-9]*$"),ISNUMBER(SEARCH("#",B2960))),CONCATENATE(TRIM(F2960)," #",G2960),B2960)</f>
        <v>Peyote: Highland #2</v>
      </c>
    </row>
    <row r="2961" spans="1:8" ht="15.75" thickBot="1" x14ac:dyDescent="0.3">
      <c r="A2961" s="7" t="s">
        <v>4062</v>
      </c>
      <c r="B2961" s="9" t="s">
        <v>4524</v>
      </c>
      <c r="C2961" s="9"/>
      <c r="D2961" s="14" t="s">
        <v>107</v>
      </c>
      <c r="E2961" s="3" t="str">
        <f>IF(ISERROR(VLOOKUP(B2961,Failures!$A$1:$A$4000,1,FALSE)),"Keep","Delete")</f>
        <v>Keep</v>
      </c>
      <c r="F2961" t="str">
        <f>IF(ISNUMBER(SEARCH("#",B2961)), LEFT(B2961,FIND("#",B2961)-1), B2961)</f>
        <v xml:space="preserve">Peyote: Lowland </v>
      </c>
      <c r="G2961" s="26">
        <f>IF(ISNUMBER(SEARCH("#",B2961)),VALUE(MID(B2961,FIND("#",B2961)+1,1000)),1)</f>
        <v>1</v>
      </c>
      <c r="H2961" t="str">
        <f>IF(AND(regexMatch(B2961,".*#[0-9]*$"),ISNUMBER(SEARCH("#",B2961))),CONCATENATE(TRIM(F2961)," #",G2961),B2961)</f>
        <v>Peyote: Lowland #1</v>
      </c>
    </row>
    <row r="2962" spans="1:8" ht="15.75" thickBot="1" x14ac:dyDescent="0.3">
      <c r="A2962" s="7" t="s">
        <v>4065</v>
      </c>
      <c r="B2962" s="9" t="s">
        <v>4523</v>
      </c>
      <c r="C2962" s="9"/>
      <c r="D2962" s="14" t="s">
        <v>107</v>
      </c>
      <c r="E2962" s="3" t="str">
        <f>IF(ISERROR(VLOOKUP(B2962,Failures!$A$1:$A$4000,1,FALSE)),"Keep","Delete")</f>
        <v>Keep</v>
      </c>
      <c r="F2962" t="str">
        <f>IF(ISNUMBER(SEARCH("#",B2962)), LEFT(B2962,FIND("#",B2962)-1), B2962)</f>
        <v xml:space="preserve">Peyote: Lowland </v>
      </c>
      <c r="G2962" s="26">
        <f>IF(ISNUMBER(SEARCH("#",B2962)),VALUE(MID(B2962,FIND("#",B2962)+1,1000)),1)</f>
        <v>2</v>
      </c>
      <c r="H2962" t="str">
        <f>IF(AND(regexMatch(B2962,".*#[0-9]*$"),ISNUMBER(SEARCH("#",B2962))),CONCATENATE(TRIM(F2962)," #",G2962),B2962)</f>
        <v>Peyote: Lowland #2</v>
      </c>
    </row>
    <row r="2963" spans="1:8" ht="15.75" thickBot="1" x14ac:dyDescent="0.3">
      <c r="A2963" s="7" t="s">
        <v>4067</v>
      </c>
      <c r="B2963" s="9" t="s">
        <v>4521</v>
      </c>
      <c r="C2963" s="9"/>
      <c r="D2963" s="14" t="s">
        <v>107</v>
      </c>
      <c r="E2963" s="3" t="str">
        <f>IF(ISERROR(VLOOKUP(B2963,Failures!$A$1:$A$4000,1,FALSE)),"Keep","Delete")</f>
        <v>Keep</v>
      </c>
      <c r="F2963" t="str">
        <f>IF(ISNUMBER(SEARCH("#",B2963)), LEFT(B2963,FIND("#",B2963)-1), B2963)</f>
        <v>Peyote: Water</v>
      </c>
      <c r="G2963" s="26">
        <f>IF(ISNUMBER(SEARCH("#",B2963)),VALUE(MID(B2963,FIND("#",B2963)+1,1000)),1)</f>
        <v>1</v>
      </c>
      <c r="H2963" t="str">
        <f>IF(AND(regexMatch(B2963,".*#[0-9]*$"),ISNUMBER(SEARCH("#",B2963))),CONCATENATE(TRIM(F2963)," #",G2963),B2963)</f>
        <v>Peyote: Water</v>
      </c>
    </row>
    <row r="2964" spans="1:8" ht="15.75" thickBot="1" x14ac:dyDescent="0.3">
      <c r="A2964" s="1" t="s">
        <v>5149</v>
      </c>
      <c r="B2964" s="1" t="s">
        <v>10516</v>
      </c>
      <c r="C2964" s="1"/>
      <c r="D2964" s="2" t="s">
        <v>107</v>
      </c>
      <c r="E2964" s="3" t="str">
        <f>IF(ISERROR(VLOOKUP(B2964,Failures!$A$1:$A$4000,1,FALSE)),"Keep","Delete")</f>
        <v>Keep</v>
      </c>
      <c r="F2964" t="str">
        <f>IF(ISNUMBER(SEARCH("#",B2964)), LEFT(B2964,FIND("#",B2964)-1), B2964)</f>
        <v xml:space="preserve">Pot Plant </v>
      </c>
      <c r="G2964" s="26">
        <f>1</f>
        <v>1</v>
      </c>
      <c r="H2964" t="str">
        <f>IF(AND(regexMatch(B2964,".*#[0-9]*$"),ISNUMBER(SEARCH("#",B2964))),CONCATENATE(TRIM(F2964)," #",G2964),B2964)</f>
        <v>Pot Plant #1</v>
      </c>
    </row>
    <row r="2965" spans="1:8" ht="15.75" thickBot="1" x14ac:dyDescent="0.3">
      <c r="A2965" s="1" t="s">
        <v>5148</v>
      </c>
      <c r="B2965" s="1" t="s">
        <v>10516</v>
      </c>
      <c r="C2965" s="1"/>
      <c r="D2965" s="2" t="s">
        <v>107</v>
      </c>
      <c r="E2965" s="3" t="str">
        <f>IF(ISERROR(VLOOKUP(B2965,Failures!$A$1:$A$4000,1,FALSE)),"Keep","Delete")</f>
        <v>Keep</v>
      </c>
      <c r="F2965" t="str">
        <f>IF(ISNUMBER(SEARCH("#",B2965)), LEFT(B2965,FIND("#",B2965)-1), B2965)</f>
        <v xml:space="preserve">Pot Plant </v>
      </c>
      <c r="G2965" s="26">
        <f>G2964+1</f>
        <v>2</v>
      </c>
      <c r="H2965" t="str">
        <f>IF(AND(regexMatch(B2965,".*#[0-9]*$"),ISNUMBER(SEARCH("#",B2965))),CONCATENATE(TRIM(F2965)," #",G2965),B2965)</f>
        <v>Pot Plant #2</v>
      </c>
    </row>
    <row r="2966" spans="1:8" ht="15.75" thickBot="1" x14ac:dyDescent="0.3">
      <c r="A2966" s="1" t="s">
        <v>5147</v>
      </c>
      <c r="B2966" s="1" t="s">
        <v>10516</v>
      </c>
      <c r="C2966" s="1"/>
      <c r="D2966" s="2" t="s">
        <v>107</v>
      </c>
      <c r="E2966" s="3" t="str">
        <f>IF(ISERROR(VLOOKUP(B2966,Failures!$A$1:$A$4000,1,FALSE)),"Keep","Delete")</f>
        <v>Keep</v>
      </c>
      <c r="F2966" t="str">
        <f>IF(ISNUMBER(SEARCH("#",B2966)), LEFT(B2966,FIND("#",B2966)-1), B2966)</f>
        <v xml:space="preserve">Pot Plant </v>
      </c>
      <c r="G2966" s="26">
        <f>G2965+1</f>
        <v>3</v>
      </c>
      <c r="H2966" t="str">
        <f>IF(AND(regexMatch(B2966,".*#[0-9]*$"),ISNUMBER(SEARCH("#",B2966))),CONCATENATE(TRIM(F2966)," #",G2966),B2966)</f>
        <v>Pot Plant #3</v>
      </c>
    </row>
    <row r="2967" spans="1:8" ht="15.75" thickBot="1" x14ac:dyDescent="0.3">
      <c r="A2967" s="1" t="s">
        <v>5146</v>
      </c>
      <c r="B2967" s="1" t="s">
        <v>10516</v>
      </c>
      <c r="C2967" s="1"/>
      <c r="D2967" s="2" t="s">
        <v>107</v>
      </c>
      <c r="E2967" s="3" t="str">
        <f>IF(ISERROR(VLOOKUP(B2967,Failures!$A$1:$A$4000,1,FALSE)),"Keep","Delete")</f>
        <v>Keep</v>
      </c>
      <c r="F2967" t="str">
        <f>IF(ISNUMBER(SEARCH("#",B2967)), LEFT(B2967,FIND("#",B2967)-1), B2967)</f>
        <v xml:space="preserve">Pot Plant </v>
      </c>
      <c r="G2967" s="26">
        <f>G2966+1</f>
        <v>4</v>
      </c>
      <c r="H2967" t="str">
        <f>IF(AND(regexMatch(B2967,".*#[0-9]*$"),ISNUMBER(SEARCH("#",B2967))),CONCATENATE(TRIM(F2967)," #",G2967),B2967)</f>
        <v>Pot Plant #4</v>
      </c>
    </row>
    <row r="2968" spans="1:8" ht="15.75" thickBot="1" x14ac:dyDescent="0.3">
      <c r="A2968" s="1" t="s">
        <v>5145</v>
      </c>
      <c r="B2968" s="1" t="s">
        <v>10516</v>
      </c>
      <c r="C2968" s="1"/>
      <c r="D2968" s="2" t="s">
        <v>107</v>
      </c>
      <c r="E2968" s="3" t="str">
        <f>IF(ISERROR(VLOOKUP(B2968,Failures!$A$1:$A$4000,1,FALSE)),"Keep","Delete")</f>
        <v>Keep</v>
      </c>
      <c r="F2968" t="str">
        <f>IF(ISNUMBER(SEARCH("#",B2968)), LEFT(B2968,FIND("#",B2968)-1), B2968)</f>
        <v xml:space="preserve">Pot Plant </v>
      </c>
      <c r="G2968" s="26">
        <f>G2967+1</f>
        <v>5</v>
      </c>
      <c r="H2968" t="str">
        <f>IF(AND(regexMatch(B2968,".*#[0-9]*$"),ISNUMBER(SEARCH("#",B2968))),CONCATENATE(TRIM(F2968)," #",G2968),B2968)</f>
        <v>Pot Plant #5</v>
      </c>
    </row>
    <row r="2969" spans="1:8" ht="15.75" thickBot="1" x14ac:dyDescent="0.3">
      <c r="A2969" s="1" t="s">
        <v>5144</v>
      </c>
      <c r="B2969" s="1" t="s">
        <v>10516</v>
      </c>
      <c r="C2969" s="1"/>
      <c r="D2969" s="2" t="s">
        <v>107</v>
      </c>
      <c r="E2969" s="3" t="str">
        <f>IF(ISERROR(VLOOKUP(B2969,Failures!$A$1:$A$4000,1,FALSE)),"Keep","Delete")</f>
        <v>Keep</v>
      </c>
      <c r="F2969" t="str">
        <f>IF(ISNUMBER(SEARCH("#",B2969)), LEFT(B2969,FIND("#",B2969)-1), B2969)</f>
        <v xml:space="preserve">Pot Plant </v>
      </c>
      <c r="G2969" s="26">
        <f>G2968+1</f>
        <v>6</v>
      </c>
      <c r="H2969" t="str">
        <f>IF(AND(regexMatch(B2969,".*#[0-9]*$"),ISNUMBER(SEARCH("#",B2969))),CONCATENATE(TRIM(F2969)," #",G2969),B2969)</f>
        <v>Pot Plant #6</v>
      </c>
    </row>
    <row r="2970" spans="1:8" ht="15.75" thickBot="1" x14ac:dyDescent="0.3">
      <c r="A2970" s="1" t="s">
        <v>5143</v>
      </c>
      <c r="B2970" s="1" t="s">
        <v>10516</v>
      </c>
      <c r="C2970" s="1"/>
      <c r="D2970" s="2" t="s">
        <v>107</v>
      </c>
      <c r="E2970" s="3" t="str">
        <f>IF(ISERROR(VLOOKUP(B2970,Failures!$A$1:$A$4000,1,FALSE)),"Keep","Delete")</f>
        <v>Keep</v>
      </c>
      <c r="F2970" t="str">
        <f>IF(ISNUMBER(SEARCH("#",B2970)), LEFT(B2970,FIND("#",B2970)-1), B2970)</f>
        <v xml:space="preserve">Pot Plant </v>
      </c>
      <c r="G2970" s="26">
        <f>G2969+1</f>
        <v>7</v>
      </c>
      <c r="H2970" t="str">
        <f>IF(AND(regexMatch(B2970,".*#[0-9]*$"),ISNUMBER(SEARCH("#",B2970))),CONCATENATE(TRIM(F2970)," #",G2970),B2970)</f>
        <v>Pot Plant #7</v>
      </c>
    </row>
    <row r="2971" spans="1:8" ht="15.75" thickBot="1" x14ac:dyDescent="0.3">
      <c r="A2971" s="1" t="s">
        <v>5142</v>
      </c>
      <c r="B2971" s="1" t="s">
        <v>10516</v>
      </c>
      <c r="C2971" s="1"/>
      <c r="D2971" s="2" t="s">
        <v>107</v>
      </c>
      <c r="E2971" s="3" t="str">
        <f>IF(ISERROR(VLOOKUP(B2971,Failures!$A$1:$A$4000,1,FALSE)),"Keep","Delete")</f>
        <v>Keep</v>
      </c>
      <c r="F2971" t="str">
        <f>IF(ISNUMBER(SEARCH("#",B2971)), LEFT(B2971,FIND("#",B2971)-1), B2971)</f>
        <v xml:space="preserve">Pot Plant </v>
      </c>
      <c r="G2971" s="26">
        <f>G2970+1</f>
        <v>8</v>
      </c>
      <c r="H2971" t="str">
        <f>IF(AND(regexMatch(B2971,".*#[0-9]*$"),ISNUMBER(SEARCH("#",B2971))),CONCATENATE(TRIM(F2971)," #",G2971),B2971)</f>
        <v>Pot Plant #8</v>
      </c>
    </row>
    <row r="2972" spans="1:8" ht="15.75" thickBot="1" x14ac:dyDescent="0.3">
      <c r="A2972" s="1" t="s">
        <v>5141</v>
      </c>
      <c r="B2972" s="1" t="s">
        <v>10516</v>
      </c>
      <c r="C2972" s="1"/>
      <c r="D2972" s="2" t="s">
        <v>107</v>
      </c>
      <c r="E2972" s="3" t="str">
        <f>IF(ISERROR(VLOOKUP(B2972,Failures!$A$1:$A$4000,1,FALSE)),"Keep","Delete")</f>
        <v>Keep</v>
      </c>
      <c r="F2972" t="str">
        <f>IF(ISNUMBER(SEARCH("#",B2972)), LEFT(B2972,FIND("#",B2972)-1), B2972)</f>
        <v xml:space="preserve">Pot Plant </v>
      </c>
      <c r="G2972" s="26">
        <f>G2971+1</f>
        <v>9</v>
      </c>
      <c r="H2972" t="str">
        <f>IF(AND(regexMatch(B2972,".*#[0-9]*$"),ISNUMBER(SEARCH("#",B2972))),CONCATENATE(TRIM(F2972)," #",G2972),B2972)</f>
        <v>Pot Plant #9</v>
      </c>
    </row>
    <row r="2973" spans="1:8" ht="15.75" thickBot="1" x14ac:dyDescent="0.3">
      <c r="A2973" s="1" t="s">
        <v>5140</v>
      </c>
      <c r="B2973" s="1" t="s">
        <v>10516</v>
      </c>
      <c r="C2973" s="1"/>
      <c r="D2973" s="2" t="s">
        <v>107</v>
      </c>
      <c r="E2973" s="3" t="str">
        <f>IF(ISERROR(VLOOKUP(B2973,Failures!$A$1:$A$4000,1,FALSE)),"Keep","Delete")</f>
        <v>Keep</v>
      </c>
      <c r="F2973" t="str">
        <f>IF(ISNUMBER(SEARCH("#",B2973)), LEFT(B2973,FIND("#",B2973)-1), B2973)</f>
        <v xml:space="preserve">Pot Plant </v>
      </c>
      <c r="G2973" s="26">
        <f>G2972+1</f>
        <v>10</v>
      </c>
      <c r="H2973" t="str">
        <f>IF(AND(regexMatch(B2973,".*#[0-9]*$"),ISNUMBER(SEARCH("#",B2973))),CONCATENATE(TRIM(F2973)," #",G2973),B2973)</f>
        <v>Pot Plant #10</v>
      </c>
    </row>
    <row r="2974" spans="1:8" ht="15.75" thickBot="1" x14ac:dyDescent="0.3">
      <c r="A2974" s="1" t="s">
        <v>5139</v>
      </c>
      <c r="B2974" s="1" t="s">
        <v>10516</v>
      </c>
      <c r="C2974" s="1"/>
      <c r="D2974" s="2" t="s">
        <v>107</v>
      </c>
      <c r="E2974" s="3" t="str">
        <f>IF(ISERROR(VLOOKUP(B2974,Failures!$A$1:$A$4000,1,FALSE)),"Keep","Delete")</f>
        <v>Keep</v>
      </c>
      <c r="F2974" t="str">
        <f>IF(ISNUMBER(SEARCH("#",B2974)), LEFT(B2974,FIND("#",B2974)-1), B2974)</f>
        <v xml:space="preserve">Pot Plant </v>
      </c>
      <c r="G2974" s="26">
        <f>G2973+1</f>
        <v>11</v>
      </c>
      <c r="H2974" t="str">
        <f>IF(AND(regexMatch(B2974,".*#[0-9]*$"),ISNUMBER(SEARCH("#",B2974))),CONCATENATE(TRIM(F2974)," #",G2974),B2974)</f>
        <v>Pot Plant #11</v>
      </c>
    </row>
    <row r="2975" spans="1:8" ht="15.75" thickBot="1" x14ac:dyDescent="0.3">
      <c r="A2975" s="1" t="s">
        <v>2664</v>
      </c>
      <c r="B2975" s="1" t="s">
        <v>3864</v>
      </c>
      <c r="C2975" s="2" t="s">
        <v>5</v>
      </c>
      <c r="D2975" s="2" t="s">
        <v>107</v>
      </c>
      <c r="E2975" s="3" t="str">
        <f>IF(ISERROR(VLOOKUP(B2975,Failures!$A$1:$A$4000,1,FALSE)),"Keep","Delete")</f>
        <v>Keep</v>
      </c>
      <c r="F2975" t="str">
        <f>IF(ISNUMBER(SEARCH("#",B2975)), LEFT(B2975,FIND("#",B2975)-1), B2975)</f>
        <v xml:space="preserve">Rock </v>
      </c>
      <c r="G2975" s="26">
        <f>IF(ISNUMBER(SEARCH("#",B2975)),VALUE(MID(B2975,FIND("#",B2975)+1,1000)),1)</f>
        <v>1</v>
      </c>
      <c r="H2975" t="str">
        <f>IF(AND(regexMatch(B2975,".*#[0-9]*$"),ISNUMBER(SEARCH("#",B2975))),CONCATENATE(TRIM(F2975)," #",G2975),B2975)</f>
        <v>Rock #1</v>
      </c>
    </row>
    <row r="2976" spans="1:8" ht="15.75" thickBot="1" x14ac:dyDescent="0.3">
      <c r="A2976" s="1" t="s">
        <v>2665</v>
      </c>
      <c r="B2976" s="1" t="s">
        <v>3865</v>
      </c>
      <c r="C2976" s="2" t="s">
        <v>5</v>
      </c>
      <c r="D2976" s="2" t="s">
        <v>107</v>
      </c>
      <c r="E2976" s="3" t="str">
        <f>IF(ISERROR(VLOOKUP(B2976,Failures!$A$1:$A$4000,1,FALSE)),"Keep","Delete")</f>
        <v>Keep</v>
      </c>
      <c r="F2976" t="str">
        <f>IF(ISNUMBER(SEARCH("#",B2976)), LEFT(B2976,FIND("#",B2976)-1), B2976)</f>
        <v xml:space="preserve">Rock </v>
      </c>
      <c r="G2976" s="26">
        <f>IF(ISNUMBER(SEARCH("#",B2976)),VALUE(MID(B2976,FIND("#",B2976)+1,1000)),1)</f>
        <v>2</v>
      </c>
      <c r="H2976" t="str">
        <f>IF(AND(regexMatch(B2976,".*#[0-9]*$"),ISNUMBER(SEARCH("#",B2976))),CONCATENATE(TRIM(F2976)," #",G2976),B2976)</f>
        <v>Rock #2</v>
      </c>
    </row>
    <row r="2977" spans="1:8" ht="15.75" thickBot="1" x14ac:dyDescent="0.3">
      <c r="A2977" s="7" t="s">
        <v>4233</v>
      </c>
      <c r="B2977" s="9" t="s">
        <v>4496</v>
      </c>
      <c r="C2977" s="9"/>
      <c r="D2977" s="2" t="s">
        <v>107</v>
      </c>
      <c r="E2977" s="3" t="str">
        <f>IF(ISERROR(VLOOKUP(B2977,Failures!$A$1:$A$4000,1,FALSE)),"Keep","Delete")</f>
        <v>Keep</v>
      </c>
      <c r="F2977" t="str">
        <f>IF(ISNUMBER(SEARCH("#",B2977)), LEFT(B2977,FIND("#",B2977)-1), B2977)</f>
        <v xml:space="preserve">Rock </v>
      </c>
      <c r="G2977" s="26">
        <f>IF(ISNUMBER(SEARCH("#",B2977)),VALUE(MID(B2977,FIND("#",B2977)+1,1000)),1)</f>
        <v>3</v>
      </c>
      <c r="H2977" t="str">
        <f>IF(AND(regexMatch(B2977,".*#[0-9]*$"),ISNUMBER(SEARCH("#",B2977))),CONCATENATE(TRIM(F2977)," #",G2977),B2977)</f>
        <v>Rock #3</v>
      </c>
    </row>
    <row r="2978" spans="1:8" ht="15.75" thickBot="1" x14ac:dyDescent="0.3">
      <c r="A2978" s="7" t="s">
        <v>4232</v>
      </c>
      <c r="B2978" s="9" t="s">
        <v>4497</v>
      </c>
      <c r="C2978" s="9"/>
      <c r="D2978" s="2" t="s">
        <v>107</v>
      </c>
      <c r="E2978" s="3" t="str">
        <f>IF(ISERROR(VLOOKUP(B2978,Failures!$A$1:$A$4000,1,FALSE)),"Keep","Delete")</f>
        <v>Keep</v>
      </c>
      <c r="F2978" t="str">
        <f>IF(ISNUMBER(SEARCH("#",B2978)), LEFT(B2978,FIND("#",B2978)-1), B2978)</f>
        <v xml:space="preserve">Rock </v>
      </c>
      <c r="G2978" s="26">
        <f>IF(ISNUMBER(SEARCH("#",B2978)),VALUE(MID(B2978,FIND("#",B2978)+1,1000)),1)</f>
        <v>4</v>
      </c>
      <c r="H2978" t="str">
        <f>IF(AND(regexMatch(B2978,".*#[0-9]*$"),ISNUMBER(SEARCH("#",B2978))),CONCATENATE(TRIM(F2978)," #",G2978),B2978)</f>
        <v>Rock #4</v>
      </c>
    </row>
    <row r="2979" spans="1:8" ht="15.75" thickBot="1" x14ac:dyDescent="0.3">
      <c r="A2979" s="7" t="s">
        <v>4234</v>
      </c>
      <c r="B2979" s="9" t="s">
        <v>4498</v>
      </c>
      <c r="C2979" s="9"/>
      <c r="D2979" s="2" t="s">
        <v>107</v>
      </c>
      <c r="E2979" s="3" t="str">
        <f>IF(ISERROR(VLOOKUP(B2979,Failures!$A$1:$A$4000,1,FALSE)),"Keep","Delete")</f>
        <v>Keep</v>
      </c>
      <c r="F2979" t="str">
        <f>IF(ISNUMBER(SEARCH("#",B2979)), LEFT(B2979,FIND("#",B2979)-1), B2979)</f>
        <v xml:space="preserve">Rock </v>
      </c>
      <c r="G2979" s="26">
        <f>IF(ISNUMBER(SEARCH("#",B2979)),VALUE(MID(B2979,FIND("#",B2979)+1,1000)),1)</f>
        <v>5</v>
      </c>
      <c r="H2979" t="str">
        <f>IF(AND(regexMatch(B2979,".*#[0-9]*$"),ISNUMBER(SEARCH("#",B2979))),CONCATENATE(TRIM(F2979)," #",G2979),B2979)</f>
        <v>Rock #5</v>
      </c>
    </row>
    <row r="2980" spans="1:8" ht="15.75" thickBot="1" x14ac:dyDescent="0.3">
      <c r="A2980" s="7" t="s">
        <v>4237</v>
      </c>
      <c r="B2980" s="9" t="s">
        <v>4499</v>
      </c>
      <c r="C2980" s="9"/>
      <c r="D2980" s="2" t="s">
        <v>107</v>
      </c>
      <c r="E2980" s="3" t="str">
        <f>IF(ISERROR(VLOOKUP(B2980,Failures!$A$1:$A$4000,1,FALSE)),"Keep","Delete")</f>
        <v>Keep</v>
      </c>
      <c r="F2980" t="str">
        <f>IF(ISNUMBER(SEARCH("#",B2980)), LEFT(B2980,FIND("#",B2980)-1), B2980)</f>
        <v xml:space="preserve">Rock </v>
      </c>
      <c r="G2980" s="26">
        <f>IF(ISNUMBER(SEARCH("#",B2980)),VALUE(MID(B2980,FIND("#",B2980)+1,1000)),1)</f>
        <v>6</v>
      </c>
      <c r="H2980" t="str">
        <f>IF(AND(regexMatch(B2980,".*#[0-9]*$"),ISNUMBER(SEARCH("#",B2980))),CONCATENATE(TRIM(F2980)," #",G2980),B2980)</f>
        <v>Rock #6</v>
      </c>
    </row>
    <row r="2981" spans="1:8" ht="15.75" thickBot="1" x14ac:dyDescent="0.3">
      <c r="A2981" s="1" t="s">
        <v>5170</v>
      </c>
      <c r="B2981" s="1" t="s">
        <v>10174</v>
      </c>
      <c r="C2981" s="1"/>
      <c r="D2981" s="2" t="s">
        <v>107</v>
      </c>
      <c r="E2981" s="3" t="str">
        <f>IF(ISERROR(VLOOKUP(B2981,Failures!$A$1:$A$4000,1,FALSE)),"Keep","Delete")</f>
        <v>Keep</v>
      </c>
      <c r="F2981" t="str">
        <f>IF(ISNUMBER(SEARCH("#",B2981)), LEFT(B2981,FIND("#",B2981)-1), B2981)</f>
        <v xml:space="preserve">Rock </v>
      </c>
      <c r="G2981" s="26">
        <f>G2980+1</f>
        <v>7</v>
      </c>
      <c r="H2981" t="str">
        <f>IF(AND(regexMatch(B2981,".*#[0-9]*$"),ISNUMBER(SEARCH("#",B2981))),CONCATENATE(TRIM(F2981)," #",G2981),B2981)</f>
        <v>Rock #7</v>
      </c>
    </row>
    <row r="2982" spans="1:8" ht="15.75" thickBot="1" x14ac:dyDescent="0.3">
      <c r="A2982" s="1" t="s">
        <v>5169</v>
      </c>
      <c r="B2982" s="1" t="s">
        <v>10174</v>
      </c>
      <c r="C2982" s="1"/>
      <c r="D2982" s="2" t="s">
        <v>107</v>
      </c>
      <c r="E2982" s="3" t="str">
        <f>IF(ISERROR(VLOOKUP(B2982,Failures!$A$1:$A$4000,1,FALSE)),"Keep","Delete")</f>
        <v>Keep</v>
      </c>
      <c r="F2982" t="str">
        <f>IF(ISNUMBER(SEARCH("#",B2982)), LEFT(B2982,FIND("#",B2982)-1), B2982)</f>
        <v xml:space="preserve">Rock </v>
      </c>
      <c r="G2982" s="26">
        <f>G2981+1</f>
        <v>8</v>
      </c>
      <c r="H2982" t="str">
        <f>IF(AND(regexMatch(B2982,".*#[0-9]*$"),ISNUMBER(SEARCH("#",B2982))),CONCATENATE(TRIM(F2982)," #",G2982),B2982)</f>
        <v>Rock #8</v>
      </c>
    </row>
    <row r="2983" spans="1:8" ht="15.75" thickBot="1" x14ac:dyDescent="0.3">
      <c r="A2983" s="1" t="s">
        <v>5168</v>
      </c>
      <c r="B2983" s="1" t="s">
        <v>10174</v>
      </c>
      <c r="C2983" s="1"/>
      <c r="D2983" s="2" t="s">
        <v>107</v>
      </c>
      <c r="E2983" s="3" t="str">
        <f>IF(ISERROR(VLOOKUP(B2983,Failures!$A$1:$A$4000,1,FALSE)),"Keep","Delete")</f>
        <v>Keep</v>
      </c>
      <c r="F2983" t="str">
        <f>IF(ISNUMBER(SEARCH("#",B2983)), LEFT(B2983,FIND("#",B2983)-1), B2983)</f>
        <v xml:space="preserve">Rock </v>
      </c>
      <c r="G2983" s="26">
        <f>G2982+1</f>
        <v>9</v>
      </c>
      <c r="H2983" t="str">
        <f>IF(AND(regexMatch(B2983,".*#[0-9]*$"),ISNUMBER(SEARCH("#",B2983))),CONCATENATE(TRIM(F2983)," #",G2983),B2983)</f>
        <v>Rock #9</v>
      </c>
    </row>
    <row r="2984" spans="1:8" ht="15.75" thickBot="1" x14ac:dyDescent="0.3">
      <c r="A2984" s="1" t="s">
        <v>5166</v>
      </c>
      <c r="B2984" s="1" t="s">
        <v>10174</v>
      </c>
      <c r="C2984" s="1"/>
      <c r="D2984" s="2" t="s">
        <v>107</v>
      </c>
      <c r="E2984" s="3" t="str">
        <f>IF(ISERROR(VLOOKUP(B2984,Failures!$A$1:$A$4000,1,FALSE)),"Keep","Delete")</f>
        <v>Keep</v>
      </c>
      <c r="F2984" t="str">
        <f>IF(ISNUMBER(SEARCH("#",B2984)), LEFT(B2984,FIND("#",B2984)-1), B2984)</f>
        <v xml:space="preserve">Rock </v>
      </c>
      <c r="G2984" s="26">
        <f>G2983+1</f>
        <v>10</v>
      </c>
      <c r="H2984" t="str">
        <f>IF(AND(regexMatch(B2984,".*#[0-9]*$"),ISNUMBER(SEARCH("#",B2984))),CONCATENATE(TRIM(F2984)," #",G2984),B2984)</f>
        <v>Rock #10</v>
      </c>
    </row>
    <row r="2985" spans="1:8" ht="15.75" thickBot="1" x14ac:dyDescent="0.3">
      <c r="A2985" s="1" t="s">
        <v>5160</v>
      </c>
      <c r="B2985" s="1" t="s">
        <v>10176</v>
      </c>
      <c r="C2985" s="1"/>
      <c r="D2985" s="2" t="s">
        <v>107</v>
      </c>
      <c r="E2985" s="3" t="str">
        <f>IF(ISERROR(VLOOKUP(B2985,Failures!$A$1:$A$4000,1,FALSE)),"Keep","Delete")</f>
        <v>Keep</v>
      </c>
      <c r="F2985" t="str">
        <f>IF(ISNUMBER(SEARCH("#",B2985)), LEFT(B2985,FIND("#",B2985)-1), B2985)</f>
        <v xml:space="preserve">Rock Fragment </v>
      </c>
      <c r="G2985" s="26">
        <v>1</v>
      </c>
      <c r="H2985" t="str">
        <f>IF(AND(regexMatch(B2985,".*#[0-9]*$"),ISNUMBER(SEARCH("#",B2985))),CONCATENATE(TRIM(F2985)," #",G2985),B2985)</f>
        <v>Rock Fragment #1</v>
      </c>
    </row>
    <row r="2986" spans="1:8" ht="15.75" thickBot="1" x14ac:dyDescent="0.3">
      <c r="A2986" s="1" t="s">
        <v>5159</v>
      </c>
      <c r="B2986" s="1" t="s">
        <v>10176</v>
      </c>
      <c r="C2986" s="1"/>
      <c r="D2986" s="2" t="s">
        <v>107</v>
      </c>
      <c r="E2986" s="3" t="str">
        <f>IF(ISERROR(VLOOKUP(B2986,Failures!$A$1:$A$4000,1,FALSE)),"Keep","Delete")</f>
        <v>Keep</v>
      </c>
      <c r="F2986" t="str">
        <f>IF(ISNUMBER(SEARCH("#",B2986)), LEFT(B2986,FIND("#",B2986)-1), B2986)</f>
        <v xml:space="preserve">Rock Fragment </v>
      </c>
      <c r="G2986" s="26">
        <v>2</v>
      </c>
      <c r="H2986" t="str">
        <f>IF(AND(regexMatch(B2986,".*#[0-9]*$"),ISNUMBER(SEARCH("#",B2986))),CONCATENATE(TRIM(F2986)," #",G2986),B2986)</f>
        <v>Rock Fragment #2</v>
      </c>
    </row>
    <row r="2987" spans="1:8" ht="15.75" thickBot="1" x14ac:dyDescent="0.3">
      <c r="A2987" s="1" t="s">
        <v>5158</v>
      </c>
      <c r="B2987" s="1" t="s">
        <v>10176</v>
      </c>
      <c r="C2987" s="1"/>
      <c r="D2987" s="2" t="s">
        <v>107</v>
      </c>
      <c r="E2987" s="3" t="str">
        <f>IF(ISERROR(VLOOKUP(B2987,Failures!$A$1:$A$4000,1,FALSE)),"Keep","Delete")</f>
        <v>Keep</v>
      </c>
      <c r="F2987" t="str">
        <f>IF(ISNUMBER(SEARCH("#",B2987)), LEFT(B2987,FIND("#",B2987)-1), B2987)</f>
        <v xml:space="preserve">Rock Fragment </v>
      </c>
      <c r="G2987" s="26">
        <v>3</v>
      </c>
      <c r="H2987" t="str">
        <f>IF(AND(regexMatch(B2987,".*#[0-9]*$"),ISNUMBER(SEARCH("#",B2987))),CONCATENATE(TRIM(F2987)," #",G2987),B2987)</f>
        <v>Rock Fragment #3</v>
      </c>
    </row>
    <row r="2988" spans="1:8" ht="15.75" thickBot="1" x14ac:dyDescent="0.3">
      <c r="A2988" s="1" t="s">
        <v>5167</v>
      </c>
      <c r="B2988" s="1" t="s">
        <v>10175</v>
      </c>
      <c r="C2988" s="1"/>
      <c r="D2988" s="2" t="s">
        <v>107</v>
      </c>
      <c r="E2988" s="3" t="str">
        <f>IF(ISERROR(VLOOKUP(B2988,Failures!$A$1:$A$4000,1,FALSE)),"Keep","Delete")</f>
        <v>Keep</v>
      </c>
      <c r="F2988" t="str">
        <f>IF(ISNUMBER(SEARCH("#",B2988)), LEFT(B2988,FIND("#",B2988)-1), B2988)</f>
        <v xml:space="preserve">Rock Small </v>
      </c>
      <c r="G2988" s="26">
        <v>1</v>
      </c>
      <c r="H2988" t="str">
        <f>IF(AND(regexMatch(B2988,".*#[0-9]*$"),ISNUMBER(SEARCH("#",B2988))),CONCATENATE(TRIM(F2988)," #",G2988),B2988)</f>
        <v>Rock Small #1</v>
      </c>
    </row>
    <row r="2989" spans="1:8" ht="15.75" thickBot="1" x14ac:dyDescent="0.3">
      <c r="A2989" s="1" t="s">
        <v>5165</v>
      </c>
      <c r="B2989" s="1" t="s">
        <v>10175</v>
      </c>
      <c r="C2989" s="1"/>
      <c r="D2989" s="2" t="s">
        <v>107</v>
      </c>
      <c r="E2989" s="3" t="str">
        <f>IF(ISERROR(VLOOKUP(B2989,Failures!$A$1:$A$4000,1,FALSE)),"Keep","Delete")</f>
        <v>Keep</v>
      </c>
      <c r="F2989" t="str">
        <f>IF(ISNUMBER(SEARCH("#",B2989)), LEFT(B2989,FIND("#",B2989)-1), B2989)</f>
        <v xml:space="preserve">Rock Small </v>
      </c>
      <c r="G2989" s="26">
        <v>2</v>
      </c>
      <c r="H2989" t="str">
        <f>IF(AND(regexMatch(B2989,".*#[0-9]*$"),ISNUMBER(SEARCH("#",B2989))),CONCATENATE(TRIM(F2989)," #",G2989),B2989)</f>
        <v>Rock Small #2</v>
      </c>
    </row>
    <row r="2990" spans="1:8" ht="15.75" thickBot="1" x14ac:dyDescent="0.3">
      <c r="A2990" s="1" t="s">
        <v>5164</v>
      </c>
      <c r="B2990" s="1" t="s">
        <v>10175</v>
      </c>
      <c r="C2990" s="1"/>
      <c r="D2990" s="2" t="s">
        <v>107</v>
      </c>
      <c r="E2990" s="3" t="str">
        <f>IF(ISERROR(VLOOKUP(B2990,Failures!$A$1:$A$4000,1,FALSE)),"Keep","Delete")</f>
        <v>Keep</v>
      </c>
      <c r="F2990" t="str">
        <f>IF(ISNUMBER(SEARCH("#",B2990)), LEFT(B2990,FIND("#",B2990)-1), B2990)</f>
        <v xml:space="preserve">Rock Small </v>
      </c>
      <c r="G2990" s="26">
        <v>3</v>
      </c>
      <c r="H2990" t="str">
        <f>IF(AND(regexMatch(B2990,".*#[0-9]*$"),ISNUMBER(SEARCH("#",B2990))),CONCATENATE(TRIM(F2990)," #",G2990),B2990)</f>
        <v>Rock Small #3</v>
      </c>
    </row>
    <row r="2991" spans="1:8" ht="15.75" thickBot="1" x14ac:dyDescent="0.3">
      <c r="A2991" s="1" t="s">
        <v>5163</v>
      </c>
      <c r="B2991" s="1" t="s">
        <v>10175</v>
      </c>
      <c r="C2991" s="1"/>
      <c r="D2991" s="2" t="s">
        <v>107</v>
      </c>
      <c r="E2991" s="3" t="str">
        <f>IF(ISERROR(VLOOKUP(B2991,Failures!$A$1:$A$4000,1,FALSE)),"Keep","Delete")</f>
        <v>Keep</v>
      </c>
      <c r="F2991" t="str">
        <f>IF(ISNUMBER(SEARCH("#",B2991)), LEFT(B2991,FIND("#",B2991)-1), B2991)</f>
        <v xml:space="preserve">Rock Small </v>
      </c>
      <c r="G2991" s="26">
        <v>4</v>
      </c>
      <c r="H2991" t="str">
        <f>IF(AND(regexMatch(B2991,".*#[0-9]*$"),ISNUMBER(SEARCH("#",B2991))),CONCATENATE(TRIM(F2991)," #",G2991),B2991)</f>
        <v>Rock Small #4</v>
      </c>
    </row>
    <row r="2992" spans="1:8" ht="15.75" thickBot="1" x14ac:dyDescent="0.3">
      <c r="A2992" s="1" t="s">
        <v>5162</v>
      </c>
      <c r="B2992" s="1" t="s">
        <v>10175</v>
      </c>
      <c r="C2992" s="1"/>
      <c r="D2992" s="2" t="s">
        <v>107</v>
      </c>
      <c r="E2992" s="3" t="str">
        <f>IF(ISERROR(VLOOKUP(B2992,Failures!$A$1:$A$4000,1,FALSE)),"Keep","Delete")</f>
        <v>Keep</v>
      </c>
      <c r="F2992" t="str">
        <f>IF(ISNUMBER(SEARCH("#",B2992)), LEFT(B2992,FIND("#",B2992)-1), B2992)</f>
        <v xml:space="preserve">Rock Small </v>
      </c>
      <c r="G2992" s="26">
        <v>5</v>
      </c>
      <c r="H2992" t="str">
        <f>IF(AND(regexMatch(B2992,".*#[0-9]*$"),ISNUMBER(SEARCH("#",B2992))),CONCATENATE(TRIM(F2992)," #",G2992),B2992)</f>
        <v>Rock Small #5</v>
      </c>
    </row>
    <row r="2993" spans="1:8" ht="15.75" thickBot="1" x14ac:dyDescent="0.3">
      <c r="A2993" s="1" t="s">
        <v>5161</v>
      </c>
      <c r="B2993" s="1" t="s">
        <v>10175</v>
      </c>
      <c r="C2993" s="1"/>
      <c r="D2993" s="2" t="s">
        <v>107</v>
      </c>
      <c r="E2993" s="3" t="str">
        <f>IF(ISERROR(VLOOKUP(B2993,Failures!$A$1:$A$4000,1,FALSE)),"Keep","Delete")</f>
        <v>Keep</v>
      </c>
      <c r="F2993" t="str">
        <f>IF(ISNUMBER(SEARCH("#",B2993)), LEFT(B2993,FIND("#",B2993)-1), B2993)</f>
        <v xml:space="preserve">Rock Small </v>
      </c>
      <c r="G2993" s="26">
        <v>6</v>
      </c>
      <c r="H2993" t="str">
        <f>IF(AND(regexMatch(B2993,".*#[0-9]*$"),ISNUMBER(SEARCH("#",B2993))),CONCATENATE(TRIM(F2993)," #",G2993),B2993)</f>
        <v>Rock Small #6</v>
      </c>
    </row>
    <row r="2994" spans="1:8" ht="15.75" thickBot="1" x14ac:dyDescent="0.3">
      <c r="A2994" s="1" t="s">
        <v>5428</v>
      </c>
      <c r="B2994" s="1" t="s">
        <v>10340</v>
      </c>
      <c r="C2994" s="1"/>
      <c r="D2994" s="2" t="s">
        <v>107</v>
      </c>
      <c r="E2994" s="3" t="str">
        <f>IF(ISERROR(VLOOKUP(B2994,Failures!$A$1:$A$4000,1,FALSE)),"Keep","Delete")</f>
        <v>Keep</v>
      </c>
      <c r="F2994" t="str">
        <f>IF(ISNUMBER(SEARCH("#",B2994)), LEFT(B2994,FIND("#",B2994)-1), B2994)</f>
        <v xml:space="preserve">Rocks Set </v>
      </c>
      <c r="G2994" s="26">
        <f>IF(ISNUMBER(SEARCH("#",B2994)),VALUE(MID(B2994,FIND("#",B2994)+1,1000)),1)</f>
        <v>1</v>
      </c>
      <c r="H2994" t="str">
        <f>IF(AND(regexMatch(B2994,".*#[0-9]*$"),ISNUMBER(SEARCH("#",B2994))),CONCATENATE(TRIM(F2994)," #",G2994),B2994)</f>
        <v>Rocks Set #1</v>
      </c>
    </row>
    <row r="2995" spans="1:8" ht="15.75" thickBot="1" x14ac:dyDescent="0.3">
      <c r="A2995" s="1" t="s">
        <v>5427</v>
      </c>
      <c r="B2995" s="1" t="s">
        <v>10341</v>
      </c>
      <c r="C2995" s="1"/>
      <c r="D2995" s="2" t="s">
        <v>107</v>
      </c>
      <c r="E2995" s="3" t="str">
        <f>IF(ISERROR(VLOOKUP(B2995,Failures!$A$1:$A$4000,1,FALSE)),"Keep","Delete")</f>
        <v>Keep</v>
      </c>
      <c r="F2995" t="str">
        <f>IF(ISNUMBER(SEARCH("#",B2995)), LEFT(B2995,FIND("#",B2995)-1), B2995)</f>
        <v xml:space="preserve">Rocks Set </v>
      </c>
      <c r="G2995" s="26">
        <f>IF(ISNUMBER(SEARCH("#",B2995)),VALUE(MID(B2995,FIND("#",B2995)+1,1000)),1)</f>
        <v>2</v>
      </c>
      <c r="H2995" t="str">
        <f>IF(AND(regexMatch(B2995,".*#[0-9]*$"),ISNUMBER(SEARCH("#",B2995))),CONCATENATE(TRIM(F2995)," #",G2995),B2995)</f>
        <v>Rocks Set #2</v>
      </c>
    </row>
    <row r="2996" spans="1:8" ht="15.75" thickBot="1" x14ac:dyDescent="0.3">
      <c r="A2996" s="1" t="s">
        <v>5426</v>
      </c>
      <c r="B2996" s="1" t="s">
        <v>10342</v>
      </c>
      <c r="C2996" s="1"/>
      <c r="D2996" s="2" t="s">
        <v>107</v>
      </c>
      <c r="E2996" s="3" t="str">
        <f>IF(ISERROR(VLOOKUP(B2996,Failures!$A$1:$A$4000,1,FALSE)),"Keep","Delete")</f>
        <v>Keep</v>
      </c>
      <c r="F2996" t="str">
        <f>IF(ISNUMBER(SEARCH("#",B2996)), LEFT(B2996,FIND("#",B2996)-1), B2996)</f>
        <v xml:space="preserve">Rocks Set </v>
      </c>
      <c r="G2996" s="26">
        <f>IF(ISNUMBER(SEARCH("#",B2996)),VALUE(MID(B2996,FIND("#",B2996)+1,1000)),1)</f>
        <v>3</v>
      </c>
      <c r="H2996" t="str">
        <f>IF(AND(regexMatch(B2996,".*#[0-9]*$"),ISNUMBER(SEARCH("#",B2996))),CONCATENATE(TRIM(F2996)," #",G2996),B2996)</f>
        <v>Rocks Set #3</v>
      </c>
    </row>
    <row r="2997" spans="1:8" ht="15.75" thickBot="1" x14ac:dyDescent="0.3">
      <c r="A2997" s="1" t="s">
        <v>5425</v>
      </c>
      <c r="B2997" s="1" t="s">
        <v>10343</v>
      </c>
      <c r="C2997" s="1"/>
      <c r="D2997" s="2" t="s">
        <v>107</v>
      </c>
      <c r="E2997" s="3" t="str">
        <f>IF(ISERROR(VLOOKUP(B2997,Failures!$A$1:$A$4000,1,FALSE)),"Keep","Delete")</f>
        <v>Keep</v>
      </c>
      <c r="F2997" t="str">
        <f>IF(ISNUMBER(SEARCH("#",B2997)), LEFT(B2997,FIND("#",B2997)-1), B2997)</f>
        <v xml:space="preserve">Rocks Set </v>
      </c>
      <c r="G2997" s="26">
        <f>IF(ISNUMBER(SEARCH("#",B2997)),VALUE(MID(B2997,FIND("#",B2997)+1,1000)),1)</f>
        <v>4</v>
      </c>
      <c r="H2997" t="str">
        <f>IF(AND(regexMatch(B2997,".*#[0-9]*$"),ISNUMBER(SEARCH("#",B2997))),CONCATENATE(TRIM(F2997)," #",G2997),B2997)</f>
        <v>Rocks Set #4</v>
      </c>
    </row>
    <row r="2998" spans="1:8" ht="15.75" thickBot="1" x14ac:dyDescent="0.3">
      <c r="A2998" s="27" t="s">
        <v>7393</v>
      </c>
      <c r="B2998" s="22" t="s">
        <v>10622</v>
      </c>
      <c r="C2998" s="1"/>
      <c r="D2998" s="2" t="s">
        <v>107</v>
      </c>
      <c r="E2998" s="3" t="str">
        <f>IF(ISERROR(VLOOKUP(B2998,Failures!$A$1:$A$4000,1,FALSE)),"Keep","Delete")</f>
        <v>Keep</v>
      </c>
      <c r="F2998" t="str">
        <f>IF(ISNUMBER(SEARCH("#",B2998)), LEFT(B2998,FIND("#",B2998)-1), B2998)</f>
        <v>Shoal Of Fish</v>
      </c>
      <c r="G2998" s="26">
        <f>IF(ISNUMBER(SEARCH("#",B2998)),VALUE(MID(B2998,FIND("#",B2998)+1,1000)),1)</f>
        <v>1</v>
      </c>
      <c r="H2998" t="str">
        <f>IF(AND(regexMatch(B2998,".*#[0-9]*$"),ISNUMBER(SEARCH("#",B2998))),CONCATENATE(TRIM(F2998)," #",G2998),B2998)</f>
        <v>Shoal Of Fish</v>
      </c>
    </row>
    <row r="2999" spans="1:8" ht="15.75" thickBot="1" x14ac:dyDescent="0.3">
      <c r="A2999" s="1" t="s">
        <v>2835</v>
      </c>
      <c r="B2999" s="1" t="s">
        <v>2836</v>
      </c>
      <c r="C2999" s="2" t="s">
        <v>5</v>
      </c>
      <c r="D2999" s="2" t="s">
        <v>107</v>
      </c>
      <c r="E2999" s="3" t="str">
        <f>IF(ISERROR(VLOOKUP(B2999,Failures!$A$1:$A$4000,1,FALSE)),"Keep","Delete")</f>
        <v>Keep</v>
      </c>
      <c r="F2999" t="str">
        <f>IF(ISNUMBER(SEARCH("#",B2999)), LEFT(B2999,FIND("#",B2999)-1), B2999)</f>
        <v>Single Rose</v>
      </c>
      <c r="G2999" s="26">
        <f>IF(ISNUMBER(SEARCH("#",B2999)),VALUE(MID(B2999,FIND("#",B2999)+1,1000)),1)</f>
        <v>1</v>
      </c>
      <c r="H2999" t="str">
        <f>IF(AND(regexMatch(B2999,".*#[0-9]*$"),ISNUMBER(SEARCH("#",B2999))),CONCATENATE(TRIM(F2999)," #",G2999),B2999)</f>
        <v>Single Rose</v>
      </c>
    </row>
    <row r="3000" spans="1:8" ht="15.75" thickBot="1" x14ac:dyDescent="0.3">
      <c r="A3000" s="1" t="s">
        <v>2896</v>
      </c>
      <c r="B3000" s="1" t="s">
        <v>2897</v>
      </c>
      <c r="C3000" s="4" t="s">
        <v>5</v>
      </c>
      <c r="D3000" s="2" t="s">
        <v>107</v>
      </c>
      <c r="E3000" s="3" t="str">
        <f>IF(ISERROR(VLOOKUP(B3000,Failures!$A$1:$A$4000,1,FALSE)),"Keep","Delete")</f>
        <v>Keep</v>
      </c>
      <c r="F3000" t="str">
        <f>IF(ISNUMBER(SEARCH("#",B3000)), LEFT(B3000,FIND("#",B3000)-1), B3000)</f>
        <v xml:space="preserve">Snow Flower </v>
      </c>
      <c r="G3000" s="26">
        <f>IF(ISNUMBER(SEARCH("#",B3000)),VALUE(MID(B3000,FIND("#",B3000)+1,1000)),1)</f>
        <v>1</v>
      </c>
      <c r="H3000" t="str">
        <f>IF(AND(regexMatch(B3000,".*#[0-9]*$"),ISNUMBER(SEARCH("#",B3000))),CONCATENATE(TRIM(F3000)," #",G3000),B3000)</f>
        <v>Snow Flower #1</v>
      </c>
    </row>
    <row r="3001" spans="1:8" ht="15.75" thickBot="1" x14ac:dyDescent="0.3">
      <c r="A3001" s="1" t="s">
        <v>2898</v>
      </c>
      <c r="B3001" s="1" t="s">
        <v>2899</v>
      </c>
      <c r="C3001" s="4" t="s">
        <v>5</v>
      </c>
      <c r="D3001" s="2" t="s">
        <v>107</v>
      </c>
      <c r="E3001" s="3" t="str">
        <f>IF(ISERROR(VLOOKUP(B3001,Failures!$A$1:$A$4000,1,FALSE)),"Keep","Delete")</f>
        <v>Keep</v>
      </c>
      <c r="F3001" t="str">
        <f>IF(ISNUMBER(SEARCH("#",B3001)), LEFT(B3001,FIND("#",B3001)-1), B3001)</f>
        <v xml:space="preserve">Snow Flower </v>
      </c>
      <c r="G3001" s="26">
        <f>IF(ISNUMBER(SEARCH("#",B3001)),VALUE(MID(B3001,FIND("#",B3001)+1,1000)),1)</f>
        <v>2</v>
      </c>
      <c r="H3001" t="str">
        <f>IF(AND(regexMatch(B3001,".*#[0-9]*$"),ISNUMBER(SEARCH("#",B3001))),CONCATENATE(TRIM(F3001)," #",G3001),B3001)</f>
        <v>Snow Flower #2</v>
      </c>
    </row>
    <row r="3002" spans="1:8" ht="15.75" thickBot="1" x14ac:dyDescent="0.3">
      <c r="A3002" s="1" t="s">
        <v>856</v>
      </c>
      <c r="B3002" s="1" t="s">
        <v>10368</v>
      </c>
      <c r="C3002" s="2" t="s">
        <v>5</v>
      </c>
      <c r="D3002" s="2" t="s">
        <v>182</v>
      </c>
      <c r="E3002" s="3" t="str">
        <f>IF(ISERROR(VLOOKUP(B3002,Failures!$A$1:$A$4000,1,FALSE)),"Keep","Delete")</f>
        <v>Keep</v>
      </c>
      <c r="F3002" t="str">
        <f>IF(ISNUMBER(SEARCH("#",B3002)), LEFT(B3002,FIND("#",B3002)-1), B3002)</f>
        <v xml:space="preserve">Binder </v>
      </c>
      <c r="G3002" s="26">
        <v>1</v>
      </c>
      <c r="H3002" t="str">
        <f>IF(AND(regexMatch(B3002,".*#[0-9]*$"),ISNUMBER(SEARCH("#",B3002))),CONCATENATE(TRIM(F3002)," #",G3002),B3002)</f>
        <v>Binder #1</v>
      </c>
    </row>
    <row r="3003" spans="1:8" ht="15.75" thickBot="1" x14ac:dyDescent="0.3">
      <c r="A3003" s="27" t="s">
        <v>7229</v>
      </c>
      <c r="B3003" s="22" t="s">
        <v>10368</v>
      </c>
      <c r="C3003" s="1"/>
      <c r="D3003" s="2" t="s">
        <v>182</v>
      </c>
      <c r="E3003" s="3" t="str">
        <f>IF(ISERROR(VLOOKUP(B3003,Failures!$A$1:$A$4000,1,FALSE)),"Keep","Delete")</f>
        <v>Keep</v>
      </c>
      <c r="F3003" t="str">
        <f>IF(ISNUMBER(SEARCH("#",B3003)), LEFT(B3003,FIND("#",B3003)-1), B3003)</f>
        <v xml:space="preserve">Binder </v>
      </c>
      <c r="G3003" s="26">
        <v>2</v>
      </c>
      <c r="H3003" t="str">
        <f>IF(AND(regexMatch(B3003,".*#[0-9]*$"),ISNUMBER(SEARCH("#",B3003))),CONCATENATE(TRIM(F3003)," #",G3003),B3003)</f>
        <v>Binder #2</v>
      </c>
    </row>
    <row r="3004" spans="1:8" ht="15.75" thickBot="1" x14ac:dyDescent="0.3">
      <c r="A3004" s="1" t="s">
        <v>5341</v>
      </c>
      <c r="B3004" s="1" t="s">
        <v>10368</v>
      </c>
      <c r="C3004" s="1"/>
      <c r="D3004" s="2" t="s">
        <v>182</v>
      </c>
      <c r="E3004" s="3" t="str">
        <f>IF(ISERROR(VLOOKUP(B3004,Failures!$A$1:$A$4000,1,FALSE)),"Keep","Delete")</f>
        <v>Keep</v>
      </c>
      <c r="F3004" t="str">
        <f>IF(ISNUMBER(SEARCH("#",B3004)), LEFT(B3004,FIND("#",B3004)-1), B3004)</f>
        <v xml:space="preserve">Binder </v>
      </c>
      <c r="G3004" s="26">
        <v>3</v>
      </c>
      <c r="H3004" t="str">
        <f>IF(AND(regexMatch(B3004,".*#[0-9]*$"),ISNUMBER(SEARCH("#",B3004))),CONCATENATE(TRIM(F3004)," #",G3004),B3004)</f>
        <v>Binder #3</v>
      </c>
    </row>
    <row r="3005" spans="1:8" ht="15.75" thickBot="1" x14ac:dyDescent="0.3">
      <c r="A3005" s="27" t="s">
        <v>7228</v>
      </c>
      <c r="B3005" s="22" t="s">
        <v>10368</v>
      </c>
      <c r="C3005" s="1"/>
      <c r="D3005" s="2" t="s">
        <v>182</v>
      </c>
      <c r="E3005" s="3" t="str">
        <f>IF(ISERROR(VLOOKUP(B3005,Failures!$A$1:$A$4000,1,FALSE)),"Keep","Delete")</f>
        <v>Keep</v>
      </c>
      <c r="F3005" t="str">
        <f>IF(ISNUMBER(SEARCH("#",B3005)), LEFT(B3005,FIND("#",B3005)-1), B3005)</f>
        <v xml:space="preserve">Binder </v>
      </c>
      <c r="G3005" s="26">
        <v>4</v>
      </c>
      <c r="H3005" t="str">
        <f>IF(AND(regexMatch(B3005,".*#[0-9]*$"),ISNUMBER(SEARCH("#",B3005))),CONCATENATE(TRIM(F3005)," #",G3005),B3005)</f>
        <v>Binder #4</v>
      </c>
    </row>
    <row r="3006" spans="1:8" ht="15.75" thickBot="1" x14ac:dyDescent="0.3">
      <c r="A3006" s="1" t="s">
        <v>2219</v>
      </c>
      <c r="B3006" s="1" t="s">
        <v>2220</v>
      </c>
      <c r="C3006" s="2" t="s">
        <v>5</v>
      </c>
      <c r="D3006" s="2" t="s">
        <v>182</v>
      </c>
      <c r="E3006" s="3" t="str">
        <f>IF(ISERROR(VLOOKUP(B3006,Failures!$A$1:$A$4000,1,FALSE)),"Keep","Delete")</f>
        <v>Keep</v>
      </c>
      <c r="F3006" t="str">
        <f>IF(ISNUMBER(SEARCH("#",B3006)), LEFT(B3006,FIND("#",B3006)-1), B3006)</f>
        <v xml:space="preserve">Blackboard </v>
      </c>
      <c r="G3006" s="26">
        <f>IF(ISNUMBER(SEARCH("#",B3006)),VALUE(MID(B3006,FIND("#",B3006)+1,1000)),1)</f>
        <v>1</v>
      </c>
      <c r="H3006" t="str">
        <f>IF(AND(regexMatch(B3006,".*#[0-9]*$"),ISNUMBER(SEARCH("#",B3006))),CONCATENATE(TRIM(F3006)," #",G3006),B3006)</f>
        <v>Blackboard #1</v>
      </c>
    </row>
    <row r="3007" spans="1:8" ht="15.75" thickBot="1" x14ac:dyDescent="0.3">
      <c r="A3007" s="1" t="s">
        <v>2221</v>
      </c>
      <c r="B3007" s="1" t="s">
        <v>2222</v>
      </c>
      <c r="C3007" s="2" t="s">
        <v>5</v>
      </c>
      <c r="D3007" s="2" t="s">
        <v>182</v>
      </c>
      <c r="E3007" s="3" t="str">
        <f>IF(ISERROR(VLOOKUP(B3007,Failures!$A$1:$A$4000,1,FALSE)),"Keep","Delete")</f>
        <v>Keep</v>
      </c>
      <c r="F3007" t="str">
        <f>IF(ISNUMBER(SEARCH("#",B3007)), LEFT(B3007,FIND("#",B3007)-1), B3007)</f>
        <v xml:space="preserve">Blackboard </v>
      </c>
      <c r="G3007" s="26">
        <f>IF(ISNUMBER(SEARCH("#",B3007)),VALUE(MID(B3007,FIND("#",B3007)+1,1000)),1)</f>
        <v>2</v>
      </c>
      <c r="H3007" t="str">
        <f>IF(AND(regexMatch(B3007,".*#[0-9]*$"),ISNUMBER(SEARCH("#",B3007))),CONCATENATE(TRIM(F3007)," #",G3007),B3007)</f>
        <v>Blackboard #2</v>
      </c>
    </row>
    <row r="3008" spans="1:8" ht="15.75" thickBot="1" x14ac:dyDescent="0.3">
      <c r="A3008" s="1" t="s">
        <v>180</v>
      </c>
      <c r="B3008" s="1" t="s">
        <v>181</v>
      </c>
      <c r="C3008" s="2" t="s">
        <v>5</v>
      </c>
      <c r="D3008" s="2" t="s">
        <v>182</v>
      </c>
      <c r="E3008" s="3" t="str">
        <f>IF(ISERROR(VLOOKUP(B3008,Failures!$A$1:$A$4000,1,FALSE)),"Keep","Delete")</f>
        <v>Keep</v>
      </c>
      <c r="F3008" t="str">
        <f>IF(ISNUMBER(SEARCH("#",B3008)), LEFT(B3008,FIND("#",B3008)-1), B3008)</f>
        <v>Blackboard (Blank)</v>
      </c>
      <c r="G3008" s="26">
        <f>IF(ISNUMBER(SEARCH("#",B3008)),VALUE(MID(B3008,FIND("#",B3008)+1,1000)),1)</f>
        <v>1</v>
      </c>
      <c r="H3008" t="str">
        <f>IF(AND(regexMatch(B3008,".*#[0-9]*$"),ISNUMBER(SEARCH("#",B3008))),CONCATENATE(TRIM(F3008)," #",G3008),B3008)</f>
        <v>Blackboard (Blank)</v>
      </c>
    </row>
    <row r="3009" spans="1:8" ht="15.75" thickBot="1" x14ac:dyDescent="0.3">
      <c r="A3009" s="1" t="s">
        <v>499</v>
      </c>
      <c r="B3009" s="1" t="s">
        <v>500</v>
      </c>
      <c r="C3009" s="2" t="s">
        <v>5</v>
      </c>
      <c r="D3009" s="2" t="s">
        <v>182</v>
      </c>
      <c r="E3009" s="3" t="str">
        <f>IF(ISERROR(VLOOKUP(B3009,Failures!$A$1:$A$4000,1,FALSE)),"Keep","Delete")</f>
        <v>Keep</v>
      </c>
      <c r="F3009" t="str">
        <f>IF(ISNUMBER(SEARCH("#",B3009)), LEFT(B3009,FIND("#",B3009)-1), B3009)</f>
        <v>Broken Clipboard P1</v>
      </c>
      <c r="G3009" s="26">
        <f>IF(ISNUMBER(SEARCH("#",B3009)),VALUE(MID(B3009,FIND("#",B3009)+1,1000)),1)</f>
        <v>1</v>
      </c>
      <c r="H3009" t="str">
        <f>IF(AND(regexMatch(B3009,".*#[0-9]*$"),ISNUMBER(SEARCH("#",B3009))),CONCATENATE(TRIM(F3009)," #",G3009),B3009)</f>
        <v>Broken Clipboard P1</v>
      </c>
    </row>
    <row r="3010" spans="1:8" ht="15.75" thickBot="1" x14ac:dyDescent="0.3">
      <c r="A3010" s="1" t="s">
        <v>501</v>
      </c>
      <c r="B3010" s="1" t="s">
        <v>502</v>
      </c>
      <c r="C3010" s="2" t="s">
        <v>5</v>
      </c>
      <c r="D3010" s="2" t="s">
        <v>182</v>
      </c>
      <c r="E3010" s="3" t="str">
        <f>IF(ISERROR(VLOOKUP(B3010,Failures!$A$1:$A$4000,1,FALSE)),"Keep","Delete")</f>
        <v>Keep</v>
      </c>
      <c r="F3010" t="str">
        <f>IF(ISNUMBER(SEARCH("#",B3010)), LEFT(B3010,FIND("#",B3010)-1), B3010)</f>
        <v>Broken Clipboard P2</v>
      </c>
      <c r="G3010" s="26">
        <f>IF(ISNUMBER(SEARCH("#",B3010)),VALUE(MID(B3010,FIND("#",B3010)+1,1000)),1)</f>
        <v>1</v>
      </c>
      <c r="H3010" t="str">
        <f>IF(AND(regexMatch(B3010,".*#[0-9]*$"),ISNUMBER(SEARCH("#",B3010))),CONCATENATE(TRIM(F3010)," #",G3010),B3010)</f>
        <v>Broken Clipboard P2</v>
      </c>
    </row>
    <row r="3011" spans="1:8" ht="15.75" thickBot="1" x14ac:dyDescent="0.3">
      <c r="A3011" s="1" t="s">
        <v>550</v>
      </c>
      <c r="B3011" s="1" t="s">
        <v>551</v>
      </c>
      <c r="C3011" s="2" t="s">
        <v>5</v>
      </c>
      <c r="D3011" s="2" t="s">
        <v>182</v>
      </c>
      <c r="E3011" s="3" t="str">
        <f>IF(ISERROR(VLOOKUP(B3011,Failures!$A$1:$A$4000,1,FALSE)),"Keep","Delete")</f>
        <v>Keep</v>
      </c>
      <c r="F3011" t="str">
        <f>IF(ISNUMBER(SEARCH("#",B3011)), LEFT(B3011,FIND("#",B3011)-1), B3011)</f>
        <v xml:space="preserve">Cabinet </v>
      </c>
      <c r="G3011" s="26">
        <f>IF(ISNUMBER(SEARCH("#",B3011)),VALUE(MID(B3011,FIND("#",B3011)+1,1000)),1)</f>
        <v>1</v>
      </c>
      <c r="H3011" t="str">
        <f>IF(AND(regexMatch(B3011,".*#[0-9]*$"),ISNUMBER(SEARCH("#",B3011))),CONCATENATE(TRIM(F3011)," #",G3011),B3011)</f>
        <v>Cabinet #1</v>
      </c>
    </row>
    <row r="3012" spans="1:8" ht="15.75" thickBot="1" x14ac:dyDescent="0.3">
      <c r="A3012" s="1" t="s">
        <v>552</v>
      </c>
      <c r="B3012" s="1" t="s">
        <v>3544</v>
      </c>
      <c r="C3012" s="2" t="s">
        <v>5</v>
      </c>
      <c r="D3012" s="2" t="s">
        <v>182</v>
      </c>
      <c r="E3012" s="3" t="str">
        <f>IF(ISERROR(VLOOKUP(B3012,Failures!$A$1:$A$4000,1,FALSE)),"Keep","Delete")</f>
        <v>Keep</v>
      </c>
      <c r="F3012" t="str">
        <f>IF(ISNUMBER(SEARCH("#",B3012)), LEFT(B3012,FIND("#",B3012)-1), B3012)</f>
        <v xml:space="preserve">Cabinet </v>
      </c>
      <c r="G3012" s="26">
        <f>IF(ISNUMBER(SEARCH("#",B3012)),VALUE(MID(B3012,FIND("#",B3012)+1,1000)),1)</f>
        <v>2</v>
      </c>
      <c r="H3012" t="str">
        <f>IF(AND(regexMatch(B3012,".*#[0-9]*$"),ISNUMBER(SEARCH("#",B3012))),CONCATENATE(TRIM(F3012)," #",G3012),B3012)</f>
        <v>Cabinet #2</v>
      </c>
    </row>
    <row r="3013" spans="1:8" ht="15.75" thickBot="1" x14ac:dyDescent="0.3">
      <c r="A3013" s="1" t="s">
        <v>553</v>
      </c>
      <c r="B3013" s="1" t="s">
        <v>3545</v>
      </c>
      <c r="C3013" s="2" t="s">
        <v>5</v>
      </c>
      <c r="D3013" s="2" t="s">
        <v>182</v>
      </c>
      <c r="E3013" s="3" t="str">
        <f>IF(ISERROR(VLOOKUP(B3013,Failures!$A$1:$A$4000,1,FALSE)),"Keep","Delete")</f>
        <v>Keep</v>
      </c>
      <c r="F3013" t="str">
        <f>IF(ISNUMBER(SEARCH("#",B3013)), LEFT(B3013,FIND("#",B3013)-1), B3013)</f>
        <v xml:space="preserve">Cabinet </v>
      </c>
      <c r="G3013" s="26">
        <f>IF(ISNUMBER(SEARCH("#",B3013)),VALUE(MID(B3013,FIND("#",B3013)+1,1000)),1)</f>
        <v>3</v>
      </c>
      <c r="H3013" t="str">
        <f>IF(AND(regexMatch(B3013,".*#[0-9]*$"),ISNUMBER(SEARCH("#",B3013))),CONCATENATE(TRIM(F3013)," #",G3013),B3013)</f>
        <v>Cabinet #3</v>
      </c>
    </row>
    <row r="3014" spans="1:8" ht="15.75" thickBot="1" x14ac:dyDescent="0.3">
      <c r="A3014" s="1" t="s">
        <v>5417</v>
      </c>
      <c r="B3014" s="1" t="s">
        <v>9842</v>
      </c>
      <c r="C3014" s="1"/>
      <c r="D3014" s="2" t="s">
        <v>182</v>
      </c>
      <c r="E3014" s="3" t="str">
        <f>IF(ISERROR(VLOOKUP(B3014,Failures!$A$1:$A$4000,1,FALSE)),"Keep","Delete")</f>
        <v>Keep</v>
      </c>
      <c r="F3014" t="str">
        <f>IF(ISNUMBER(SEARCH("#",B3014)), LEFT(B3014,FIND("#",B3014)-1), B3014)</f>
        <v>Cash Depot Billboard</v>
      </c>
      <c r="G3014" s="26">
        <f>IF(ISNUMBER(SEARCH("#",B3014)),VALUE(MID(B3014,FIND("#",B3014)+1,1000)),1)</f>
        <v>1</v>
      </c>
      <c r="H3014" t="str">
        <f>IF(AND(regexMatch(B3014,".*#[0-9]*$"),ISNUMBER(SEARCH("#",B3014))),CONCATENATE(TRIM(F3014)," #",G3014),B3014)</f>
        <v>Cash Depot Billboard</v>
      </c>
    </row>
    <row r="3015" spans="1:8" ht="15.75" thickBot="1" x14ac:dyDescent="0.3">
      <c r="A3015" s="27" t="s">
        <v>7236</v>
      </c>
      <c r="B3015" s="22" t="s">
        <v>10679</v>
      </c>
      <c r="C3015" s="1"/>
      <c r="D3015" s="2" t="s">
        <v>182</v>
      </c>
      <c r="E3015" s="3" t="str">
        <f>IF(ISERROR(VLOOKUP(B3015,Failures!$A$1:$A$4000,1,FALSE)),"Keep","Delete")</f>
        <v>Keep</v>
      </c>
      <c r="F3015" t="str">
        <f>IF(ISNUMBER(SEARCH("#",B3015)), LEFT(B3015,FIND("#",B3015)-1), B3015)</f>
        <v>CD Case</v>
      </c>
      <c r="G3015" s="26">
        <f>IF(ISNUMBER(SEARCH("#",B3015)),VALUE(MID(B3015,FIND("#",B3015)+1,1000)),1)</f>
        <v>1</v>
      </c>
      <c r="H3015" t="str">
        <f>IF(AND(regexMatch(B3015,".*#[0-9]*$"),ISNUMBER(SEARCH("#",B3015))),CONCATENATE(TRIM(F3015)," #",G3015),B3015)</f>
        <v>CD Case</v>
      </c>
    </row>
    <row r="3016" spans="1:8" ht="15.75" thickBot="1" x14ac:dyDescent="0.3">
      <c r="A3016" s="27" t="s">
        <v>7235</v>
      </c>
      <c r="B3016" s="22" t="s">
        <v>10680</v>
      </c>
      <c r="C3016" s="1"/>
      <c r="D3016" s="2" t="s">
        <v>182</v>
      </c>
      <c r="E3016" s="3" t="str">
        <f>IF(ISERROR(VLOOKUP(B3016,Failures!$A$1:$A$4000,1,FALSE)),"Keep","Delete")</f>
        <v>Keep</v>
      </c>
      <c r="F3016" t="str">
        <f>IF(ISNUMBER(SEARCH("#",B3016)), LEFT(B3016,FIND("#",B3016)-1), B3016)</f>
        <v>CD Storage</v>
      </c>
      <c r="G3016" s="26">
        <f>IF(ISNUMBER(SEARCH("#",B3016)),VALUE(MID(B3016,FIND("#",B3016)+1,1000)),1)</f>
        <v>1</v>
      </c>
      <c r="H3016" t="str">
        <f>IF(AND(regexMatch(B3016,".*#[0-9]*$"),ISNUMBER(SEARCH("#",B3016))),CONCATENATE(TRIM(F3016)," #",G3016),B3016)</f>
        <v>CD Storage</v>
      </c>
    </row>
    <row r="3017" spans="1:8" ht="15.75" thickBot="1" x14ac:dyDescent="0.3">
      <c r="A3017" s="27" t="s">
        <v>7355</v>
      </c>
      <c r="B3017" s="22" t="s">
        <v>10725</v>
      </c>
      <c r="C3017" s="1"/>
      <c r="D3017" s="2" t="s">
        <v>182</v>
      </c>
      <c r="E3017" s="3" t="str">
        <f>IF(ISERROR(VLOOKUP(B3017,Failures!$A$1:$A$4000,1,FALSE)),"Keep","Delete")</f>
        <v>Keep</v>
      </c>
      <c r="F3017" t="str">
        <f>IF(ISNUMBER(SEARCH("#",B3017)), LEFT(B3017,FIND("#",B3017)-1), B3017)</f>
        <v>Clipboard</v>
      </c>
      <c r="G3017" s="26">
        <f>IF(ISNUMBER(SEARCH("#",B3017)),VALUE(MID(B3017,FIND("#",B3017)+1,1000)),1)</f>
        <v>1</v>
      </c>
      <c r="H3017" t="str">
        <f>IF(AND(regexMatch(B3017,".*#[0-9]*$"),ISNUMBER(SEARCH("#",B3017))),CONCATENATE(TRIM(F3017)," #",G3017),B3017)</f>
        <v>Clipboard</v>
      </c>
    </row>
    <row r="3018" spans="1:8" ht="15.75" thickBot="1" x14ac:dyDescent="0.3">
      <c r="A3018" s="1" t="s">
        <v>796</v>
      </c>
      <c r="B3018" s="1" t="s">
        <v>797</v>
      </c>
      <c r="C3018" s="4" t="s">
        <v>5</v>
      </c>
      <c r="D3018" s="2" t="s">
        <v>182</v>
      </c>
      <c r="E3018" s="3" t="str">
        <f>IF(ISERROR(VLOOKUP(B3018,Failures!$A$1:$A$4000,1,FALSE)),"Keep","Delete")</f>
        <v>Keep</v>
      </c>
      <c r="F3018" t="str">
        <f>IF(ISNUMBER(SEARCH("#",B3018)), LEFT(B3018,FIND("#",B3018)-1), B3018)</f>
        <v>Cork Board</v>
      </c>
      <c r="G3018" s="26">
        <f>IF(ISNUMBER(SEARCH("#",B3018)),VALUE(MID(B3018,FIND("#",B3018)+1,1000)),1)</f>
        <v>1</v>
      </c>
      <c r="H3018" t="str">
        <f>IF(AND(regexMatch(B3018,".*#[0-9]*$"),ISNUMBER(SEARCH("#",B3018))),CONCATENATE(TRIM(F3018)," #",G3018),B3018)</f>
        <v>Cork Board</v>
      </c>
    </row>
    <row r="3019" spans="1:8" ht="15.75" thickBot="1" x14ac:dyDescent="0.3">
      <c r="A3019" s="1" t="s">
        <v>1190</v>
      </c>
      <c r="B3019" s="1" t="s">
        <v>1191</v>
      </c>
      <c r="C3019" s="2" t="s">
        <v>5</v>
      </c>
      <c r="D3019" s="2" t="s">
        <v>182</v>
      </c>
      <c r="E3019" s="3" t="str">
        <f>IF(ISERROR(VLOOKUP(B3019,Failures!$A$1:$A$4000,1,FALSE)),"Keep","Delete")</f>
        <v>Keep</v>
      </c>
      <c r="F3019" t="str">
        <f>IF(ISNUMBER(SEARCH("#",B3019)), LEFT(B3019,FIND("#",B3019)-1), B3019)</f>
        <v>Cupboard (Lifeblurb)</v>
      </c>
      <c r="G3019" s="26">
        <f>IF(ISNUMBER(SEARCH("#",B3019)),VALUE(MID(B3019,FIND("#",B3019)+1,1000)),1)</f>
        <v>1</v>
      </c>
      <c r="H3019" t="str">
        <f>IF(AND(regexMatch(B3019,".*#[0-9]*$"),ISNUMBER(SEARCH("#",B3019))),CONCATENATE(TRIM(F3019)," #",G3019),B3019)</f>
        <v>Cupboard (Lifeblurb)</v>
      </c>
    </row>
    <row r="3020" spans="1:8" ht="15.75" thickBot="1" x14ac:dyDescent="0.3">
      <c r="A3020" s="1" t="s">
        <v>1188</v>
      </c>
      <c r="B3020" s="1" t="s">
        <v>1189</v>
      </c>
      <c r="C3020" s="2" t="s">
        <v>5</v>
      </c>
      <c r="D3020" s="2" t="s">
        <v>182</v>
      </c>
      <c r="E3020" s="3" t="str">
        <f>IF(ISERROR(VLOOKUP(B3020,Failures!$A$1:$A$4000,1,FALSE)),"Keep","Delete")</f>
        <v>Keep</v>
      </c>
      <c r="F3020" t="str">
        <f>IF(ISNUMBER(SEARCH("#",B3020)), LEFT(B3020,FIND("#",B3020)-1), B3020)</f>
        <v>Cupboard Door (Lifeblurb)</v>
      </c>
      <c r="G3020" s="26">
        <f>IF(ISNUMBER(SEARCH("#",B3020)),VALUE(MID(B3020,FIND("#",B3020)+1,1000)),1)</f>
        <v>1</v>
      </c>
      <c r="H3020" t="str">
        <f>IF(AND(regexMatch(B3020,".*#[0-9]*$"),ISNUMBER(SEARCH("#",B3020))),CONCATENATE(TRIM(F3020)," #",G3020),B3020)</f>
        <v>Cupboard Door (Lifeblurb)</v>
      </c>
    </row>
    <row r="3021" spans="1:8" ht="15.75" thickBot="1" x14ac:dyDescent="0.3">
      <c r="A3021" s="1" t="s">
        <v>5412</v>
      </c>
      <c r="B3021" s="1" t="s">
        <v>9858</v>
      </c>
      <c r="C3021" s="1"/>
      <c r="D3021" s="2" t="s">
        <v>182</v>
      </c>
      <c r="E3021" s="3" t="str">
        <f>IF(ISERROR(VLOOKUP(B3021,Failures!$A$1:$A$4000,1,FALSE)),"Keep","Delete")</f>
        <v>Keep</v>
      </c>
      <c r="F3021" t="str">
        <f>IF(ISNUMBER(SEARCH("#",B3021)), LEFT(B3021,FIND("#",B3021)-1), B3021)</f>
        <v>Desk Lamp</v>
      </c>
      <c r="G3021" s="26">
        <f>IF(ISNUMBER(SEARCH("#",B3021)),VALUE(MID(B3021,FIND("#",B3021)+1,1000)),1)</f>
        <v>1</v>
      </c>
      <c r="H3021" t="str">
        <f>IF(AND(regexMatch(B3021,".*#[0-9]*$"),ISNUMBER(SEARCH("#",B3021))),CONCATENATE(TRIM(F3021)," #",G3021),B3021)</f>
        <v>Desk Lamp</v>
      </c>
    </row>
    <row r="3022" spans="1:8" ht="15.75" thickBot="1" x14ac:dyDescent="0.3">
      <c r="A3022" s="1" t="s">
        <v>1053</v>
      </c>
      <c r="B3022" s="1" t="s">
        <v>10669</v>
      </c>
      <c r="C3022" s="2" t="s">
        <v>5</v>
      </c>
      <c r="D3022" s="2" t="s">
        <v>182</v>
      </c>
      <c r="E3022" s="3" t="str">
        <f>IF(ISERROR(VLOOKUP(B3022,Failures!$A$1:$A$4000,1,FALSE)),"Keep","Delete")</f>
        <v>Keep</v>
      </c>
      <c r="F3022" t="str">
        <f>IF(ISNUMBER(SEARCH("#",B3022)), LEFT(B3022,FIND("#",B3022)-1), B3022)</f>
        <v xml:space="preserve">Desk Phone </v>
      </c>
      <c r="G3022" s="26">
        <v>1</v>
      </c>
      <c r="H3022" t="str">
        <f>IF(AND(regexMatch(B3022,".*#[0-9]*$"),ISNUMBER(SEARCH("#",B3022))),CONCATENATE(TRIM(F3022)," #",G3022),B3022)</f>
        <v>Desk Phone #1</v>
      </c>
    </row>
    <row r="3023" spans="1:8" ht="15.75" thickBot="1" x14ac:dyDescent="0.3">
      <c r="A3023" s="27" t="s">
        <v>7244</v>
      </c>
      <c r="B3023" s="22" t="s">
        <v>10669</v>
      </c>
      <c r="C3023" s="1"/>
      <c r="D3023" s="2" t="s">
        <v>182</v>
      </c>
      <c r="E3023" s="3" t="str">
        <f>IF(ISERROR(VLOOKUP(B3023,Failures!$A$1:$A$4000,1,FALSE)),"Keep","Delete")</f>
        <v>Keep</v>
      </c>
      <c r="F3023" t="str">
        <f>IF(ISNUMBER(SEARCH("#",B3023)), LEFT(B3023,FIND("#",B3023)-1), B3023)</f>
        <v xml:space="preserve">Desk Phone </v>
      </c>
      <c r="G3023" s="26">
        <v>2</v>
      </c>
      <c r="H3023" t="str">
        <f>IF(AND(regexMatch(B3023,".*#[0-9]*$"),ISNUMBER(SEARCH("#",B3023))),CONCATENATE(TRIM(F3023)," #",G3023),B3023)</f>
        <v>Desk Phone #2</v>
      </c>
    </row>
    <row r="3024" spans="1:8" ht="15.75" thickBot="1" x14ac:dyDescent="0.3">
      <c r="A3024" s="1" t="s">
        <v>5340</v>
      </c>
      <c r="B3024" s="1" t="s">
        <v>10369</v>
      </c>
      <c r="C3024" s="1"/>
      <c r="D3024" s="2" t="s">
        <v>182</v>
      </c>
      <c r="E3024" s="3" t="str">
        <f>IF(ISERROR(VLOOKUP(B3024,Failures!$A$1:$A$4000,1,FALSE)),"Keep","Delete")</f>
        <v>Keep</v>
      </c>
      <c r="F3024" t="str">
        <f>IF(ISNUMBER(SEARCH("#",B3024)), LEFT(B3024,FIND("#",B3024)-1), B3024)</f>
        <v>Desk Tidy</v>
      </c>
      <c r="G3024" s="26">
        <f>IF(ISNUMBER(SEARCH("#",B3024)),VALUE(MID(B3024,FIND("#",B3024)+1,1000)),1)</f>
        <v>1</v>
      </c>
      <c r="H3024" t="str">
        <f>IF(AND(regexMatch(B3024,".*#[0-9]*$"),ISNUMBER(SEARCH("#",B3024))),CONCATENATE(TRIM(F3024)," #",G3024),B3024)</f>
        <v>Desk Tidy</v>
      </c>
    </row>
    <row r="3025" spans="1:8" ht="15.75" thickBot="1" x14ac:dyDescent="0.3">
      <c r="A3025" s="1" t="s">
        <v>5348</v>
      </c>
      <c r="B3025" s="1" t="s">
        <v>9911</v>
      </c>
      <c r="C3025" s="1"/>
      <c r="D3025" s="2" t="s">
        <v>182</v>
      </c>
      <c r="E3025" s="3" t="str">
        <f>IF(ISERROR(VLOOKUP(B3025,Failures!$A$1:$A$4000,1,FALSE)),"Keep","Delete")</f>
        <v>Keep</v>
      </c>
      <c r="F3025" t="str">
        <f>IF(ISNUMBER(SEARCH("#",B3025)), LEFT(B3025,FIND("#",B3025)-1), B3025)</f>
        <v>FIB Ashtray</v>
      </c>
      <c r="G3025" s="26">
        <f>IF(ISNUMBER(SEARCH("#",B3025)),VALUE(MID(B3025,FIND("#",B3025)+1,1000)),1)</f>
        <v>1</v>
      </c>
      <c r="H3025" t="str">
        <f>IF(AND(regexMatch(B3025,".*#[0-9]*$"),ISNUMBER(SEARCH("#",B3025))),CONCATENATE(TRIM(F3025)," #",G3025),B3025)</f>
        <v>FIB Ashtray</v>
      </c>
    </row>
    <row r="3026" spans="1:8" ht="15.75" thickBot="1" x14ac:dyDescent="0.3">
      <c r="A3026" s="1" t="s">
        <v>5347</v>
      </c>
      <c r="B3026" s="1" t="s">
        <v>9912</v>
      </c>
      <c r="C3026" s="1"/>
      <c r="D3026" s="2" t="s">
        <v>182</v>
      </c>
      <c r="E3026" s="3" t="str">
        <f>IF(ISERROR(VLOOKUP(B3026,Failures!$A$1:$A$4000,1,FALSE)),"Keep","Delete")</f>
        <v>Keep</v>
      </c>
      <c r="F3026" t="str">
        <f>IF(ISNUMBER(SEARCH("#",B3026)), LEFT(B3026,FIND("#",B3026)-1), B3026)</f>
        <v>FIB Clipboard</v>
      </c>
      <c r="G3026" s="26">
        <f>IF(ISNUMBER(SEARCH("#",B3026)),VALUE(MID(B3026,FIND("#",B3026)+1,1000)),1)</f>
        <v>1</v>
      </c>
      <c r="H3026" t="str">
        <f>IF(AND(regexMatch(B3026,".*#[0-9]*$"),ISNUMBER(SEARCH("#",B3026))),CONCATENATE(TRIM(F3026)," #",G3026),B3026)</f>
        <v>FIB Clipboard</v>
      </c>
    </row>
    <row r="3027" spans="1:8" ht="15.75" thickBot="1" x14ac:dyDescent="0.3">
      <c r="A3027" s="1" t="s">
        <v>5481</v>
      </c>
      <c r="B3027" s="1" t="s">
        <v>9914</v>
      </c>
      <c r="C3027" s="1"/>
      <c r="D3027" s="2" t="s">
        <v>182</v>
      </c>
      <c r="E3027" s="3" t="str">
        <f>IF(ISERROR(VLOOKUP(B3027,Failures!$A$1:$A$4000,1,FALSE)),"Keep","Delete")</f>
        <v>Keep</v>
      </c>
      <c r="F3027" t="str">
        <f>IF(ISNUMBER(SEARCH("#",B3027)), LEFT(B3027,FIND("#",B3027)-1), B3027)</f>
        <v>FIB Reception Counter</v>
      </c>
      <c r="G3027" s="26">
        <f>IF(ISNUMBER(SEARCH("#",B3027)),VALUE(MID(B3027,FIND("#",B3027)+1,1000)),1)</f>
        <v>1</v>
      </c>
      <c r="H3027" t="str">
        <f>IF(AND(regexMatch(B3027,".*#[0-9]*$"),ISNUMBER(SEARCH("#",B3027))),CONCATENATE(TRIM(F3027)," #",G3027),B3027)</f>
        <v>FIB Reception Counter</v>
      </c>
    </row>
    <row r="3028" spans="1:8" ht="15.75" thickBot="1" x14ac:dyDescent="0.3">
      <c r="A3028" s="27" t="s">
        <v>9384</v>
      </c>
      <c r="B3028" s="22" t="s">
        <v>10683</v>
      </c>
      <c r="C3028" s="1"/>
      <c r="D3028" s="2" t="s">
        <v>182</v>
      </c>
      <c r="E3028" s="3" t="str">
        <f>IF(ISERROR(VLOOKUP(B3028,Failures!$A$1:$A$4000,1,FALSE)),"Keep","Delete")</f>
        <v>Keep</v>
      </c>
      <c r="F3028" t="str">
        <f>IF(ISNUMBER(SEARCH("#",B3028)), LEFT(B3028,FIND("#",B3028)-1), B3028)</f>
        <v xml:space="preserve">File Box </v>
      </c>
      <c r="G3028" s="26">
        <f>IF(ISNUMBER(SEARCH("#",B3028)),VALUE(MID(B3028,FIND("#",B3028)+1,1000)),1)</f>
        <v>1</v>
      </c>
      <c r="H3028" t="str">
        <f>IF(AND(regexMatch(B3028,".*#[0-9]*$"),ISNUMBER(SEARCH("#",B3028))),CONCATENATE(TRIM(F3028)," #",G3028),B3028)</f>
        <v>File Box #1</v>
      </c>
    </row>
    <row r="3029" spans="1:8" ht="15.75" thickBot="1" x14ac:dyDescent="0.3">
      <c r="A3029" s="27" t="s">
        <v>7234</v>
      </c>
      <c r="B3029" s="22" t="s">
        <v>10685</v>
      </c>
      <c r="C3029" s="1"/>
      <c r="D3029" s="2" t="s">
        <v>182</v>
      </c>
      <c r="E3029" s="3" t="str">
        <f>IF(ISERROR(VLOOKUP(B3029,Failures!$A$1:$A$4000,1,FALSE)),"Keep","Delete")</f>
        <v>Keep</v>
      </c>
      <c r="F3029" t="str">
        <f>IF(ISNUMBER(SEARCH("#",B3029)), LEFT(B3029,FIND("#",B3029)-1), B3029)</f>
        <v xml:space="preserve">File Box </v>
      </c>
      <c r="G3029" s="26">
        <f>IF(ISNUMBER(SEARCH("#",B3029)),VALUE(MID(B3029,FIND("#",B3029)+1,1000)),1)</f>
        <v>2</v>
      </c>
      <c r="H3029" t="str">
        <f>IF(AND(regexMatch(B3029,".*#[0-9]*$"),ISNUMBER(SEARCH("#",B3029))),CONCATENATE(TRIM(F3029)," #",G3029),B3029)</f>
        <v>File Box #2</v>
      </c>
    </row>
    <row r="3030" spans="1:8" ht="15.75" thickBot="1" x14ac:dyDescent="0.3">
      <c r="A3030" s="27" t="s">
        <v>9382</v>
      </c>
      <c r="B3030" s="22" t="s">
        <v>10704</v>
      </c>
      <c r="C3030" s="1"/>
      <c r="D3030" s="2" t="s">
        <v>182</v>
      </c>
      <c r="E3030" s="3" t="str">
        <f>IF(ISERROR(VLOOKUP(B3030,Failures!$A$1:$A$4000,1,FALSE)),"Keep","Delete")</f>
        <v>Keep</v>
      </c>
      <c r="F3030" t="str">
        <f>IF(ISNUMBER(SEARCH("#",B3030)), LEFT(B3030,FIND("#",B3030)-1), B3030)</f>
        <v xml:space="preserve">File Box </v>
      </c>
      <c r="G3030" s="26">
        <f>IF(ISNUMBER(SEARCH("#",B3030)),VALUE(MID(B3030,FIND("#",B3030)+1,1000)),1)</f>
        <v>3</v>
      </c>
      <c r="H3030" t="str">
        <f>IF(AND(regexMatch(B3030,".*#[0-9]*$"),ISNUMBER(SEARCH("#",B3030))),CONCATENATE(TRIM(F3030)," #",G3030),B3030)</f>
        <v>File Box #3</v>
      </c>
    </row>
    <row r="3031" spans="1:8" ht="15.75" thickBot="1" x14ac:dyDescent="0.3">
      <c r="A3031" s="27" t="s">
        <v>9381</v>
      </c>
      <c r="B3031" s="22" t="s">
        <v>10705</v>
      </c>
      <c r="C3031" s="1"/>
      <c r="D3031" s="2" t="s">
        <v>182</v>
      </c>
      <c r="E3031" s="3" t="str">
        <f>IF(ISERROR(VLOOKUP(B3031,Failures!$A$1:$A$4000,1,FALSE)),"Keep","Delete")</f>
        <v>Keep</v>
      </c>
      <c r="F3031" t="str">
        <f>IF(ISNUMBER(SEARCH("#",B3031)), LEFT(B3031,FIND("#",B3031)-1), B3031)</f>
        <v xml:space="preserve">File Box </v>
      </c>
      <c r="G3031" s="26">
        <f>IF(ISNUMBER(SEARCH("#",B3031)),VALUE(MID(B3031,FIND("#",B3031)+1,1000)),1)</f>
        <v>4</v>
      </c>
      <c r="H3031" t="str">
        <f>IF(AND(regexMatch(B3031,".*#[0-9]*$"),ISNUMBER(SEARCH("#",B3031))),CONCATENATE(TRIM(F3031)," #",G3031),B3031)</f>
        <v>File Box #4</v>
      </c>
    </row>
    <row r="3032" spans="1:8" ht="15.75" thickBot="1" x14ac:dyDescent="0.3">
      <c r="A3032" s="1" t="s">
        <v>5345</v>
      </c>
      <c r="B3032" s="1" t="s">
        <v>10058</v>
      </c>
      <c r="C3032" s="1"/>
      <c r="D3032" s="2" t="s">
        <v>182</v>
      </c>
      <c r="E3032" s="3" t="str">
        <f>IF(ISERROR(VLOOKUP(B3032,Failures!$A$1:$A$4000,1,FALSE)),"Keep","Delete")</f>
        <v>Keep</v>
      </c>
      <c r="F3032" t="str">
        <f>IF(ISNUMBER(SEARCH("#",B3032)), LEFT(B3032,FIND("#",B3032)-1), B3032)</f>
        <v xml:space="preserve">In Trays </v>
      </c>
      <c r="G3032" s="26">
        <f>IF(ISNUMBER(SEARCH("#",B3032)),VALUE(MID(B3032,FIND("#",B3032)+1,1000)),1)</f>
        <v>1</v>
      </c>
      <c r="H3032" t="str">
        <f>IF(AND(regexMatch(B3032,".*#[0-9]*$"),ISNUMBER(SEARCH("#",B3032))),CONCATENATE(TRIM(F3032)," #",G3032),B3032)</f>
        <v>In Trays #1</v>
      </c>
    </row>
    <row r="3033" spans="1:8" ht="15.75" thickBot="1" x14ac:dyDescent="0.3">
      <c r="A3033" s="1" t="s">
        <v>5344</v>
      </c>
      <c r="B3033" s="1" t="s">
        <v>10059</v>
      </c>
      <c r="C3033" s="1"/>
      <c r="D3033" s="2" t="s">
        <v>182</v>
      </c>
      <c r="E3033" s="3" t="str">
        <f>IF(ISERROR(VLOOKUP(B3033,Failures!$A$1:$A$4000,1,FALSE)),"Keep","Delete")</f>
        <v>Keep</v>
      </c>
      <c r="F3033" t="str">
        <f>IF(ISNUMBER(SEARCH("#",B3033)), LEFT(B3033,FIND("#",B3033)-1), B3033)</f>
        <v xml:space="preserve">In Trays </v>
      </c>
      <c r="G3033" s="26">
        <f>IF(ISNUMBER(SEARCH("#",B3033)),VALUE(MID(B3033,FIND("#",B3033)+1,1000)),1)</f>
        <v>2</v>
      </c>
      <c r="H3033" t="str">
        <f>IF(AND(regexMatch(B3033,".*#[0-9]*$"),ISNUMBER(SEARCH("#",B3033))),CONCATENATE(TRIM(F3033)," #",G3033),B3033)</f>
        <v>In Trays #2</v>
      </c>
    </row>
    <row r="3034" spans="1:8" ht="15.75" thickBot="1" x14ac:dyDescent="0.3">
      <c r="A3034" s="1" t="s">
        <v>5339</v>
      </c>
      <c r="B3034" s="1" t="s">
        <v>10433</v>
      </c>
      <c r="C3034" s="1"/>
      <c r="D3034" s="2" t="s">
        <v>182</v>
      </c>
      <c r="E3034" s="3" t="str">
        <f>IF(ISERROR(VLOOKUP(B3034,Failures!$A$1:$A$4000,1,FALSE)),"Keep","Delete")</f>
        <v>Keep</v>
      </c>
      <c r="F3034" t="str">
        <f>IF(ISNUMBER(SEARCH("#",B3034)), LEFT(B3034,FIND("#",B3034)-1), B3034)</f>
        <v xml:space="preserve">In Trays </v>
      </c>
      <c r="G3034" s="26">
        <v>3</v>
      </c>
      <c r="H3034" t="str">
        <f>IF(AND(regexMatch(B3034,".*#[0-9]*$"),ISNUMBER(SEARCH("#",B3034))),CONCATENATE(TRIM(F3034)," #",G3034),B3034)</f>
        <v>In Trays #3</v>
      </c>
    </row>
    <row r="3035" spans="1:8" ht="15.75" thickBot="1" x14ac:dyDescent="0.3">
      <c r="A3035" s="27" t="s">
        <v>7340</v>
      </c>
      <c r="B3035" s="1" t="s">
        <v>10545</v>
      </c>
      <c r="C3035" s="1"/>
      <c r="D3035" s="2" t="s">
        <v>182</v>
      </c>
      <c r="E3035" s="3" t="str">
        <f>IF(ISERROR(VLOOKUP(B3035,Failures!$A$1:$A$4000,1,FALSE)),"Keep","Delete")</f>
        <v>Keep</v>
      </c>
      <c r="F3035" t="str">
        <f>IF(ISNUMBER(SEARCH("#",B3035)), LEFT(B3035,FIND("#",B3035)-1), B3035)</f>
        <v xml:space="preserve">Locker </v>
      </c>
      <c r="G3035" s="26">
        <v>1</v>
      </c>
      <c r="H3035" t="str">
        <f>IF(AND(regexMatch(B3035,".*#[0-9]*$"),ISNUMBER(SEARCH("#",B3035))),CONCATENATE(TRIM(F3035)," #",G3035),B3035)</f>
        <v>Locker #1, No Door</v>
      </c>
    </row>
    <row r="3036" spans="1:8" ht="15.75" thickBot="1" x14ac:dyDescent="0.3">
      <c r="A3036" s="27" t="s">
        <v>7442</v>
      </c>
      <c r="B3036" s="1" t="s">
        <v>10546</v>
      </c>
      <c r="C3036" s="1"/>
      <c r="D3036" s="2" t="s">
        <v>182</v>
      </c>
      <c r="E3036" s="3" t="str">
        <f>IF(ISERROR(VLOOKUP(B3036,Failures!$A$1:$A$4000,1,FALSE)),"Keep","Delete")</f>
        <v>Keep</v>
      </c>
      <c r="F3036" t="str">
        <f>IF(ISNUMBER(SEARCH("#",B3036)), LEFT(B3036,FIND("#",B3036)-1), B3036)</f>
        <v xml:space="preserve">Locker </v>
      </c>
      <c r="G3036" s="26">
        <v>1</v>
      </c>
      <c r="H3036" t="str">
        <f>IF(AND(regexMatch(B3036,".*#[0-9]*$"),ISNUMBER(SEARCH("#",B3036))),CONCATENATE(TRIM(F3036)," #",G3036),B3036)</f>
        <v>Locker #1, With Door</v>
      </c>
    </row>
    <row r="3037" spans="1:8" ht="15.75" thickBot="1" x14ac:dyDescent="0.3">
      <c r="A3037" s="27" t="s">
        <v>7339</v>
      </c>
      <c r="B3037" s="1" t="s">
        <v>10547</v>
      </c>
      <c r="C3037" s="1"/>
      <c r="D3037" s="2" t="s">
        <v>182</v>
      </c>
      <c r="E3037" s="3" t="str">
        <f>IF(ISERROR(VLOOKUP(B3037,Failures!$A$1:$A$4000,1,FALSE)),"Keep","Delete")</f>
        <v>Keep</v>
      </c>
      <c r="F3037" t="str">
        <f>IF(ISNUMBER(SEARCH("#",B3037)), LEFT(B3037,FIND("#",B3037)-1), B3037)</f>
        <v xml:space="preserve">Locker </v>
      </c>
      <c r="G3037" s="26">
        <v>1</v>
      </c>
      <c r="H3037" t="str">
        <f>IF(AND(regexMatch(B3037,".*#[0-9]*$"),ISNUMBER(SEARCH("#",B3037))),CONCATENATE(TRIM(F3037)," #",G3037),B3037)</f>
        <v>Locker #2, No Door</v>
      </c>
    </row>
    <row r="3038" spans="1:8" ht="15.75" thickBot="1" x14ac:dyDescent="0.3">
      <c r="A3038" s="27" t="s">
        <v>7338</v>
      </c>
      <c r="B3038" s="1" t="s">
        <v>10548</v>
      </c>
      <c r="C3038" s="1"/>
      <c r="D3038" s="2" t="s">
        <v>182</v>
      </c>
      <c r="E3038" s="3" t="str">
        <f>IF(ISERROR(VLOOKUP(B3038,Failures!$A$1:$A$4000,1,FALSE)),"Keep","Delete")</f>
        <v>Keep</v>
      </c>
      <c r="F3038" t="str">
        <f>IF(ISNUMBER(SEARCH("#",B3038)), LEFT(B3038,FIND("#",B3038)-1), B3038)</f>
        <v xml:space="preserve">Locker </v>
      </c>
      <c r="G3038" s="26">
        <v>1</v>
      </c>
      <c r="H3038" s="8" t="s">
        <v>10548</v>
      </c>
    </row>
    <row r="3039" spans="1:8" ht="15.75" thickBot="1" x14ac:dyDescent="0.3">
      <c r="A3039" s="27" t="s">
        <v>7337</v>
      </c>
      <c r="B3039" s="1" t="s">
        <v>10549</v>
      </c>
      <c r="C3039" s="1"/>
      <c r="D3039" s="2" t="s">
        <v>182</v>
      </c>
      <c r="E3039" s="3" t="str">
        <f>IF(ISERROR(VLOOKUP(B3039,Failures!$A$1:$A$4000,1,FALSE)),"Keep","Delete")</f>
        <v>Keep</v>
      </c>
      <c r="F3039" t="str">
        <f>IF(ISNUMBER(SEARCH("#",B3039)), LEFT(B3039,FIND("#",B3039)-1), B3039)</f>
        <v xml:space="preserve">Locker </v>
      </c>
      <c r="G3039" s="26">
        <v>1</v>
      </c>
      <c r="H3039" s="8" t="s">
        <v>10549</v>
      </c>
    </row>
    <row r="3040" spans="1:8" ht="15.75" thickBot="1" x14ac:dyDescent="0.3">
      <c r="A3040" s="27" t="s">
        <v>7336</v>
      </c>
      <c r="B3040" s="1" t="s">
        <v>10550</v>
      </c>
      <c r="C3040" s="1"/>
      <c r="D3040" s="2" t="s">
        <v>182</v>
      </c>
      <c r="E3040" s="3" t="str">
        <f>IF(ISERROR(VLOOKUP(B3040,Failures!$A$1:$A$4000,1,FALSE)),"Keep","Delete")</f>
        <v>Keep</v>
      </c>
      <c r="F3040" t="str">
        <f>IF(ISNUMBER(SEARCH("#",B3040)), LEFT(B3040,FIND("#",B3040)-1), B3040)</f>
        <v xml:space="preserve">Locker </v>
      </c>
      <c r="G3040" s="26">
        <v>2</v>
      </c>
      <c r="H3040" s="21" t="str">
        <f>IF(AND(regexMatch(B3040,".*#[0-9]*$"),ISNUMBER(SEARCH("#",B3040))),CONCATENATE(TRIM(F3040)," #",G3040),B3040)</f>
        <v>Locker #2 Door</v>
      </c>
    </row>
    <row r="3041" spans="1:8" ht="15.75" thickBot="1" x14ac:dyDescent="0.3">
      <c r="A3041" s="1" t="s">
        <v>1011</v>
      </c>
      <c r="B3041" s="1" t="s">
        <v>1012</v>
      </c>
      <c r="C3041" s="4" t="s">
        <v>5</v>
      </c>
      <c r="D3041" s="2" t="s">
        <v>182</v>
      </c>
      <c r="E3041" s="3" t="str">
        <f>IF(ISERROR(VLOOKUP(B3041,Failures!$A$1:$A$4000,1,FALSE)),"Keep","Delete")</f>
        <v>Keep</v>
      </c>
      <c r="F3041" t="str">
        <f>IF(ISNUMBER(SEARCH("#",B3041)), LEFT(B3041,FIND("#",B3041)-1), B3041)</f>
        <v>Marker Pen</v>
      </c>
      <c r="G3041" s="26">
        <f>IF(ISNUMBER(SEARCH("#",B3041)),VALUE(MID(B3041,FIND("#",B3041)+1,1000)),1)</f>
        <v>1</v>
      </c>
      <c r="H3041" s="21" t="str">
        <f>IF(AND(regexMatch(B3041,".*#[0-9]*$"),ISNUMBER(SEARCH("#",B3041))),CONCATENATE(TRIM(F3041)," #",G3041),B3041)</f>
        <v>Marker Pen</v>
      </c>
    </row>
    <row r="3042" spans="1:8" ht="15.75" thickBot="1" x14ac:dyDescent="0.3">
      <c r="A3042" s="27" t="s">
        <v>7419</v>
      </c>
      <c r="B3042" s="22" t="s">
        <v>10594</v>
      </c>
      <c r="C3042" s="1"/>
      <c r="D3042" s="2" t="s">
        <v>182</v>
      </c>
      <c r="E3042" s="3" t="str">
        <f>IF(ISERROR(VLOOKUP(B3042,Failures!$A$1:$A$4000,1,FALSE)),"Keep","Delete")</f>
        <v>Keep</v>
      </c>
      <c r="F3042" t="str">
        <f>IF(ISNUMBER(SEARCH("#",B3042)), LEFT(B3042,FIND("#",B3042)-1), B3042)</f>
        <v>Notepad</v>
      </c>
      <c r="G3042" s="26">
        <f>IF(ISNUMBER(SEARCH("#",B3042)),VALUE(MID(B3042,FIND("#",B3042)+1,1000)),1)</f>
        <v>1</v>
      </c>
      <c r="H3042" s="21" t="str">
        <f>IF(AND(regexMatch(B3042,".*#[0-9]*$"),ISNUMBER(SEARCH("#",B3042))),CONCATENATE(TRIM(F3042)," #",G3042),B3042)</f>
        <v>Notepad</v>
      </c>
    </row>
    <row r="3043" spans="1:8" ht="15.75" thickBot="1" x14ac:dyDescent="0.3">
      <c r="A3043" s="1" t="s">
        <v>1959</v>
      </c>
      <c r="B3043" s="1" t="s">
        <v>1960</v>
      </c>
      <c r="C3043" s="2" t="s">
        <v>145</v>
      </c>
      <c r="D3043" s="2" t="s">
        <v>182</v>
      </c>
      <c r="E3043" s="3" t="str">
        <f>IF(ISERROR(VLOOKUP(B3043,Failures!$A$1:$A$4000,1,FALSE)),"Keep","Delete")</f>
        <v>Keep</v>
      </c>
      <c r="F3043" t="str">
        <f>IF(ISNUMBER(SEARCH("#",B3043)), LEFT(B3043,FIND("#",B3043)-1), B3043)</f>
        <v xml:space="preserve">Noticeboard Pin </v>
      </c>
      <c r="G3043" s="26">
        <f>IF(ISNUMBER(SEARCH("#",B3043)),VALUE(MID(B3043,FIND("#",B3043)+1,1000)),1)</f>
        <v>1</v>
      </c>
      <c r="H3043" t="str">
        <f>IF(AND(regexMatch(B3043,".*#[0-9]*$"),ISNUMBER(SEARCH("#",B3043))),CONCATENATE(TRIM(F3043)," #",G3043),B3043)</f>
        <v>Noticeboard Pin #1</v>
      </c>
    </row>
    <row r="3044" spans="1:8" ht="15.75" thickBot="1" x14ac:dyDescent="0.3">
      <c r="A3044" s="1" t="s">
        <v>1961</v>
      </c>
      <c r="B3044" s="1" t="s">
        <v>1962</v>
      </c>
      <c r="C3044" s="2" t="s">
        <v>145</v>
      </c>
      <c r="D3044" s="2" t="s">
        <v>182</v>
      </c>
      <c r="E3044" s="3" t="str">
        <f>IF(ISERROR(VLOOKUP(B3044,Failures!$A$1:$A$4000,1,FALSE)),"Keep","Delete")</f>
        <v>Keep</v>
      </c>
      <c r="F3044" t="str">
        <f>IF(ISNUMBER(SEARCH("#",B3044)), LEFT(B3044,FIND("#",B3044)-1), B3044)</f>
        <v xml:space="preserve">Noticeboard Pin </v>
      </c>
      <c r="G3044" s="26">
        <f>IF(ISNUMBER(SEARCH("#",B3044)),VALUE(MID(B3044,FIND("#",B3044)+1,1000)),1)</f>
        <v>2</v>
      </c>
      <c r="H3044" t="str">
        <f>IF(AND(regexMatch(B3044,".*#[0-9]*$"),ISNUMBER(SEARCH("#",B3044))),CONCATENATE(TRIM(F3044)," #",G3044),B3044)</f>
        <v>Noticeboard Pin #2</v>
      </c>
    </row>
    <row r="3045" spans="1:8" ht="15.75" thickBot="1" x14ac:dyDescent="0.3">
      <c r="A3045" s="1" t="s">
        <v>1963</v>
      </c>
      <c r="B3045" s="1" t="s">
        <v>1964</v>
      </c>
      <c r="C3045" s="2" t="s">
        <v>145</v>
      </c>
      <c r="D3045" s="2" t="s">
        <v>182</v>
      </c>
      <c r="E3045" s="3" t="str">
        <f>IF(ISERROR(VLOOKUP(B3045,Failures!$A$1:$A$4000,1,FALSE)),"Keep","Delete")</f>
        <v>Keep</v>
      </c>
      <c r="F3045" t="str">
        <f>IF(ISNUMBER(SEARCH("#",B3045)), LEFT(B3045,FIND("#",B3045)-1), B3045)</f>
        <v xml:space="preserve">Noticeboard Pin </v>
      </c>
      <c r="G3045" s="26">
        <f>IF(ISNUMBER(SEARCH("#",B3045)),VALUE(MID(B3045,FIND("#",B3045)+1,1000)),1)</f>
        <v>3</v>
      </c>
      <c r="H3045" t="str">
        <f>IF(AND(regexMatch(B3045,".*#[0-9]*$"),ISNUMBER(SEARCH("#",B3045))),CONCATENATE(TRIM(F3045)," #",G3045),B3045)</f>
        <v>Noticeboard Pin #3</v>
      </c>
    </row>
    <row r="3046" spans="1:8" ht="15.75" thickBot="1" x14ac:dyDescent="0.3">
      <c r="A3046" s="1" t="s">
        <v>1389</v>
      </c>
      <c r="B3046" s="1" t="s">
        <v>1390</v>
      </c>
      <c r="C3046" s="2" t="s">
        <v>5</v>
      </c>
      <c r="D3046" s="2" t="s">
        <v>182</v>
      </c>
      <c r="E3046" s="3" t="str">
        <f>IF(ISERROR(VLOOKUP(B3046,Failures!$A$1:$A$4000,1,FALSE)),"Keep","Delete")</f>
        <v>Keep</v>
      </c>
      <c r="F3046" t="str">
        <f>IF(ISNUMBER(SEARCH("#",B3046)), LEFT(B3046,FIND("#",B3046)-1), B3046)</f>
        <v>Office Air Con</v>
      </c>
      <c r="G3046" s="26">
        <f>IF(ISNUMBER(SEARCH("#",B3046)),VALUE(MID(B3046,FIND("#",B3046)+1,1000)),1)</f>
        <v>1</v>
      </c>
      <c r="H3046" t="str">
        <f>IF(AND(regexMatch(B3046,".*#[0-9]*$"),ISNUMBER(SEARCH("#",B3046))),CONCATENATE(TRIM(F3046)," #",G3046),B3046)</f>
        <v>Office Air Con</v>
      </c>
    </row>
    <row r="3047" spans="1:8" ht="15.75" thickBot="1" x14ac:dyDescent="0.3">
      <c r="A3047" s="1" t="s">
        <v>1391</v>
      </c>
      <c r="B3047" s="1" t="s">
        <v>1392</v>
      </c>
      <c r="C3047" s="2" t="s">
        <v>5</v>
      </c>
      <c r="D3047" s="2" t="s">
        <v>182</v>
      </c>
      <c r="E3047" s="3" t="str">
        <f>IF(ISERROR(VLOOKUP(B3047,Failures!$A$1:$A$4000,1,FALSE)),"Keep","Delete")</f>
        <v>Keep</v>
      </c>
      <c r="F3047" t="str">
        <f>IF(ISNUMBER(SEARCH("#",B3047)), LEFT(B3047,FIND("#",B3047)-1), B3047)</f>
        <v>Office Cabinet</v>
      </c>
      <c r="G3047" s="26">
        <f>IF(ISNUMBER(SEARCH("#",B3047)),VALUE(MID(B3047,FIND("#",B3047)+1,1000)),1)</f>
        <v>1</v>
      </c>
      <c r="H3047" t="str">
        <f>IF(AND(regexMatch(B3047,".*#[0-9]*$"),ISNUMBER(SEARCH("#",B3047))),CONCATENATE(TRIM(F3047)," #",G3047),B3047)</f>
        <v>Office Cabinet</v>
      </c>
    </row>
    <row r="3048" spans="1:8" ht="15.75" thickBot="1" x14ac:dyDescent="0.3">
      <c r="A3048" s="1" t="s">
        <v>1393</v>
      </c>
      <c r="B3048" s="1" t="s">
        <v>1394</v>
      </c>
      <c r="C3048" s="2" t="s">
        <v>5</v>
      </c>
      <c r="D3048" s="2" t="s">
        <v>182</v>
      </c>
      <c r="E3048" s="3" t="str">
        <f>IF(ISERROR(VLOOKUP(B3048,Failures!$A$1:$A$4000,1,FALSE)),"Keep","Delete")</f>
        <v>Keep</v>
      </c>
      <c r="F3048" t="str">
        <f>IF(ISNUMBER(SEARCH("#",B3048)), LEFT(B3048,FIND("#",B3048)-1), B3048)</f>
        <v>Office Plant</v>
      </c>
      <c r="G3048" s="26">
        <f>IF(ISNUMBER(SEARCH("#",B3048)),VALUE(MID(B3048,FIND("#",B3048)+1,1000)),1)</f>
        <v>1</v>
      </c>
      <c r="H3048" t="str">
        <f>IF(AND(regexMatch(B3048,".*#[0-9]*$"),ISNUMBER(SEARCH("#",B3048))),CONCATENATE(TRIM(F3048)," #",G3048),B3048)</f>
        <v>Office Plant</v>
      </c>
    </row>
    <row r="3049" spans="1:8" ht="15.75" thickBot="1" x14ac:dyDescent="0.3">
      <c r="A3049" s="1" t="s">
        <v>5477</v>
      </c>
      <c r="B3049" s="1" t="s">
        <v>9918</v>
      </c>
      <c r="C3049" s="1"/>
      <c r="D3049" s="2" t="s">
        <v>182</v>
      </c>
      <c r="E3049" s="3" t="str">
        <f>IF(ISERROR(VLOOKUP(B3049,Failures!$A$1:$A$4000,1,FALSE)),"Keep","Delete")</f>
        <v>Keep</v>
      </c>
      <c r="F3049" t="str">
        <f>IF(ISNUMBER(SEARCH("#",B3049)), LEFT(B3049,FIND("#",B3049)-1), B3049)</f>
        <v xml:space="preserve">Office Plant </v>
      </c>
      <c r="G3049" s="26">
        <f>IF(ISNUMBER(SEARCH("#",B3049)),VALUE(MID(B3049,FIND("#",B3049)+1,1000)),1)</f>
        <v>1</v>
      </c>
      <c r="H3049" t="str">
        <f>IF(AND(regexMatch(B3049,".*#[0-9]*$"),ISNUMBER(SEARCH("#",B3049))),CONCATENATE(TRIM(F3049)," #",G3049),B3049)</f>
        <v>Office Plant #1</v>
      </c>
    </row>
    <row r="3050" spans="1:8" ht="15.75" thickBot="1" x14ac:dyDescent="0.3">
      <c r="A3050" s="1" t="s">
        <v>5476</v>
      </c>
      <c r="B3050" s="1" t="s">
        <v>9919</v>
      </c>
      <c r="C3050" s="1"/>
      <c r="D3050" s="2" t="s">
        <v>182</v>
      </c>
      <c r="E3050" s="3" t="str">
        <f>IF(ISERROR(VLOOKUP(B3050,Failures!$A$1:$A$4000,1,FALSE)),"Keep","Delete")</f>
        <v>Keep</v>
      </c>
      <c r="F3050" t="str">
        <f>IF(ISNUMBER(SEARCH("#",B3050)), LEFT(B3050,FIND("#",B3050)-1), B3050)</f>
        <v xml:space="preserve">Office Plant </v>
      </c>
      <c r="G3050" s="26">
        <f>IF(ISNUMBER(SEARCH("#",B3050)),VALUE(MID(B3050,FIND("#",B3050)+1,1000)),1)</f>
        <v>2</v>
      </c>
      <c r="H3050" t="str">
        <f>IF(AND(regexMatch(B3050,".*#[0-9]*$"),ISNUMBER(SEARCH("#",B3050))),CONCATENATE(TRIM(F3050)," #",G3050),B3050)</f>
        <v>Office Plant #2</v>
      </c>
    </row>
    <row r="3051" spans="1:8" ht="15.75" thickBot="1" x14ac:dyDescent="0.3">
      <c r="A3051" s="27" t="s">
        <v>7233</v>
      </c>
      <c r="B3051" s="22" t="s">
        <v>10686</v>
      </c>
      <c r="C3051" s="1"/>
      <c r="D3051" s="2" t="s">
        <v>182</v>
      </c>
      <c r="E3051" s="3" t="str">
        <f>IF(ISERROR(VLOOKUP(B3051,Failures!$A$1:$A$4000,1,FALSE)),"Keep","Delete")</f>
        <v>Keep</v>
      </c>
      <c r="F3051" t="str">
        <f>IF(ISNUMBER(SEARCH("#",B3051)), LEFT(B3051,FIND("#",B3051)-1), B3051)</f>
        <v>Paper Folders</v>
      </c>
      <c r="G3051" s="26">
        <f>IF(ISNUMBER(SEARCH("#",B3051)),VALUE(MID(B3051,FIND("#",B3051)+1,1000)),1)</f>
        <v>1</v>
      </c>
      <c r="H3051" t="str">
        <f>IF(AND(regexMatch(B3051,".*#[0-9]*$"),ISNUMBER(SEARCH("#",B3051))),CONCATENATE(TRIM(F3051)," #",G3051),B3051)</f>
        <v>Paper Folders</v>
      </c>
    </row>
    <row r="3052" spans="1:8" ht="15.75" thickBot="1" x14ac:dyDescent="0.3">
      <c r="A3052" s="1" t="s">
        <v>2415</v>
      </c>
      <c r="B3052" s="1" t="s">
        <v>2416</v>
      </c>
      <c r="C3052" s="2" t="s">
        <v>5</v>
      </c>
      <c r="D3052" s="2" t="s">
        <v>182</v>
      </c>
      <c r="E3052" s="3" t="str">
        <f>IF(ISERROR(VLOOKUP(B3052,Failures!$A$1:$A$4000,1,FALSE)),"Keep","Delete")</f>
        <v>Keep</v>
      </c>
      <c r="F3052" t="str">
        <f>IF(ISNUMBER(SEARCH("#",B3052)), LEFT(B3052,FIND("#",B3052)-1), B3052)</f>
        <v>Pencil</v>
      </c>
      <c r="G3052" s="26">
        <f>IF(ISNUMBER(SEARCH("#",B3052)),VALUE(MID(B3052,FIND("#",B3052)+1,1000)),1)</f>
        <v>1</v>
      </c>
      <c r="H3052" t="str">
        <f>IF(AND(regexMatch(B3052,".*#[0-9]*$"),ISNUMBER(SEARCH("#",B3052))),CONCATENATE(TRIM(F3052)," #",G3052),B3052)</f>
        <v>Pencil</v>
      </c>
    </row>
    <row r="3053" spans="1:8" ht="15.75" thickBot="1" x14ac:dyDescent="0.3">
      <c r="A3053" s="1" t="s">
        <v>5416</v>
      </c>
      <c r="B3053" s="1" t="s">
        <v>9854</v>
      </c>
      <c r="C3053" s="1"/>
      <c r="D3053" s="2" t="s">
        <v>182</v>
      </c>
      <c r="E3053" s="3" t="str">
        <f>IF(ISERROR(VLOOKUP(B3053,Failures!$A$1:$A$4000,1,FALSE)),"Keep","Delete")</f>
        <v>Keep</v>
      </c>
      <c r="F3053" t="str">
        <f>IF(ISNUMBER(SEARCH("#",B3053)), LEFT(B3053,FIND("#",B3053)-1), B3053)</f>
        <v xml:space="preserve">Pile of Binders </v>
      </c>
      <c r="G3053" s="26">
        <f>IF(ISNUMBER(SEARCH("#",B3053)),VALUE(MID(B3053,FIND("#",B3053)+1,1000)),1)</f>
        <v>1</v>
      </c>
      <c r="H3053" t="str">
        <f>IF(AND(regexMatch(B3053,".*#[0-9]*$"),ISNUMBER(SEARCH("#",B3053))),CONCATENATE(TRIM(F3053)," #",G3053),B3053)</f>
        <v>Pile of Binders #1</v>
      </c>
    </row>
    <row r="3054" spans="1:8" ht="15.75" thickBot="1" x14ac:dyDescent="0.3">
      <c r="A3054" s="1" t="s">
        <v>5415</v>
      </c>
      <c r="B3054" s="1" t="s">
        <v>9855</v>
      </c>
      <c r="C3054" s="1"/>
      <c r="D3054" s="2" t="s">
        <v>182</v>
      </c>
      <c r="E3054" s="3" t="str">
        <f>IF(ISERROR(VLOOKUP(B3054,Failures!$A$1:$A$4000,1,FALSE)),"Keep","Delete")</f>
        <v>Keep</v>
      </c>
      <c r="F3054" t="str">
        <f>IF(ISNUMBER(SEARCH("#",B3054)), LEFT(B3054,FIND("#",B3054)-1), B3054)</f>
        <v xml:space="preserve">Pile of Binders </v>
      </c>
      <c r="G3054" s="26">
        <f>IF(ISNUMBER(SEARCH("#",B3054)),VALUE(MID(B3054,FIND("#",B3054)+1,1000)),1)</f>
        <v>2</v>
      </c>
      <c r="H3054" t="str">
        <f>IF(AND(regexMatch(B3054,".*#[0-9]*$"),ISNUMBER(SEARCH("#",B3054))),CONCATENATE(TRIM(F3054)," #",G3054),B3054)</f>
        <v>Pile of Binders #2</v>
      </c>
    </row>
    <row r="3055" spans="1:8" ht="15.75" thickBot="1" x14ac:dyDescent="0.3">
      <c r="A3055" s="1" t="s">
        <v>5414</v>
      </c>
      <c r="B3055" s="1" t="s">
        <v>9856</v>
      </c>
      <c r="C3055" s="1"/>
      <c r="D3055" s="2" t="s">
        <v>182</v>
      </c>
      <c r="E3055" s="3" t="str">
        <f>IF(ISERROR(VLOOKUP(B3055,Failures!$A$1:$A$4000,1,FALSE)),"Keep","Delete")</f>
        <v>Keep</v>
      </c>
      <c r="F3055" t="str">
        <f>IF(ISNUMBER(SEARCH("#",B3055)), LEFT(B3055,FIND("#",B3055)-1), B3055)</f>
        <v xml:space="preserve">Pile of Binders </v>
      </c>
      <c r="G3055" s="26">
        <f>IF(ISNUMBER(SEARCH("#",B3055)),VALUE(MID(B3055,FIND("#",B3055)+1,1000)),1)</f>
        <v>3</v>
      </c>
      <c r="H3055" t="str">
        <f>IF(AND(regexMatch(B3055,".*#[0-9]*$"),ISNUMBER(SEARCH("#",B3055))),CONCATENATE(TRIM(F3055)," #",G3055),B3055)</f>
        <v>Pile of Binders #3</v>
      </c>
    </row>
    <row r="3056" spans="1:8" ht="15.75" thickBot="1" x14ac:dyDescent="0.3">
      <c r="A3056" s="1" t="s">
        <v>5413</v>
      </c>
      <c r="B3056" s="1" t="s">
        <v>9857</v>
      </c>
      <c r="C3056" s="1"/>
      <c r="D3056" s="2" t="s">
        <v>182</v>
      </c>
      <c r="E3056" s="3" t="str">
        <f>IF(ISERROR(VLOOKUP(B3056,Failures!$A$1:$A$4000,1,FALSE)),"Keep","Delete")</f>
        <v>Keep</v>
      </c>
      <c r="F3056" t="str">
        <f>IF(ISNUMBER(SEARCH("#",B3056)), LEFT(B3056,FIND("#",B3056)-1), B3056)</f>
        <v xml:space="preserve">Pile of Binders </v>
      </c>
      <c r="G3056" s="26">
        <f>IF(ISNUMBER(SEARCH("#",B3056)),VALUE(MID(B3056,FIND("#",B3056)+1,1000)),1)</f>
        <v>4</v>
      </c>
      <c r="H3056" t="str">
        <f>IF(AND(regexMatch(B3056,".*#[0-9]*$"),ISNUMBER(SEARCH("#",B3056))),CONCATENATE(TRIM(F3056)," #",G3056),B3056)</f>
        <v>Pile of Binders #4</v>
      </c>
    </row>
    <row r="3057" spans="1:8" ht="15.75" thickBot="1" x14ac:dyDescent="0.3">
      <c r="A3057" s="1" t="s">
        <v>5411</v>
      </c>
      <c r="B3057" s="1" t="s">
        <v>9859</v>
      </c>
      <c r="C3057" s="1"/>
      <c r="D3057" s="2" t="s">
        <v>182</v>
      </c>
      <c r="E3057" s="3" t="str">
        <f>IF(ISERROR(VLOOKUP(B3057,Failures!$A$1:$A$4000,1,FALSE)),"Keep","Delete")</f>
        <v>Keep</v>
      </c>
      <c r="F3057" t="str">
        <f>IF(ISNUMBER(SEARCH("#",B3057)), LEFT(B3057,FIND("#",B3057)-1), B3057)</f>
        <v xml:space="preserve">Pile of Documents </v>
      </c>
      <c r="G3057" s="26">
        <f>IF(ISNUMBER(SEARCH("#",B3057)),VALUE(MID(B3057,FIND("#",B3057)+1,1000)),1)</f>
        <v>1</v>
      </c>
      <c r="H3057" t="str">
        <f>IF(AND(regexMatch(B3057,".*#[0-9]*$"),ISNUMBER(SEARCH("#",B3057))),CONCATENATE(TRIM(F3057)," #",G3057),B3057)</f>
        <v>Pile of Documents #1</v>
      </c>
    </row>
    <row r="3058" spans="1:8" ht="15.75" thickBot="1" x14ac:dyDescent="0.3">
      <c r="A3058" s="1" t="s">
        <v>5410</v>
      </c>
      <c r="B3058" s="1" t="s">
        <v>9860</v>
      </c>
      <c r="C3058" s="1"/>
      <c r="D3058" s="2" t="s">
        <v>182</v>
      </c>
      <c r="E3058" s="3" t="str">
        <f>IF(ISERROR(VLOOKUP(B3058,Failures!$A$1:$A$4000,1,FALSE)),"Keep","Delete")</f>
        <v>Keep</v>
      </c>
      <c r="F3058" t="str">
        <f>IF(ISNUMBER(SEARCH("#",B3058)), LEFT(B3058,FIND("#",B3058)-1), B3058)</f>
        <v xml:space="preserve">Pile of Documents </v>
      </c>
      <c r="G3058" s="26">
        <f>IF(ISNUMBER(SEARCH("#",B3058)),VALUE(MID(B3058,FIND("#",B3058)+1,1000)),1)</f>
        <v>2</v>
      </c>
      <c r="H3058" t="str">
        <f>IF(AND(regexMatch(B3058,".*#[0-9]*$"),ISNUMBER(SEARCH("#",B3058))),CONCATENATE(TRIM(F3058)," #",G3058),B3058)</f>
        <v>Pile of Documents #2</v>
      </c>
    </row>
    <row r="3059" spans="1:8" ht="15.75" thickBot="1" x14ac:dyDescent="0.3">
      <c r="A3059" s="1" t="s">
        <v>5409</v>
      </c>
      <c r="B3059" s="1" t="s">
        <v>9861</v>
      </c>
      <c r="C3059" s="1"/>
      <c r="D3059" s="2" t="s">
        <v>182</v>
      </c>
      <c r="E3059" s="3" t="str">
        <f>IF(ISERROR(VLOOKUP(B3059,Failures!$A$1:$A$4000,1,FALSE)),"Keep","Delete")</f>
        <v>Keep</v>
      </c>
      <c r="F3059" t="str">
        <f>IF(ISNUMBER(SEARCH("#",B3059)), LEFT(B3059,FIND("#",B3059)-1), B3059)</f>
        <v xml:space="preserve">Pile of Documents </v>
      </c>
      <c r="G3059" s="26">
        <f>IF(ISNUMBER(SEARCH("#",B3059)),VALUE(MID(B3059,FIND("#",B3059)+1,1000)),1)</f>
        <v>3</v>
      </c>
      <c r="H3059" t="str">
        <f>IF(AND(regexMatch(B3059,".*#[0-9]*$"),ISNUMBER(SEARCH("#",B3059))),CONCATENATE(TRIM(F3059)," #",G3059),B3059)</f>
        <v>Pile of Documents #3</v>
      </c>
    </row>
    <row r="3060" spans="1:8" ht="15.75" thickBot="1" x14ac:dyDescent="0.3">
      <c r="A3060" s="27" t="s">
        <v>7308</v>
      </c>
      <c r="B3060" s="22" t="s">
        <v>10609</v>
      </c>
      <c r="C3060" s="1"/>
      <c r="D3060" s="2" t="s">
        <v>182</v>
      </c>
      <c r="E3060" s="3" t="str">
        <f>IF(ISERROR(VLOOKUP(B3060,Failures!$A$1:$A$4000,1,FALSE)),"Keep","Delete")</f>
        <v>Keep</v>
      </c>
      <c r="F3060" t="str">
        <f>IF(ISNUMBER(SEARCH("#",B3060)), LEFT(B3060,FIND("#",B3060)-1), B3060)</f>
        <v xml:space="preserve">Planning Board </v>
      </c>
      <c r="G3060" s="26">
        <f>IF(ISNUMBER(SEARCH("#",B3060)),VALUE(MID(B3060,FIND("#",B3060)+1,1000)),1)</f>
        <v>1</v>
      </c>
      <c r="H3060" t="str">
        <f>IF(AND(regexMatch(B3060,".*#[0-9]*$"),ISNUMBER(SEARCH("#",B3060))),CONCATENATE(TRIM(F3060)," #",G3060),B3060)</f>
        <v>Planning Board #1</v>
      </c>
    </row>
    <row r="3061" spans="1:8" ht="15.75" thickBot="1" x14ac:dyDescent="0.3">
      <c r="A3061" s="27" t="s">
        <v>7307</v>
      </c>
      <c r="B3061" s="22" t="s">
        <v>10610</v>
      </c>
      <c r="C3061" s="1"/>
      <c r="D3061" s="2" t="s">
        <v>182</v>
      </c>
      <c r="E3061" s="3" t="str">
        <f>IF(ISERROR(VLOOKUP(B3061,Failures!$A$1:$A$4000,1,FALSE)),"Keep","Delete")</f>
        <v>Keep</v>
      </c>
      <c r="F3061" t="str">
        <f>IF(ISNUMBER(SEARCH("#",B3061)), LEFT(B3061,FIND("#",B3061)-1), B3061)</f>
        <v xml:space="preserve">Planning Board </v>
      </c>
      <c r="G3061" s="26">
        <f>IF(ISNUMBER(SEARCH("#",B3061)),VALUE(MID(B3061,FIND("#",B3061)+1,1000)),1)</f>
        <v>2</v>
      </c>
      <c r="H3061" t="str">
        <f>IF(AND(regexMatch(B3061,".*#[0-9]*$"),ISNUMBER(SEARCH("#",B3061))),CONCATENATE(TRIM(F3061)," #",G3061),B3061)</f>
        <v>Planning Board #2</v>
      </c>
    </row>
    <row r="3062" spans="1:8" ht="15.75" thickBot="1" x14ac:dyDescent="0.3">
      <c r="A3062" s="27" t="s">
        <v>7306</v>
      </c>
      <c r="B3062" s="22" t="s">
        <v>10611</v>
      </c>
      <c r="C3062" s="1"/>
      <c r="D3062" s="2" t="s">
        <v>182</v>
      </c>
      <c r="E3062" s="3" t="str">
        <f>IF(ISERROR(VLOOKUP(B3062,Failures!$A$1:$A$4000,1,FALSE)),"Keep","Delete")</f>
        <v>Keep</v>
      </c>
      <c r="F3062" t="str">
        <f>IF(ISNUMBER(SEARCH("#",B3062)), LEFT(B3062,FIND("#",B3062)-1), B3062)</f>
        <v xml:space="preserve">Planning Board </v>
      </c>
      <c r="G3062" s="26">
        <f>IF(ISNUMBER(SEARCH("#",B3062)),VALUE(MID(B3062,FIND("#",B3062)+1,1000)),1)</f>
        <v>3</v>
      </c>
      <c r="H3062" t="str">
        <f>IF(AND(regexMatch(B3062,".*#[0-9]*$"),ISNUMBER(SEARCH("#",B3062))),CONCATENATE(TRIM(F3062)," #",G3062),B3062)</f>
        <v>Planning Board #3</v>
      </c>
    </row>
    <row r="3063" spans="1:8" ht="15.75" thickBot="1" x14ac:dyDescent="0.3">
      <c r="A3063" s="27" t="s">
        <v>7305</v>
      </c>
      <c r="B3063" s="22" t="s">
        <v>10612</v>
      </c>
      <c r="C3063" s="1"/>
      <c r="D3063" s="2" t="s">
        <v>182</v>
      </c>
      <c r="E3063" s="3" t="str">
        <f>IF(ISERROR(VLOOKUP(B3063,Failures!$A$1:$A$4000,1,FALSE)),"Keep","Delete")</f>
        <v>Keep</v>
      </c>
      <c r="F3063" t="str">
        <f>IF(ISNUMBER(SEARCH("#",B3063)), LEFT(B3063,FIND("#",B3063)-1), B3063)</f>
        <v xml:space="preserve">Planning Board </v>
      </c>
      <c r="G3063" s="26">
        <f>IF(ISNUMBER(SEARCH("#",B3063)),VALUE(MID(B3063,FIND("#",B3063)+1,1000)),1)</f>
        <v>4</v>
      </c>
      <c r="H3063" t="str">
        <f>IF(AND(regexMatch(B3063,".*#[0-9]*$"),ISNUMBER(SEARCH("#",B3063))),CONCATENATE(TRIM(F3063)," #",G3063),B3063)</f>
        <v>Planning Board #4</v>
      </c>
    </row>
    <row r="3064" spans="1:8" ht="15.75" thickBot="1" x14ac:dyDescent="0.3">
      <c r="A3064" s="1" t="s">
        <v>2555</v>
      </c>
      <c r="B3064" s="1" t="s">
        <v>2556</v>
      </c>
      <c r="C3064" s="2" t="s">
        <v>5</v>
      </c>
      <c r="D3064" s="2" t="s">
        <v>182</v>
      </c>
      <c r="E3064" s="3" t="str">
        <f>IF(ISERROR(VLOOKUP(B3064,Failures!$A$1:$A$4000,1,FALSE)),"Keep","Delete")</f>
        <v>Keep</v>
      </c>
      <c r="F3064" t="str">
        <f>IF(ISNUMBER(SEARCH("#",B3064)), LEFT(B3064,FIND("#",B3064)-1), B3064)</f>
        <v xml:space="preserve">Poster Tube </v>
      </c>
      <c r="G3064" s="26">
        <f>IF(ISNUMBER(SEARCH("#",B3064)),VALUE(MID(B3064,FIND("#",B3064)+1,1000)),1)</f>
        <v>1</v>
      </c>
      <c r="H3064" t="str">
        <f>IF(AND(regexMatch(B3064,".*#[0-9]*$"),ISNUMBER(SEARCH("#",B3064))),CONCATENATE(TRIM(F3064)," #",G3064),B3064)</f>
        <v>Poster Tube #1</v>
      </c>
    </row>
    <row r="3065" spans="1:8" ht="15.75" thickBot="1" x14ac:dyDescent="0.3">
      <c r="A3065" s="1" t="s">
        <v>2557</v>
      </c>
      <c r="B3065" s="1" t="s">
        <v>2558</v>
      </c>
      <c r="C3065" s="2" t="s">
        <v>5</v>
      </c>
      <c r="D3065" s="2" t="s">
        <v>182</v>
      </c>
      <c r="E3065" s="3" t="str">
        <f>IF(ISERROR(VLOOKUP(B3065,Failures!$A$1:$A$4000,1,FALSE)),"Keep","Delete")</f>
        <v>Keep</v>
      </c>
      <c r="F3065" t="str">
        <f>IF(ISNUMBER(SEARCH("#",B3065)), LEFT(B3065,FIND("#",B3065)-1), B3065)</f>
        <v xml:space="preserve">Poster Tube </v>
      </c>
      <c r="G3065" s="26">
        <f>IF(ISNUMBER(SEARCH("#",B3065)),VALUE(MID(B3065,FIND("#",B3065)+1,1000)),1)</f>
        <v>2</v>
      </c>
      <c r="H3065" t="str">
        <f>IF(AND(regexMatch(B3065,".*#[0-9]*$"),ISNUMBER(SEARCH("#",B3065))),CONCATENATE(TRIM(F3065)," #",G3065),B3065)</f>
        <v>Poster Tube #2</v>
      </c>
    </row>
    <row r="3066" spans="1:8" ht="15.75" thickBot="1" x14ac:dyDescent="0.3">
      <c r="A3066" s="27" t="s">
        <v>7396</v>
      </c>
      <c r="B3066" s="22" t="s">
        <v>10618</v>
      </c>
      <c r="C3066" s="1"/>
      <c r="D3066" s="2" t="s">
        <v>182</v>
      </c>
      <c r="E3066" s="3" t="str">
        <f>IF(ISERROR(VLOOKUP(B3066,Failures!$A$1:$A$4000,1,FALSE)),"Keep","Delete")</f>
        <v>Keep</v>
      </c>
      <c r="F3066" t="str">
        <f>IF(ISNUMBER(SEARCH("#",B3066)), LEFT(B3066,FIND("#",B3066)-1), B3066)</f>
        <v>Ringbinder Open</v>
      </c>
      <c r="G3066" s="26">
        <f>IF(ISNUMBER(SEARCH("#",B3066)),VALUE(MID(B3066,FIND("#",B3066)+1,1000)),1)</f>
        <v>1</v>
      </c>
      <c r="H3066" t="str">
        <f>IF(AND(regexMatch(B3066,".*#[0-9]*$"),ISNUMBER(SEARCH("#",B3066))),CONCATENATE(TRIM(F3066)," #",G3066),B3066)</f>
        <v>Ringbinder Open</v>
      </c>
    </row>
    <row r="3067" spans="1:8" ht="15.75" thickBot="1" x14ac:dyDescent="0.3">
      <c r="A3067" s="27" t="s">
        <v>7222</v>
      </c>
      <c r="B3067" s="22" t="s">
        <v>10708</v>
      </c>
      <c r="C3067" s="1"/>
      <c r="D3067" s="2" t="s">
        <v>182</v>
      </c>
      <c r="E3067" s="3" t="str">
        <f>IF(ISERROR(VLOOKUP(B3067,Failures!$A$1:$A$4000,1,FALSE)),"Keep","Delete")</f>
        <v>Keep</v>
      </c>
      <c r="F3067" t="str">
        <f>IF(ISNUMBER(SEARCH("#",B3067)), LEFT(B3067,FIND("#",B3067)-1), B3067)</f>
        <v>Shredder</v>
      </c>
      <c r="G3067" s="26">
        <f>IF(ISNUMBER(SEARCH("#",B3067)),VALUE(MID(B3067,FIND("#",B3067)+1,1000)),1)</f>
        <v>1</v>
      </c>
      <c r="H3067" t="str">
        <f>IF(AND(regexMatch(B3067,".*#[0-9]*$"),ISNUMBER(SEARCH("#",B3067))),CONCATENATE(TRIM(F3067)," #",G3067),B3067)</f>
        <v>Shredder</v>
      </c>
    </row>
    <row r="3068" spans="1:8" ht="15.75" thickBot="1" x14ac:dyDescent="0.3">
      <c r="A3068" s="1" t="s">
        <v>3123</v>
      </c>
      <c r="B3068" s="1" t="s">
        <v>3124</v>
      </c>
      <c r="C3068" s="2" t="s">
        <v>5</v>
      </c>
      <c r="D3068" s="2" t="s">
        <v>182</v>
      </c>
      <c r="E3068" s="3" t="str">
        <f>IF(ISERROR(VLOOKUP(B3068,Failures!$A$1:$A$4000,1,FALSE)),"Keep","Delete")</f>
        <v>Keep</v>
      </c>
      <c r="F3068" t="str">
        <f>IF(ISNUMBER(SEARCH("#",B3068)), LEFT(B3068,FIND("#",B3068)-1), B3068)</f>
        <v>Tea Trolley</v>
      </c>
      <c r="G3068" s="26">
        <f>IF(ISNUMBER(SEARCH("#",B3068)),VALUE(MID(B3068,FIND("#",B3068)+1,1000)),1)</f>
        <v>1</v>
      </c>
      <c r="H3068" t="str">
        <f>IF(AND(regexMatch(B3068,".*#[0-9]*$"),ISNUMBER(SEARCH("#",B3068))),CONCATENATE(TRIM(F3068)," #",G3068),B3068)</f>
        <v>Tea Trolley</v>
      </c>
    </row>
    <row r="3069" spans="1:8" ht="15.75" thickBot="1" x14ac:dyDescent="0.3">
      <c r="A3069" s="1" t="s">
        <v>5343</v>
      </c>
      <c r="B3069" s="1" t="s">
        <v>10488</v>
      </c>
      <c r="C3069" s="1"/>
      <c r="D3069" s="2" t="s">
        <v>182</v>
      </c>
      <c r="E3069" s="3" t="str">
        <f>IF(ISERROR(VLOOKUP(B3069,Failures!$A$1:$A$4000,1,FALSE)),"Keep","Delete")</f>
        <v>Keep</v>
      </c>
      <c r="F3069" t="str">
        <f>IF(ISNUMBER(SEARCH("#",B3069)), LEFT(B3069,FIND("#",B3069)-1), B3069)</f>
        <v>Water Cooler</v>
      </c>
      <c r="G3069" s="26">
        <f>IF(ISNUMBER(SEARCH("#",B3069)),VALUE(MID(B3069,FIND("#",B3069)+1,1000)),1)</f>
        <v>1</v>
      </c>
      <c r="H3069" t="str">
        <f>IF(AND(regexMatch(B3069,".*#[0-9]*$"),ISNUMBER(SEARCH("#",B3069))),CONCATENATE(TRIM(F3069)," #",G3069),B3069)</f>
        <v>Water Cooler</v>
      </c>
    </row>
    <row r="3070" spans="1:8" ht="15.75" thickBot="1" x14ac:dyDescent="0.3">
      <c r="A3070" s="1" t="s">
        <v>3379</v>
      </c>
      <c r="B3070" s="1" t="s">
        <v>3380</v>
      </c>
      <c r="C3070" s="2" t="s">
        <v>5</v>
      </c>
      <c r="D3070" s="2" t="s">
        <v>182</v>
      </c>
      <c r="E3070" s="3" t="str">
        <f>IF(ISERROR(VLOOKUP(B3070,Failures!$A$1:$A$4000,1,FALSE)),"Keep","Delete")</f>
        <v>Keep</v>
      </c>
      <c r="F3070" t="str">
        <f>IF(ISNUMBER(SEARCH("#",B3070)), LEFT(B3070,FIND("#",B3070)-1), B3070)</f>
        <v>Water Cooler Bottle</v>
      </c>
      <c r="G3070" s="26">
        <f>IF(ISNUMBER(SEARCH("#",B3070)),VALUE(MID(B3070,FIND("#",B3070)+1,1000)),1)</f>
        <v>1</v>
      </c>
      <c r="H3070" t="str">
        <f>IF(AND(regexMatch(B3070,".*#[0-9]*$"),ISNUMBER(SEARCH("#",B3070))),CONCATENATE(TRIM(F3070)," #",G3070),B3070)</f>
        <v>Water Cooler Bottle</v>
      </c>
    </row>
    <row r="3071" spans="1:8" ht="15.75" thickBot="1" x14ac:dyDescent="0.3">
      <c r="A3071" s="1" t="s">
        <v>3381</v>
      </c>
      <c r="B3071" s="1" t="s">
        <v>3382</v>
      </c>
      <c r="C3071" s="2" t="s">
        <v>5</v>
      </c>
      <c r="D3071" s="2" t="s">
        <v>182</v>
      </c>
      <c r="E3071" s="3" t="str">
        <f>IF(ISERROR(VLOOKUP(B3071,Failures!$A$1:$A$4000,1,FALSE)),"Keep","Delete")</f>
        <v>Keep</v>
      </c>
      <c r="F3071" t="str">
        <f>IF(ISNUMBER(SEARCH("#",B3071)), LEFT(B3071,FIND("#",B3071)-1), B3071)</f>
        <v>Water Cooler Bottle Dark</v>
      </c>
      <c r="G3071" s="26">
        <f>IF(ISNUMBER(SEARCH("#",B3071)),VALUE(MID(B3071,FIND("#",B3071)+1,1000)),1)</f>
        <v>1</v>
      </c>
      <c r="H3071" t="str">
        <f>IF(AND(regexMatch(B3071,".*#[0-9]*$"),ISNUMBER(SEARCH("#",B3071))),CONCATENATE(TRIM(F3071)," #",G3071),B3071)</f>
        <v>Water Cooler Bottle Dark</v>
      </c>
    </row>
    <row r="3072" spans="1:8" ht="15.75" thickBot="1" x14ac:dyDescent="0.3">
      <c r="A3072" s="1" t="s">
        <v>5342</v>
      </c>
      <c r="B3072" s="1" t="s">
        <v>10489</v>
      </c>
      <c r="C3072" s="1"/>
      <c r="D3072" s="2" t="s">
        <v>182</v>
      </c>
      <c r="E3072" s="3" t="str">
        <f>IF(ISERROR(VLOOKUP(B3072,Failures!$A$1:$A$4000,1,FALSE)),"Keep","Delete")</f>
        <v>Keep</v>
      </c>
      <c r="F3072" t="str">
        <f>IF(ISNUMBER(SEARCH("#",B3072)), LEFT(B3072,FIND("#",B3072)-1), B3072)</f>
        <v>Water Cooler Dark</v>
      </c>
      <c r="G3072" s="26">
        <f>IF(ISNUMBER(SEARCH("#",B3072)),VALUE(MID(B3072,FIND("#",B3072)+1,1000)),1)</f>
        <v>1</v>
      </c>
      <c r="H3072" t="str">
        <f>IF(AND(regexMatch(B3072,".*#[0-9]*$"),ISNUMBER(SEARCH("#",B3072))),CONCATENATE(TRIM(F3072)," #",G3072),B3072)</f>
        <v>Water Cooler Dark</v>
      </c>
    </row>
    <row r="3073" spans="1:8" ht="15.75" thickBot="1" x14ac:dyDescent="0.3">
      <c r="A3073" s="1" t="s">
        <v>3368</v>
      </c>
      <c r="B3073" s="1" t="s">
        <v>3944</v>
      </c>
      <c r="C3073" s="2" t="s">
        <v>5</v>
      </c>
      <c r="D3073" s="2" t="s">
        <v>182</v>
      </c>
      <c r="E3073" s="3" t="str">
        <f>IF(ISERROR(VLOOKUP(B3073,Failures!$A$1:$A$4000,1,FALSE)),"Keep","Delete")</f>
        <v>Keep</v>
      </c>
      <c r="F3073" t="str">
        <f>IF(ISNUMBER(SEARCH("#",B3073)), LEFT(B3073,FIND("#",B3073)-1), B3073)</f>
        <v xml:space="preserve">Whiteboard </v>
      </c>
      <c r="G3073" s="26">
        <f>IF(ISNUMBER(SEARCH("#",B3073)),VALUE(MID(B3073,FIND("#",B3073)+1,1000)),1)</f>
        <v>1</v>
      </c>
      <c r="H3073" t="str">
        <f>IF(AND(regexMatch(B3073,".*#[0-9]*$"),ISNUMBER(SEARCH("#",B3073))),CONCATENATE(TRIM(F3073)," #",G3073),B3073)</f>
        <v>Whiteboard #1</v>
      </c>
    </row>
    <row r="3074" spans="1:8" ht="15.75" thickBot="1" x14ac:dyDescent="0.3">
      <c r="A3074" s="1" t="s">
        <v>3369</v>
      </c>
      <c r="B3074" s="1" t="s">
        <v>3370</v>
      </c>
      <c r="C3074" s="2" t="s">
        <v>5</v>
      </c>
      <c r="D3074" s="2" t="s">
        <v>182</v>
      </c>
      <c r="E3074" s="3" t="str">
        <f>IF(ISERROR(VLOOKUP(B3074,Failures!$A$1:$A$4000,1,FALSE)),"Keep","Delete")</f>
        <v>Keep</v>
      </c>
      <c r="F3074" t="str">
        <f>IF(ISNUMBER(SEARCH("#",B3074)), LEFT(B3074,FIND("#",B3074)-1), B3074)</f>
        <v xml:space="preserve">Whiteboard </v>
      </c>
      <c r="G3074" s="26">
        <f>IF(ISNUMBER(SEARCH("#",B3074)),VALUE(MID(B3074,FIND("#",B3074)+1,1000)),1)</f>
        <v>2</v>
      </c>
      <c r="H3074" t="str">
        <f>IF(AND(regexMatch(B3074,".*#[0-9]*$"),ISNUMBER(SEARCH("#",B3074))),CONCATENATE(TRIM(F3074)," #",G3074),B3074)</f>
        <v>Whiteboard #2</v>
      </c>
    </row>
    <row r="3075" spans="1:8" ht="15.75" thickBot="1" x14ac:dyDescent="0.3">
      <c r="A3075" s="1" t="s">
        <v>2307</v>
      </c>
      <c r="B3075" s="1" t="s">
        <v>2308</v>
      </c>
      <c r="C3075" s="2" t="s">
        <v>5</v>
      </c>
      <c r="D3075" s="2" t="s">
        <v>1129</v>
      </c>
      <c r="E3075" s="3" t="str">
        <f>IF(ISERROR(VLOOKUP(B3075,Failures!$A$1:$A$4000,1,FALSE)),"Keep","Delete")</f>
        <v>Keep</v>
      </c>
      <c r="F3075" t="str">
        <f>IF(ISNUMBER(SEARCH("#",B3075)), LEFT(B3075,FIND("#",B3075)-1), B3075)</f>
        <v>Box Of Wallpaper</v>
      </c>
      <c r="G3075" s="26">
        <f>IF(ISNUMBER(SEARCH("#",B3075)),VALUE(MID(B3075,FIND("#",B3075)+1,1000)),1)</f>
        <v>1</v>
      </c>
      <c r="H3075" t="str">
        <f>IF(AND(regexMatch(B3075,".*#[0-9]*$"),ISNUMBER(SEARCH("#",B3075))),CONCATENATE(TRIM(F3075)," #",G3075),B3075)</f>
        <v>Box Of Wallpaper</v>
      </c>
    </row>
    <row r="3076" spans="1:8" ht="15.75" thickBot="1" x14ac:dyDescent="0.3">
      <c r="A3076" s="1" t="s">
        <v>2309</v>
      </c>
      <c r="B3076" s="1" t="s">
        <v>2310</v>
      </c>
      <c r="C3076" s="2" t="s">
        <v>5</v>
      </c>
      <c r="D3076" s="2" t="s">
        <v>1129</v>
      </c>
      <c r="E3076" s="3" t="str">
        <f>IF(ISERROR(VLOOKUP(B3076,Failures!$A$1:$A$4000,1,FALSE)),"Keep","Delete")</f>
        <v>Keep</v>
      </c>
      <c r="F3076" t="str">
        <f>IF(ISNUMBER(SEARCH("#",B3076)), LEFT(B3076,FIND("#",B3076)-1), B3076)</f>
        <v xml:space="preserve">Paint Can </v>
      </c>
      <c r="G3076" s="26">
        <f>IF(ISNUMBER(SEARCH("#",B3076)),VALUE(MID(B3076,FIND("#",B3076)+1,1000)),1)</f>
        <v>1</v>
      </c>
      <c r="H3076" t="str">
        <f>IF(AND(regexMatch(B3076,".*#[0-9]*$"),ISNUMBER(SEARCH("#",B3076))),CONCATENATE(TRIM(F3076)," #",G3076),B3076)</f>
        <v>Paint Can #1</v>
      </c>
    </row>
    <row r="3077" spans="1:8" ht="15.75" thickBot="1" x14ac:dyDescent="0.3">
      <c r="A3077" s="1" t="s">
        <v>2311</v>
      </c>
      <c r="B3077" s="1" t="s">
        <v>2312</v>
      </c>
      <c r="C3077" s="2" t="s">
        <v>5</v>
      </c>
      <c r="D3077" s="2" t="s">
        <v>1129</v>
      </c>
      <c r="E3077" s="3" t="str">
        <f>IF(ISERROR(VLOOKUP(B3077,Failures!$A$1:$A$4000,1,FALSE)),"Keep","Delete")</f>
        <v>Keep</v>
      </c>
      <c r="F3077" t="str">
        <f>IF(ISNUMBER(SEARCH("#",B3077)), LEFT(B3077,FIND("#",B3077)-1), B3077)</f>
        <v xml:space="preserve">Paint Can </v>
      </c>
      <c r="G3077" s="26">
        <f>IF(ISNUMBER(SEARCH("#",B3077)),VALUE(MID(B3077,FIND("#",B3077)+1,1000)),1)</f>
        <v>2</v>
      </c>
      <c r="H3077" t="str">
        <f>IF(AND(regexMatch(B3077,".*#[0-9]*$"),ISNUMBER(SEARCH("#",B3077))),CONCATENATE(TRIM(F3077)," #",G3077),B3077)</f>
        <v>Paint Can #2</v>
      </c>
    </row>
    <row r="3078" spans="1:8" ht="15.75" thickBot="1" x14ac:dyDescent="0.3">
      <c r="A3078" s="1" t="s">
        <v>2313</v>
      </c>
      <c r="B3078" s="1" t="s">
        <v>2314</v>
      </c>
      <c r="C3078" s="2" t="s">
        <v>5</v>
      </c>
      <c r="D3078" s="2" t="s">
        <v>1129</v>
      </c>
      <c r="E3078" s="3" t="str">
        <f>IF(ISERROR(VLOOKUP(B3078,Failures!$A$1:$A$4000,1,FALSE)),"Keep","Delete")</f>
        <v>Keep</v>
      </c>
      <c r="F3078" t="str">
        <f>IF(ISNUMBER(SEARCH("#",B3078)), LEFT(B3078,FIND("#",B3078)-1), B3078)</f>
        <v xml:space="preserve">Paint Can </v>
      </c>
      <c r="G3078" s="26">
        <f>IF(ISNUMBER(SEARCH("#",B3078)),VALUE(MID(B3078,FIND("#",B3078)+1,1000)),1)</f>
        <v>3</v>
      </c>
      <c r="H3078" t="str">
        <f>IF(AND(regexMatch(B3078,".*#[0-9]*$"),ISNUMBER(SEARCH("#",B3078))),CONCATENATE(TRIM(F3078)," #",G3078),B3078)</f>
        <v>Paint Can #3</v>
      </c>
    </row>
    <row r="3079" spans="1:8" ht="15.75" thickBot="1" x14ac:dyDescent="0.3">
      <c r="A3079" s="1" t="s">
        <v>2315</v>
      </c>
      <c r="B3079" s="1" t="s">
        <v>2316</v>
      </c>
      <c r="C3079" s="2" t="s">
        <v>5</v>
      </c>
      <c r="D3079" s="2" t="s">
        <v>1129</v>
      </c>
      <c r="E3079" s="3" t="str">
        <f>IF(ISERROR(VLOOKUP(B3079,Failures!$A$1:$A$4000,1,FALSE)),"Keep","Delete")</f>
        <v>Keep</v>
      </c>
      <c r="F3079" t="str">
        <f>IF(ISNUMBER(SEARCH("#",B3079)), LEFT(B3079,FIND("#",B3079)-1), B3079)</f>
        <v xml:space="preserve">Paint Can </v>
      </c>
      <c r="G3079" s="26">
        <f>IF(ISNUMBER(SEARCH("#",B3079)),VALUE(MID(B3079,FIND("#",B3079)+1,1000)),1)</f>
        <v>4</v>
      </c>
      <c r="H3079" t="str">
        <f>IF(AND(regexMatch(B3079,".*#[0-9]*$"),ISNUMBER(SEARCH("#",B3079))),CONCATENATE(TRIM(F3079)," #",G3079),B3079)</f>
        <v>Paint Can #4</v>
      </c>
    </row>
    <row r="3080" spans="1:8" ht="15.75" thickBot="1" x14ac:dyDescent="0.3">
      <c r="A3080" s="1" t="s">
        <v>2317</v>
      </c>
      <c r="B3080" s="1" t="s">
        <v>2318</v>
      </c>
      <c r="C3080" s="2" t="s">
        <v>5</v>
      </c>
      <c r="D3080" s="2" t="s">
        <v>1129</v>
      </c>
      <c r="E3080" s="3" t="str">
        <f>IF(ISERROR(VLOOKUP(B3080,Failures!$A$1:$A$4000,1,FALSE)),"Keep","Delete")</f>
        <v>Keep</v>
      </c>
      <c r="F3080" t="str">
        <f>IF(ISNUMBER(SEARCH("#",B3080)), LEFT(B3080,FIND("#",B3080)-1), B3080)</f>
        <v xml:space="preserve">Paint Can </v>
      </c>
      <c r="G3080" s="26">
        <f>IF(ISNUMBER(SEARCH("#",B3080)),VALUE(MID(B3080,FIND("#",B3080)+1,1000)),1)</f>
        <v>5</v>
      </c>
      <c r="H3080" t="str">
        <f>IF(AND(regexMatch(B3080,".*#[0-9]*$"),ISNUMBER(SEARCH("#",B3080))),CONCATENATE(TRIM(F3080)," #",G3080),B3080)</f>
        <v>Paint Can #5</v>
      </c>
    </row>
    <row r="3081" spans="1:8" ht="15.75" thickBot="1" x14ac:dyDescent="0.3">
      <c r="A3081" s="1" t="s">
        <v>2319</v>
      </c>
      <c r="B3081" s="1" t="s">
        <v>2320</v>
      </c>
      <c r="C3081" s="2" t="s">
        <v>5</v>
      </c>
      <c r="D3081" s="2" t="s">
        <v>1129</v>
      </c>
      <c r="E3081" s="3" t="str">
        <f>IF(ISERROR(VLOOKUP(B3081,Failures!$A$1:$A$4000,1,FALSE)),"Keep","Delete")</f>
        <v>Keep</v>
      </c>
      <c r="F3081" t="str">
        <f>IF(ISNUMBER(SEARCH("#",B3081)), LEFT(B3081,FIND("#",B3081)-1), B3081)</f>
        <v xml:space="preserve">Paint Can </v>
      </c>
      <c r="G3081" s="26">
        <f>IF(ISNUMBER(SEARCH("#",B3081)),VALUE(MID(B3081,FIND("#",B3081)+1,1000)),1)</f>
        <v>6</v>
      </c>
      <c r="H3081" t="str">
        <f>IF(AND(regexMatch(B3081,".*#[0-9]*$"),ISNUMBER(SEARCH("#",B3081))),CONCATENATE(TRIM(F3081)," #",G3081),B3081)</f>
        <v>Paint Can #6</v>
      </c>
    </row>
    <row r="3082" spans="1:8" ht="15.75" thickBot="1" x14ac:dyDescent="0.3">
      <c r="A3082" s="1" t="s">
        <v>2321</v>
      </c>
      <c r="B3082" s="1" t="s">
        <v>2322</v>
      </c>
      <c r="C3082" s="2" t="s">
        <v>5</v>
      </c>
      <c r="D3082" s="2" t="s">
        <v>1129</v>
      </c>
      <c r="E3082" s="3" t="str">
        <f>IF(ISERROR(VLOOKUP(B3082,Failures!$A$1:$A$4000,1,FALSE)),"Keep","Delete")</f>
        <v>Keep</v>
      </c>
      <c r="F3082" t="str">
        <f>IF(ISNUMBER(SEARCH("#",B3082)), LEFT(B3082,FIND("#",B3082)-1), B3082)</f>
        <v xml:space="preserve">Paint Can </v>
      </c>
      <c r="G3082" s="26">
        <f>IF(ISNUMBER(SEARCH("#",B3082)),VALUE(MID(B3082,FIND("#",B3082)+1,1000)),1)</f>
        <v>7</v>
      </c>
      <c r="H3082" t="str">
        <f>IF(AND(regexMatch(B3082,".*#[0-9]*$"),ISNUMBER(SEARCH("#",B3082))),CONCATENATE(TRIM(F3082)," #",G3082),B3082)</f>
        <v>Paint Can #7</v>
      </c>
    </row>
    <row r="3083" spans="1:8" ht="15.75" thickBot="1" x14ac:dyDescent="0.3">
      <c r="A3083" s="1" t="s">
        <v>2305</v>
      </c>
      <c r="B3083" s="1" t="s">
        <v>2306</v>
      </c>
      <c r="C3083" s="2" t="s">
        <v>5</v>
      </c>
      <c r="D3083" s="2" t="s">
        <v>1129</v>
      </c>
      <c r="E3083" s="3" t="str">
        <f>IF(ISERROR(VLOOKUP(B3083,Failures!$A$1:$A$4000,1,FALSE)),"Keep","Delete")</f>
        <v>Keep</v>
      </c>
      <c r="F3083" t="str">
        <f>IF(ISNUMBER(SEARCH("#",B3083)), LEFT(B3083,FIND("#",B3083)-1), B3083)</f>
        <v>Paint Tray</v>
      </c>
      <c r="G3083" s="26">
        <f>IF(ISNUMBER(SEARCH("#",B3083)),VALUE(MID(B3083,FIND("#",B3083)+1,1000)),1)</f>
        <v>1</v>
      </c>
      <c r="H3083" t="str">
        <f>IF(AND(regexMatch(B3083,".*#[0-9]*$"),ISNUMBER(SEARCH("#",B3083))),CONCATENATE(TRIM(F3083)," #",G3083),B3083)</f>
        <v>Paint Tray</v>
      </c>
    </row>
    <row r="3084" spans="1:8" ht="15.75" thickBot="1" x14ac:dyDescent="0.3">
      <c r="A3084" s="1" t="s">
        <v>2299</v>
      </c>
      <c r="B3084" s="1" t="s">
        <v>2300</v>
      </c>
      <c r="C3084" s="2" t="s">
        <v>5</v>
      </c>
      <c r="D3084" s="2" t="s">
        <v>1129</v>
      </c>
      <c r="E3084" s="3" t="str">
        <f>IF(ISERROR(VLOOKUP(B3084,Failures!$A$1:$A$4000,1,FALSE)),"Keep","Delete")</f>
        <v>Keep</v>
      </c>
      <c r="F3084" t="str">
        <f>IF(ISNUMBER(SEARCH("#",B3084)), LEFT(B3084,FIND("#",B3084)-1), B3084)</f>
        <v xml:space="preserve">Painters Steps </v>
      </c>
      <c r="G3084" s="26">
        <f>IF(ISNUMBER(SEARCH("#",B3084)),VALUE(MID(B3084,FIND("#",B3084)+1,1000)),1)</f>
        <v>1</v>
      </c>
      <c r="H3084" t="str">
        <f>IF(AND(regexMatch(B3084,".*#[0-9]*$"),ISNUMBER(SEARCH("#",B3084))),CONCATENATE(TRIM(F3084)," #",G3084),B3084)</f>
        <v>Painters Steps #1</v>
      </c>
    </row>
    <row r="3085" spans="1:8" ht="15.75" thickBot="1" x14ac:dyDescent="0.3">
      <c r="A3085" s="1" t="s">
        <v>2301</v>
      </c>
      <c r="B3085" s="1" t="s">
        <v>2302</v>
      </c>
      <c r="C3085" s="2" t="s">
        <v>5</v>
      </c>
      <c r="D3085" s="2" t="s">
        <v>1129</v>
      </c>
      <c r="E3085" s="3" t="str">
        <f>IF(ISERROR(VLOOKUP(B3085,Failures!$A$1:$A$4000,1,FALSE)),"Keep","Delete")</f>
        <v>Keep</v>
      </c>
      <c r="F3085" t="str">
        <f>IF(ISNUMBER(SEARCH("#",B3085)), LEFT(B3085,FIND("#",B3085)-1), B3085)</f>
        <v xml:space="preserve">Painters Steps </v>
      </c>
      <c r="G3085" s="26">
        <f>IF(ISNUMBER(SEARCH("#",B3085)),VALUE(MID(B3085,FIND("#",B3085)+1,1000)),1)</f>
        <v>2</v>
      </c>
      <c r="H3085" t="str">
        <f>IF(AND(regexMatch(B3085,".*#[0-9]*$"),ISNUMBER(SEARCH("#",B3085))),CONCATENATE(TRIM(F3085)," #",G3085),B3085)</f>
        <v>Painters Steps #2</v>
      </c>
    </row>
    <row r="3086" spans="1:8" ht="15.75" thickBot="1" x14ac:dyDescent="0.3">
      <c r="A3086" s="1" t="s">
        <v>2303</v>
      </c>
      <c r="B3086" s="1" t="s">
        <v>2304</v>
      </c>
      <c r="C3086" s="2" t="s">
        <v>5</v>
      </c>
      <c r="D3086" s="2" t="s">
        <v>1129</v>
      </c>
      <c r="E3086" s="3" t="str">
        <f>IF(ISERROR(VLOOKUP(B3086,Failures!$A$1:$A$4000,1,FALSE)),"Keep","Delete")</f>
        <v>Keep</v>
      </c>
      <c r="F3086" t="str">
        <f>IF(ISNUMBER(SEARCH("#",B3086)), LEFT(B3086,FIND("#",B3086)-1), B3086)</f>
        <v xml:space="preserve">Painters Steps </v>
      </c>
      <c r="G3086" s="26">
        <f>IF(ISNUMBER(SEARCH("#",B3086)),VALUE(MID(B3086,FIND("#",B3086)+1,1000)),1)</f>
        <v>3</v>
      </c>
      <c r="H3086" t="str">
        <f>IF(AND(regexMatch(B3086,".*#[0-9]*$"),ISNUMBER(SEARCH("#",B3086))),CONCATENATE(TRIM(F3086)," #",G3086),B3086)</f>
        <v>Painters Steps #3</v>
      </c>
    </row>
    <row r="3087" spans="1:8" ht="15.75" thickBot="1" x14ac:dyDescent="0.3">
      <c r="A3087" s="1" t="s">
        <v>5593</v>
      </c>
      <c r="B3087" s="1" t="s">
        <v>10121</v>
      </c>
      <c r="C3087" s="1"/>
      <c r="D3087" s="2" t="s">
        <v>1129</v>
      </c>
      <c r="E3087" s="3" t="str">
        <f>IF(ISERROR(VLOOKUP(B3087,Failures!$A$1:$A$4000,1,FALSE)),"Keep","Delete")</f>
        <v>Keep</v>
      </c>
      <c r="F3087" t="str">
        <f>IF(ISNUMBER(SEARCH("#",B3087)), LEFT(B3087,FIND("#",B3087)-1), B3087)</f>
        <v>Paints On Bench</v>
      </c>
      <c r="G3087" s="26">
        <f>IF(ISNUMBER(SEARCH("#",B3087)),VALUE(MID(B3087,FIND("#",B3087)+1,1000)),1)</f>
        <v>1</v>
      </c>
      <c r="H3087" t="str">
        <f>IF(AND(regexMatch(B3087,".*#[0-9]*$"),ISNUMBER(SEARCH("#",B3087))),CONCATENATE(TRIM(F3087)," #",G3087),B3087)</f>
        <v>Paints On Bench</v>
      </c>
    </row>
    <row r="3088" spans="1:8" ht="15.75" thickBot="1" x14ac:dyDescent="0.3">
      <c r="A3088" s="1" t="s">
        <v>5592</v>
      </c>
      <c r="B3088" s="1" t="s">
        <v>10122</v>
      </c>
      <c r="C3088" s="1"/>
      <c r="D3088" s="2" t="s">
        <v>1129</v>
      </c>
      <c r="E3088" s="3" t="str">
        <f>IF(ISERROR(VLOOKUP(B3088,Failures!$A$1:$A$4000,1,FALSE)),"Keep","Delete")</f>
        <v>Keep</v>
      </c>
      <c r="F3088" t="str">
        <f>IF(ISNUMBER(SEARCH("#",B3088)), LEFT(B3088,FIND("#",B3088)-1), B3088)</f>
        <v>Paints On Pallet</v>
      </c>
      <c r="G3088" s="26">
        <f>IF(ISNUMBER(SEARCH("#",B3088)),VALUE(MID(B3088,FIND("#",B3088)+1,1000)),1)</f>
        <v>1</v>
      </c>
      <c r="H3088" t="str">
        <f>IF(AND(regexMatch(B3088,".*#[0-9]*$"),ISNUMBER(SEARCH("#",B3088))),CONCATENATE(TRIM(F3088)," #",G3088),B3088)</f>
        <v>Paints On Pallet</v>
      </c>
    </row>
    <row r="3089" spans="1:8" ht="15.75" thickBot="1" x14ac:dyDescent="0.3">
      <c r="A3089" s="1" t="s">
        <v>1127</v>
      </c>
      <c r="B3089" s="1" t="s">
        <v>1128</v>
      </c>
      <c r="C3089" s="4" t="s">
        <v>5</v>
      </c>
      <c r="D3089" s="2" t="s">
        <v>1129</v>
      </c>
      <c r="E3089" s="3" t="str">
        <f>IF(ISERROR(VLOOKUP(B3089,Failures!$A$1:$A$4000,1,FALSE)),"Keep","Delete")</f>
        <v>Keep</v>
      </c>
      <c r="F3089" t="str">
        <f>IF(ISNUMBER(SEARCH("#",B3089)), LEFT(B3089,FIND("#",B3089)-1), B3089)</f>
        <v>Spray Can</v>
      </c>
      <c r="G3089" s="26">
        <f>IF(ISNUMBER(SEARCH("#",B3089)),VALUE(MID(B3089,FIND("#",B3089)+1,1000)),1)</f>
        <v>1</v>
      </c>
      <c r="H3089" t="str">
        <f>IF(AND(regexMatch(B3089,".*#[0-9]*$"),ISNUMBER(SEARCH("#",B3089))),CONCATENATE(TRIM(F3089)," #",G3089),B3089)</f>
        <v>Spray Can</v>
      </c>
    </row>
    <row r="3090" spans="1:8" ht="15.75" thickBot="1" x14ac:dyDescent="0.3">
      <c r="A3090" s="1" t="s">
        <v>2295</v>
      </c>
      <c r="B3090" s="1" t="s">
        <v>2296</v>
      </c>
      <c r="C3090" s="4" t="s">
        <v>5</v>
      </c>
      <c r="D3090" s="2" t="s">
        <v>1129</v>
      </c>
      <c r="E3090" s="3" t="str">
        <f>IF(ISERROR(VLOOKUP(B3090,Failures!$A$1:$A$4000,1,FALSE)),"Keep","Delete")</f>
        <v>Keep</v>
      </c>
      <c r="F3090" t="str">
        <f>IF(ISNUMBER(SEARCH("#",B3090)), LEFT(B3090,FIND("#",B3090)-1), B3090)</f>
        <v xml:space="preserve">Spray Paint Can </v>
      </c>
      <c r="G3090" s="26">
        <f>IF(ISNUMBER(SEARCH("#",B3090)),VALUE(MID(B3090,FIND("#",B3090)+1,1000)),1)</f>
        <v>1</v>
      </c>
      <c r="H3090" t="str">
        <f>IF(AND(regexMatch(B3090,".*#[0-9]*$"),ISNUMBER(SEARCH("#",B3090))),CONCATENATE(TRIM(F3090)," #",G3090),B3090)</f>
        <v>Spray Paint Can #1</v>
      </c>
    </row>
    <row r="3091" spans="1:8" ht="15.75" thickBot="1" x14ac:dyDescent="0.3">
      <c r="A3091" s="1" t="s">
        <v>2297</v>
      </c>
      <c r="B3091" s="1" t="s">
        <v>2298</v>
      </c>
      <c r="C3091" s="4" t="s">
        <v>5</v>
      </c>
      <c r="D3091" s="2" t="s">
        <v>1129</v>
      </c>
      <c r="E3091" s="3" t="str">
        <f>IF(ISERROR(VLOOKUP(B3091,Failures!$A$1:$A$4000,1,FALSE)),"Keep","Delete")</f>
        <v>Keep</v>
      </c>
      <c r="F3091" t="str">
        <f>IF(ISNUMBER(SEARCH("#",B3091)), LEFT(B3091,FIND("#",B3091)-1), B3091)</f>
        <v xml:space="preserve">Spray Paint Can </v>
      </c>
      <c r="G3091" s="26">
        <f>IF(ISNUMBER(SEARCH("#",B3091)),VALUE(MID(B3091,FIND("#",B3091)+1,1000)),1)</f>
        <v>2</v>
      </c>
      <c r="H3091" t="str">
        <f>IF(AND(regexMatch(B3091,".*#[0-9]*$"),ISNUMBER(SEARCH("#",B3091))),CONCATENATE(TRIM(F3091)," #",G3091),B3091)</f>
        <v>Spray Paint Can #2</v>
      </c>
    </row>
    <row r="3092" spans="1:8" ht="15.75" thickBot="1" x14ac:dyDescent="0.3">
      <c r="A3092" s="1" t="s">
        <v>10</v>
      </c>
      <c r="B3092" s="1" t="s">
        <v>11</v>
      </c>
      <c r="C3092" s="2" t="s">
        <v>5</v>
      </c>
      <c r="D3092" s="2" t="s">
        <v>12</v>
      </c>
      <c r="E3092" s="3" t="str">
        <f>IF(ISERROR(VLOOKUP(B3092,Failures!$A$1:$A$4000,1,FALSE)),"Keep","Delete")</f>
        <v>Keep</v>
      </c>
      <c r="F3092" t="str">
        <f>IF(ISNUMBER(SEARCH("#",B3092)), LEFT(B3092,FIND("#",B3092)-1), B3092)</f>
        <v>A4 Pile</v>
      </c>
      <c r="G3092" s="26">
        <f>IF(ISNUMBER(SEARCH("#",B3092)),VALUE(MID(B3092,FIND("#",B3092)+1,1000)),1)</f>
        <v>1</v>
      </c>
      <c r="H3092" t="str">
        <f>IF(AND(regexMatch(B3092,".*#[0-9]*$"),ISNUMBER(SEARCH("#",B3092))),CONCATENATE(TRIM(F3092)," #",G3092),B3092)</f>
        <v>A4 Pile</v>
      </c>
    </row>
    <row r="3093" spans="1:8" ht="15.75" thickBot="1" x14ac:dyDescent="0.3">
      <c r="A3093" s="1" t="s">
        <v>13</v>
      </c>
      <c r="B3093" s="1" t="s">
        <v>14</v>
      </c>
      <c r="C3093" s="2" t="s">
        <v>5</v>
      </c>
      <c r="D3093" s="2" t="s">
        <v>12</v>
      </c>
      <c r="E3093" s="3" t="str">
        <f>IF(ISERROR(VLOOKUP(B3093,Failures!$A$1:$A$4000,1,FALSE)),"Keep","Delete")</f>
        <v>Keep</v>
      </c>
      <c r="F3093" t="str">
        <f>IF(ISNUMBER(SEARCH("#",B3093)), LEFT(B3093,FIND("#",B3093)-1), B3093)</f>
        <v xml:space="preserve">A4 Sheet </v>
      </c>
      <c r="G3093" s="26">
        <f>IF(ISNUMBER(SEARCH("#",B3093)),VALUE(MID(B3093,FIND("#",B3093)+1,1000)),1)</f>
        <v>1</v>
      </c>
      <c r="H3093" t="str">
        <f>IF(AND(regexMatch(B3093,".*#[0-9]*$"),ISNUMBER(SEARCH("#",B3093))),CONCATENATE(TRIM(F3093)," #",G3093),B3093)</f>
        <v>A4 Sheet #1</v>
      </c>
    </row>
    <row r="3094" spans="1:8" ht="15.75" thickBot="1" x14ac:dyDescent="0.3">
      <c r="A3094" s="1" t="s">
        <v>15</v>
      </c>
      <c r="B3094" s="1" t="s">
        <v>16</v>
      </c>
      <c r="C3094" s="2" t="s">
        <v>5</v>
      </c>
      <c r="D3094" s="2" t="s">
        <v>12</v>
      </c>
      <c r="E3094" s="3" t="str">
        <f>IF(ISERROR(VLOOKUP(B3094,Failures!$A$1:$A$4000,1,FALSE)),"Keep","Delete")</f>
        <v>Keep</v>
      </c>
      <c r="F3094" t="str">
        <f>IF(ISNUMBER(SEARCH("#",B3094)), LEFT(B3094,FIND("#",B3094)-1), B3094)</f>
        <v xml:space="preserve">A4 Sheet </v>
      </c>
      <c r="G3094" s="26">
        <f>IF(ISNUMBER(SEARCH("#",B3094)),VALUE(MID(B3094,FIND("#",B3094)+1,1000)),1)</f>
        <v>2</v>
      </c>
      <c r="H3094" t="str">
        <f>IF(AND(regexMatch(B3094,".*#[0-9]*$"),ISNUMBER(SEARCH("#",B3094))),CONCATENATE(TRIM(F3094)," #",G3094),B3094)</f>
        <v>A4 Sheet #2</v>
      </c>
    </row>
    <row r="3095" spans="1:8" ht="15.75" thickBot="1" x14ac:dyDescent="0.3">
      <c r="A3095" s="1" t="s">
        <v>17</v>
      </c>
      <c r="B3095" s="1" t="s">
        <v>18</v>
      </c>
      <c r="C3095" s="2" t="s">
        <v>5</v>
      </c>
      <c r="D3095" s="2" t="s">
        <v>12</v>
      </c>
      <c r="E3095" s="3" t="str">
        <f>IF(ISERROR(VLOOKUP(B3095,Failures!$A$1:$A$4000,1,FALSE)),"Keep","Delete")</f>
        <v>Keep</v>
      </c>
      <c r="F3095" t="str">
        <f>IF(ISNUMBER(SEARCH("#",B3095)), LEFT(B3095,FIND("#",B3095)-1), B3095)</f>
        <v xml:space="preserve">A4 Sheet </v>
      </c>
      <c r="G3095" s="26">
        <f>IF(ISNUMBER(SEARCH("#",B3095)),VALUE(MID(B3095,FIND("#",B3095)+1,1000)),1)</f>
        <v>3</v>
      </c>
      <c r="H3095" t="str">
        <f>IF(AND(regexMatch(B3095,".*#[0-9]*$"),ISNUMBER(SEARCH("#",B3095))),CONCATENATE(TRIM(F3095)," #",G3095),B3095)</f>
        <v>A4 Sheet #3</v>
      </c>
    </row>
    <row r="3096" spans="1:8" ht="15.75" thickBot="1" x14ac:dyDescent="0.3">
      <c r="A3096" s="1" t="s">
        <v>19</v>
      </c>
      <c r="B3096" s="1" t="s">
        <v>20</v>
      </c>
      <c r="C3096" s="2" t="s">
        <v>5</v>
      </c>
      <c r="D3096" s="2" t="s">
        <v>12</v>
      </c>
      <c r="E3096" s="3" t="str">
        <f>IF(ISERROR(VLOOKUP(B3096,Failures!$A$1:$A$4000,1,FALSE)),"Keep","Delete")</f>
        <v>Keep</v>
      </c>
      <c r="F3096" t="str">
        <f>IF(ISNUMBER(SEARCH("#",B3096)), LEFT(B3096,FIND("#",B3096)-1), B3096)</f>
        <v xml:space="preserve">A4 Sheet </v>
      </c>
      <c r="G3096" s="26">
        <f>IF(ISNUMBER(SEARCH("#",B3096)),VALUE(MID(B3096,FIND("#",B3096)+1,1000)),1)</f>
        <v>4</v>
      </c>
      <c r="H3096" t="str">
        <f>IF(AND(regexMatch(B3096,".*#[0-9]*$"),ISNUMBER(SEARCH("#",B3096))),CONCATENATE(TRIM(F3096)," #",G3096),B3096)</f>
        <v>A4 Sheet #4</v>
      </c>
    </row>
    <row r="3097" spans="1:8" ht="15.75" thickBot="1" x14ac:dyDescent="0.3">
      <c r="A3097" s="1" t="s">
        <v>21</v>
      </c>
      <c r="B3097" s="1" t="s">
        <v>22</v>
      </c>
      <c r="C3097" s="2" t="s">
        <v>5</v>
      </c>
      <c r="D3097" s="2" t="s">
        <v>12</v>
      </c>
      <c r="E3097" s="3" t="str">
        <f>IF(ISERROR(VLOOKUP(B3097,Failures!$A$1:$A$4000,1,FALSE)),"Keep","Delete")</f>
        <v>Keep</v>
      </c>
      <c r="F3097" t="str">
        <f>IF(ISNUMBER(SEARCH("#",B3097)), LEFT(B3097,FIND("#",B3097)-1), B3097)</f>
        <v xml:space="preserve">A4 Sheet </v>
      </c>
      <c r="G3097" s="26">
        <f>IF(ISNUMBER(SEARCH("#",B3097)),VALUE(MID(B3097,FIND("#",B3097)+1,1000)),1)</f>
        <v>5</v>
      </c>
      <c r="H3097" t="str">
        <f>IF(AND(regexMatch(B3097,".*#[0-9]*$"),ISNUMBER(SEARCH("#",B3097))),CONCATENATE(TRIM(F3097)," #",G3097),B3097)</f>
        <v>A4 Sheet #5</v>
      </c>
    </row>
    <row r="3098" spans="1:8" ht="15.75" thickBot="1" x14ac:dyDescent="0.3">
      <c r="A3098" s="1" t="s">
        <v>108</v>
      </c>
      <c r="B3098" s="1" t="s">
        <v>109</v>
      </c>
      <c r="C3098" s="2" t="s">
        <v>5</v>
      </c>
      <c r="D3098" s="2" t="s">
        <v>12</v>
      </c>
      <c r="E3098" s="3" t="str">
        <f>IF(ISERROR(VLOOKUP(B3098,Failures!$A$1:$A$4000,1,FALSE)),"Keep","Delete")</f>
        <v>Keep</v>
      </c>
      <c r="F3098" t="str">
        <f>IF(ISNUMBER(SEARCH("#",B3098)), LEFT(B3098,FIND("#",B3098)-1), B3098)</f>
        <v xml:space="preserve">Amanda Note </v>
      </c>
      <c r="G3098" s="26">
        <f>IF(ISNUMBER(SEARCH("#",B3098)),VALUE(MID(B3098,FIND("#",B3098)+1,1000)),1)</f>
        <v>1</v>
      </c>
      <c r="H3098" t="str">
        <f>IF(AND(regexMatch(B3098,".*#[0-9]*$"),ISNUMBER(SEARCH("#",B3098))),CONCATENATE(TRIM(F3098)," #",G3098),B3098)</f>
        <v>Amanda Note #1</v>
      </c>
    </row>
    <row r="3099" spans="1:8" ht="15.75" thickBot="1" x14ac:dyDescent="0.3">
      <c r="A3099" s="1" t="s">
        <v>110</v>
      </c>
      <c r="B3099" s="1" t="s">
        <v>3574</v>
      </c>
      <c r="C3099" s="2" t="s">
        <v>5</v>
      </c>
      <c r="D3099" s="2" t="s">
        <v>12</v>
      </c>
      <c r="E3099" s="3" t="str">
        <f>IF(ISERROR(VLOOKUP(B3099,Failures!$A$1:$A$4000,1,FALSE)),"Keep","Delete")</f>
        <v>Keep</v>
      </c>
      <c r="F3099" t="str">
        <f>IF(ISNUMBER(SEARCH("#",B3099)), LEFT(B3099,FIND("#",B3099)-1), B3099)</f>
        <v xml:space="preserve">Amanda Note </v>
      </c>
      <c r="G3099" s="26">
        <f>IF(ISNUMBER(SEARCH("#",B3099)),VALUE(MID(B3099,FIND("#",B3099)+1,1000)),1)</f>
        <v>2</v>
      </c>
      <c r="H3099" t="str">
        <f>IF(AND(regexMatch(B3099,".*#[0-9]*$"),ISNUMBER(SEARCH("#",B3099))),CONCATENATE(TRIM(F3099)," #",G3099),B3099)</f>
        <v>Amanda Note #2</v>
      </c>
    </row>
    <row r="3100" spans="1:8" ht="15.75" thickBot="1" x14ac:dyDescent="0.3">
      <c r="A3100" s="1" t="s">
        <v>141</v>
      </c>
      <c r="B3100" s="1" t="s">
        <v>3509</v>
      </c>
      <c r="C3100" s="2" t="s">
        <v>5</v>
      </c>
      <c r="D3100" s="2" t="s">
        <v>12</v>
      </c>
      <c r="E3100" s="3" t="str">
        <f>IF(ISERROR(VLOOKUP(B3100,Failures!$A$1:$A$4000,1,FALSE)),"Keep","Delete")</f>
        <v>Keep</v>
      </c>
      <c r="F3100" t="str">
        <f>IF(ISNUMBER(SEARCH("#",B3100)), LEFT(B3100,FIND("#",B3100)-1), B3100)</f>
        <v>Arc Blueprints</v>
      </c>
      <c r="G3100" s="26">
        <f>IF(ISNUMBER(SEARCH("#",B3100)),VALUE(MID(B3100,FIND("#",B3100)+1,1000)),1)</f>
        <v>1</v>
      </c>
      <c r="H3100" t="str">
        <f>IF(AND(regexMatch(B3100,".*#[0-9]*$"),ISNUMBER(SEARCH("#",B3100))),CONCATENATE(TRIM(F3100)," #",G3100),B3100)</f>
        <v>Arc Blueprints</v>
      </c>
    </row>
    <row r="3101" spans="1:8" ht="15.75" thickBot="1" x14ac:dyDescent="0.3">
      <c r="A3101" s="1" t="s">
        <v>242</v>
      </c>
      <c r="B3101" s="1" t="s">
        <v>243</v>
      </c>
      <c r="C3101" s="2" t="s">
        <v>5</v>
      </c>
      <c r="D3101" s="2" t="s">
        <v>12</v>
      </c>
      <c r="E3101" s="3" t="str">
        <f>IF(ISERROR(VLOOKUP(B3101,Failures!$A$1:$A$4000,1,FALSE)),"Keep","Delete")</f>
        <v>Keep</v>
      </c>
      <c r="F3101" t="str">
        <f>IF(ISNUMBER(SEARCH("#",B3101)), LEFT(B3101,FIND("#",B3101)-1), B3101)</f>
        <v>Barry Table Paperwork</v>
      </c>
      <c r="G3101" s="26">
        <f>IF(ISNUMBER(SEARCH("#",B3101)),VALUE(MID(B3101,FIND("#",B3101)+1,1000)),1)</f>
        <v>1</v>
      </c>
      <c r="H3101" t="str">
        <f>IF(AND(regexMatch(B3101,".*#[0-9]*$"),ISNUMBER(SEARCH("#",B3101))),CONCATENATE(TRIM(F3101)," #",G3101),B3101)</f>
        <v>Barry Table Paperwork</v>
      </c>
    </row>
    <row r="3102" spans="1:8" ht="15.75" thickBot="1" x14ac:dyDescent="0.3">
      <c r="A3102" s="1" t="s">
        <v>3174</v>
      </c>
      <c r="B3102" s="1" t="s">
        <v>3175</v>
      </c>
      <c r="C3102" s="2" t="s">
        <v>5</v>
      </c>
      <c r="D3102" s="2" t="s">
        <v>12</v>
      </c>
      <c r="E3102" s="3" t="str">
        <f>IF(ISERROR(VLOOKUP(B3102,Failures!$A$1:$A$4000,1,FALSE)),"Keep","Delete")</f>
        <v>Keep</v>
      </c>
      <c r="F3102" t="str">
        <f>IF(ISNUMBER(SEARCH("#",B3102)), LEFT(B3102,FIND("#",B3102)-1), B3102)</f>
        <v>Blueprint</v>
      </c>
      <c r="G3102" s="26">
        <f>IF(ISNUMBER(SEARCH("#",B3102)),VALUE(MID(B3102,FIND("#",B3102)+1,1000)),1)</f>
        <v>1</v>
      </c>
      <c r="H3102" t="str">
        <f>IF(AND(regexMatch(B3102,".*#[0-9]*$"),ISNUMBER(SEARCH("#",B3102))),CONCATENATE(TRIM(F3102)," #",G3102),B3102)</f>
        <v>Blueprint</v>
      </c>
    </row>
    <row r="3103" spans="1:8" ht="15.75" thickBot="1" x14ac:dyDescent="0.3">
      <c r="A3103" s="1" t="s">
        <v>880</v>
      </c>
      <c r="B3103" s="1" t="s">
        <v>881</v>
      </c>
      <c r="C3103" s="2" t="s">
        <v>5</v>
      </c>
      <c r="D3103" s="2" t="s">
        <v>12</v>
      </c>
      <c r="E3103" s="3" t="str">
        <f>IF(ISERROR(VLOOKUP(B3103,Failures!$A$1:$A$4000,1,FALSE)),"Keep","Delete")</f>
        <v>Keep</v>
      </c>
      <c r="F3103" t="str">
        <f>IF(ISNUMBER(SEARCH("#",B3103)), LEFT(B3103,FIND("#",B3103)-1), B3103)</f>
        <v>Business Card</v>
      </c>
      <c r="G3103" s="26">
        <f>IF(ISNUMBER(SEARCH("#",B3103)),VALUE(MID(B3103,FIND("#",B3103)+1,1000)),1)</f>
        <v>1</v>
      </c>
      <c r="H3103" t="str">
        <f>IF(AND(regexMatch(B3103,".*#[0-9]*$"),ISNUMBER(SEARCH("#",B3103))),CONCATENATE(TRIM(F3103)," #",G3103),B3103)</f>
        <v>Business Card</v>
      </c>
    </row>
    <row r="3104" spans="1:8" ht="15.75" thickBot="1" x14ac:dyDescent="0.3">
      <c r="A3104" s="1" t="s">
        <v>606</v>
      </c>
      <c r="B3104" s="1" t="s">
        <v>607</v>
      </c>
      <c r="C3104" s="2" t="s">
        <v>5</v>
      </c>
      <c r="D3104" s="2" t="s">
        <v>12</v>
      </c>
      <c r="E3104" s="3" t="str">
        <f>IF(ISERROR(VLOOKUP(B3104,Failures!$A$1:$A$4000,1,FALSE)),"Keep","Delete")</f>
        <v>Keep</v>
      </c>
      <c r="F3104" t="str">
        <f>IF(ISNUMBER(SEARCH("#",B3104)), LEFT(B3104,FIND("#",B3104)-1), B3104)</f>
        <v>Casey Security ID</v>
      </c>
      <c r="G3104" s="26">
        <f>IF(ISNUMBER(SEARCH("#",B3104)),VALUE(MID(B3104,FIND("#",B3104)+1,1000)),1)</f>
        <v>1</v>
      </c>
      <c r="H3104" t="str">
        <f>IF(AND(regexMatch(B3104,".*#[0-9]*$"),ISNUMBER(SEARCH("#",B3104))),CONCATENATE(TRIM(F3104)," #",G3104),B3104)</f>
        <v>Casey Security ID</v>
      </c>
    </row>
    <row r="3105" spans="1:8" ht="15.75" thickBot="1" x14ac:dyDescent="0.3">
      <c r="A3105" s="1" t="s">
        <v>1886</v>
      </c>
      <c r="B3105" s="1" t="s">
        <v>1887</v>
      </c>
      <c r="C3105" s="2" t="s">
        <v>145</v>
      </c>
      <c r="D3105" s="2" t="s">
        <v>12</v>
      </c>
      <c r="E3105" s="3" t="str">
        <f>IF(ISERROR(VLOOKUP(B3105,Failures!$A$1:$A$4000,1,FALSE)),"Keep","Delete")</f>
        <v>Keep</v>
      </c>
      <c r="F3105" t="str">
        <f>IF(ISNUMBER(SEARCH("#",B3105)), LEFT(B3105,FIND("#",B3105)-1), B3105)</f>
        <v>Contact Card</v>
      </c>
      <c r="G3105" s="26">
        <f>IF(ISNUMBER(SEARCH("#",B3105)),VALUE(MID(B3105,FIND("#",B3105)+1,1000)),1)</f>
        <v>1</v>
      </c>
      <c r="H3105" t="str">
        <f>IF(AND(regexMatch(B3105,".*#[0-9]*$"),ISNUMBER(SEARCH("#",B3105))),CONCATENATE(TRIM(F3105)," #",G3105),B3105)</f>
        <v>Contact Card</v>
      </c>
    </row>
    <row r="3106" spans="1:8" ht="15.75" thickBot="1" x14ac:dyDescent="0.3">
      <c r="A3106" s="1" t="s">
        <v>907</v>
      </c>
      <c r="B3106" s="1" t="s">
        <v>908</v>
      </c>
      <c r="C3106" s="2" t="s">
        <v>5</v>
      </c>
      <c r="D3106" s="2" t="s">
        <v>12</v>
      </c>
      <c r="E3106" s="3" t="str">
        <f>IF(ISERROR(VLOOKUP(B3106,Failures!$A$1:$A$4000,1,FALSE)),"Keep","Delete")</f>
        <v>Keep</v>
      </c>
      <c r="F3106" t="str">
        <f>IF(ISNUMBER(SEARCH("#",B3106)), LEFT(B3106,FIND("#",B3106)-1), B3106)</f>
        <v>Documents</v>
      </c>
      <c r="G3106" s="26">
        <f>IF(ISNUMBER(SEARCH("#",B3106)),VALUE(MID(B3106,FIND("#",B3106)+1,1000)),1)</f>
        <v>1</v>
      </c>
      <c r="H3106" t="str">
        <f>IF(AND(regexMatch(B3106,".*#[0-9]*$"),ISNUMBER(SEARCH("#",B3106))),CONCATENATE(TRIM(F3106)," #",G3106),B3106)</f>
        <v>Documents</v>
      </c>
    </row>
    <row r="3107" spans="1:8" ht="15.75" thickBot="1" x14ac:dyDescent="0.3">
      <c r="A3107" s="1" t="s">
        <v>931</v>
      </c>
      <c r="B3107" s="1" t="s">
        <v>3671</v>
      </c>
      <c r="C3107" s="2" t="s">
        <v>5</v>
      </c>
      <c r="D3107" s="2" t="s">
        <v>12</v>
      </c>
      <c r="E3107" s="3" t="str">
        <f>IF(ISERROR(VLOOKUP(B3107,Failures!$A$1:$A$4000,1,FALSE)),"Keep","Delete")</f>
        <v>Keep</v>
      </c>
      <c r="F3107" t="str">
        <f>IF(ISNUMBER(SEARCH("#",B3107)), LEFT(B3107,FIND("#",B3107)-1), B3107)</f>
        <v>Envelope</v>
      </c>
      <c r="G3107" s="26">
        <f>IF(ISNUMBER(SEARCH("#",B3107)),VALUE(MID(B3107,FIND("#",B3107)+1,1000)),1)</f>
        <v>1</v>
      </c>
      <c r="H3107" t="str">
        <f>IF(AND(regexMatch(B3107,".*#[0-9]*$"),ISNUMBER(SEARCH("#",B3107))),CONCATENATE(TRIM(F3107)," #",G3107),B3107)</f>
        <v>Envelope</v>
      </c>
    </row>
    <row r="3108" spans="1:8" ht="15.75" thickBot="1" x14ac:dyDescent="0.3">
      <c r="A3108" s="1" t="s">
        <v>1405</v>
      </c>
      <c r="B3108" s="1" t="s">
        <v>1406</v>
      </c>
      <c r="C3108" s="2" t="s">
        <v>5</v>
      </c>
      <c r="D3108" s="2" t="s">
        <v>12</v>
      </c>
      <c r="E3108" s="3" t="str">
        <f>IF(ISERROR(VLOOKUP(B3108,Failures!$A$1:$A$4000,1,FALSE)),"Keep","Delete")</f>
        <v>Keep</v>
      </c>
      <c r="F3108" t="str">
        <f>IF(ISNUMBER(SEARCH("#",B3108)), LEFT(B3108,FIND("#",B3108)-1), B3108)</f>
        <v>FIB Badge</v>
      </c>
      <c r="G3108" s="26">
        <f>IF(ISNUMBER(SEARCH("#",B3108)),VALUE(MID(B3108,FIND("#",B3108)+1,1000)),1)</f>
        <v>1</v>
      </c>
      <c r="H3108" t="str">
        <f>IF(AND(regexMatch(B3108,".*#[0-9]*$"),ISNUMBER(SEARCH("#",B3108))),CONCATENATE(TRIM(F3108)," #",G3108),B3108)</f>
        <v>FIB Badge</v>
      </c>
    </row>
    <row r="3109" spans="1:8" ht="15.75" thickBot="1" x14ac:dyDescent="0.3">
      <c r="A3109" s="27" t="s">
        <v>7456</v>
      </c>
      <c r="B3109" s="22" t="s">
        <v>10643</v>
      </c>
      <c r="C3109" s="1"/>
      <c r="D3109" s="2" t="s">
        <v>12</v>
      </c>
      <c r="E3109" s="3" t="str">
        <f>IF(ISERROR(VLOOKUP(B3109,Failures!$A$1:$A$4000,1,FALSE)),"Keep","Delete")</f>
        <v>Keep</v>
      </c>
      <c r="F3109" t="str">
        <f>IF(ISNUMBER(SEARCH("#",B3109)), LEFT(B3109,FIND("#",B3109)-1), B3109)</f>
        <v>Focus Sheet</v>
      </c>
      <c r="G3109" s="26">
        <f>IF(ISNUMBER(SEARCH("#",B3109)),VALUE(MID(B3109,FIND("#",B3109)+1,1000)),1)</f>
        <v>1</v>
      </c>
      <c r="H3109" t="str">
        <f>IF(AND(regexMatch(B3109,".*#[0-9]*$"),ISNUMBER(SEARCH("#",B3109))),CONCATENATE(TRIM(F3109)," #",G3109),B3109)</f>
        <v>Focus Sheet</v>
      </c>
    </row>
    <row r="3110" spans="1:8" ht="15.75" thickBot="1" x14ac:dyDescent="0.3">
      <c r="A3110" s="1" t="s">
        <v>1490</v>
      </c>
      <c r="B3110" s="1" t="s">
        <v>1491</v>
      </c>
      <c r="C3110" s="4" t="s">
        <v>5</v>
      </c>
      <c r="D3110" s="2" t="s">
        <v>12</v>
      </c>
      <c r="E3110" s="3" t="str">
        <f>IF(ISERROR(VLOOKUP(B3110,Failures!$A$1:$A$4000,1,FALSE)),"Keep","Delete")</f>
        <v>Keep</v>
      </c>
      <c r="F3110" t="str">
        <f>IF(ISNUMBER(SEARCH("#",B3110)), LEFT(B3110,FIND("#",B3110)-1), B3110)</f>
        <v>Franklin Drivers License</v>
      </c>
      <c r="G3110" s="26">
        <f>IF(ISNUMBER(SEARCH("#",B3110)),VALUE(MID(B3110,FIND("#",B3110)+1,1000)),1)</f>
        <v>1</v>
      </c>
      <c r="H3110" t="str">
        <f>IF(AND(regexMatch(B3110,".*#[0-9]*$"),ISNUMBER(SEARCH("#",B3110))),CONCATENATE(TRIM(F3110)," #",G3110),B3110)</f>
        <v>Franklin Drivers License</v>
      </c>
    </row>
    <row r="3111" spans="1:8" ht="15.75" thickBot="1" x14ac:dyDescent="0.3">
      <c r="A3111" s="1" t="s">
        <v>1009</v>
      </c>
      <c r="B3111" s="1" t="s">
        <v>1010</v>
      </c>
      <c r="C3111" s="4" t="s">
        <v>5</v>
      </c>
      <c r="D3111" s="2" t="s">
        <v>12</v>
      </c>
      <c r="E3111" s="3" t="str">
        <f>IF(ISERROR(VLOOKUP(B3111,Failures!$A$1:$A$4000,1,FALSE)),"Keep","Delete")</f>
        <v>Keep</v>
      </c>
      <c r="F3111" t="str">
        <f>IF(ISNUMBER(SEARCH("#",B3111)), LEFT(B3111,FIND("#",B3111)-1), B3111)</f>
        <v>Magazine</v>
      </c>
      <c r="G3111" s="26">
        <f>IF(ISNUMBER(SEARCH("#",B3111)),VALUE(MID(B3111,FIND("#",B3111)+1,1000)),1)</f>
        <v>1</v>
      </c>
      <c r="H3111" t="str">
        <f>IF(AND(regexMatch(B3111,".*#[0-9]*$"),ISNUMBER(SEARCH("#",B3111))),CONCATENATE(TRIM(F3111)," #",G3111),B3111)</f>
        <v>Magazine</v>
      </c>
    </row>
    <row r="3112" spans="1:8" ht="15.75" thickBot="1" x14ac:dyDescent="0.3">
      <c r="A3112" s="1" t="s">
        <v>2119</v>
      </c>
      <c r="B3112" s="1" t="s">
        <v>2120</v>
      </c>
      <c r="C3112" s="4" t="s">
        <v>5</v>
      </c>
      <c r="D3112" s="2" t="s">
        <v>12</v>
      </c>
      <c r="E3112" s="3" t="str">
        <f>IF(ISERROR(VLOOKUP(B3112,Failures!$A$1:$A$4000,1,FALSE)),"Keep","Delete")</f>
        <v>Keep</v>
      </c>
      <c r="F3112" t="str">
        <f>IF(ISNUMBER(SEARCH("#",B3112)), LEFT(B3112,FIND("#",B3112)-1), B3112)</f>
        <v>Michael Security ID</v>
      </c>
      <c r="G3112" s="26">
        <f>IF(ISNUMBER(SEARCH("#",B3112)),VALUE(MID(B3112,FIND("#",B3112)+1,1000)),1)</f>
        <v>1</v>
      </c>
      <c r="H3112" t="str">
        <f>IF(AND(regexMatch(B3112,".*#[0-9]*$"),ISNUMBER(SEARCH("#",B3112))),CONCATENATE(TRIM(F3112)," #",G3112),B3112)</f>
        <v>Michael Security ID</v>
      </c>
    </row>
    <row r="3113" spans="1:8" ht="15.75" thickBot="1" x14ac:dyDescent="0.3">
      <c r="A3113" s="1" t="s">
        <v>718</v>
      </c>
      <c r="B3113" s="1" t="s">
        <v>719</v>
      </c>
      <c r="C3113" s="2" t="s">
        <v>5</v>
      </c>
      <c r="D3113" s="2" t="s">
        <v>12</v>
      </c>
      <c r="E3113" s="3" t="str">
        <f>IF(ISERROR(VLOOKUP(B3113,Failures!$A$1:$A$4000,1,FALSE)),"Keep","Delete")</f>
        <v>Keep</v>
      </c>
      <c r="F3113" t="str">
        <f>IF(ISNUMBER(SEARCH("#",B3113)), LEFT(B3113,FIND("#",B3113)-1), B3113)</f>
        <v>Newspaper: Cliffs Tragedy</v>
      </c>
      <c r="G3113" s="26">
        <f>IF(ISNUMBER(SEARCH("#",B3113)),VALUE(MID(B3113,FIND("#",B3113)+1,1000)),1)</f>
        <v>1</v>
      </c>
      <c r="H3113" t="str">
        <f>IF(AND(regexMatch(B3113,".*#[0-9]*$"),ISNUMBER(SEARCH("#",B3113))),CONCATENATE(TRIM(F3113)," #",G3113),B3113)</f>
        <v>Newspaper: Cliffs Tragedy</v>
      </c>
    </row>
    <row r="3114" spans="1:8" ht="15.75" thickBot="1" x14ac:dyDescent="0.3">
      <c r="A3114" s="1" t="s">
        <v>1025</v>
      </c>
      <c r="B3114" s="1" t="s">
        <v>1026</v>
      </c>
      <c r="C3114" s="2" t="s">
        <v>5</v>
      </c>
      <c r="D3114" s="2" t="s">
        <v>12</v>
      </c>
      <c r="E3114" s="3" t="str">
        <f>IF(ISERROR(VLOOKUP(B3114,Failures!$A$1:$A$4000,1,FALSE)),"Keep","Delete")</f>
        <v>Keep</v>
      </c>
      <c r="F3114" t="str">
        <f>IF(ISNUMBER(SEARCH("#",B3114)), LEFT(B3114,FIND("#",B3114)-1), B3114)</f>
        <v>Newspaper: Daily Globe</v>
      </c>
      <c r="G3114" s="26">
        <f>IF(ISNUMBER(SEARCH("#",B3114)),VALUE(MID(B3114,FIND("#",B3114)+1,1000)),1)</f>
        <v>1</v>
      </c>
      <c r="H3114" t="str">
        <f>IF(AND(regexMatch(B3114,".*#[0-9]*$"),ISNUMBER(SEARCH("#",B3114))),CONCATENATE(TRIM(F3114)," #",G3114),B3114)</f>
        <v>Newspaper: Daily Globe</v>
      </c>
    </row>
    <row r="3115" spans="1:8" ht="15.75" thickBot="1" x14ac:dyDescent="0.3">
      <c r="A3115" s="1" t="s">
        <v>2231</v>
      </c>
      <c r="B3115" s="1" t="s">
        <v>2232</v>
      </c>
      <c r="C3115" s="2" t="s">
        <v>5</v>
      </c>
      <c r="D3115" s="2" t="s">
        <v>12</v>
      </c>
      <c r="E3115" s="3" t="str">
        <f>IF(ISERROR(VLOOKUP(B3115,Failures!$A$1:$A$4000,1,FALSE)),"Keep","Delete")</f>
        <v>Keep</v>
      </c>
      <c r="F3115" t="str">
        <f>IF(ISNUMBER(SEARCH("#",B3115)), LEFT(B3115,FIND("#",B3115)-1), B3115)</f>
        <v xml:space="preserve">Notepad </v>
      </c>
      <c r="G3115" s="26">
        <f>IF(ISNUMBER(SEARCH("#",B3115)),VALUE(MID(B3115,FIND("#",B3115)+1,1000)),1)</f>
        <v>1</v>
      </c>
      <c r="H3115" t="str">
        <f>IF(AND(regexMatch(B3115,".*#[0-9]*$"),ISNUMBER(SEARCH("#",B3115))),CONCATENATE(TRIM(F3115)," #",G3115),B3115)</f>
        <v>Notepad #1</v>
      </c>
    </row>
    <row r="3116" spans="1:8" ht="15.75" thickBot="1" x14ac:dyDescent="0.3">
      <c r="A3116" s="1" t="s">
        <v>2233</v>
      </c>
      <c r="B3116" s="1" t="s">
        <v>2234</v>
      </c>
      <c r="C3116" s="2" t="s">
        <v>5</v>
      </c>
      <c r="D3116" s="2" t="s">
        <v>12</v>
      </c>
      <c r="E3116" s="3" t="str">
        <f>IF(ISERROR(VLOOKUP(B3116,Failures!$A$1:$A$4000,1,FALSE)),"Keep","Delete")</f>
        <v>Keep</v>
      </c>
      <c r="F3116" t="str">
        <f>IF(ISNUMBER(SEARCH("#",B3116)), LEFT(B3116,FIND("#",B3116)-1), B3116)</f>
        <v xml:space="preserve">Notepad </v>
      </c>
      <c r="G3116" s="26">
        <f>IF(ISNUMBER(SEARCH("#",B3116)),VALUE(MID(B3116,FIND("#",B3116)+1,1000)),1)</f>
        <v>2</v>
      </c>
      <c r="H3116" t="str">
        <f>IF(AND(regexMatch(B3116,".*#[0-9]*$"),ISNUMBER(SEARCH("#",B3116))),CONCATENATE(TRIM(F3116)," #",G3116),B3116)</f>
        <v>Notepad #2</v>
      </c>
    </row>
    <row r="3117" spans="1:8" ht="15.75" thickBot="1" x14ac:dyDescent="0.3">
      <c r="A3117" s="1" t="s">
        <v>1034</v>
      </c>
      <c r="B3117" s="1" t="s">
        <v>3801</v>
      </c>
      <c r="C3117" s="2" t="s">
        <v>5</v>
      </c>
      <c r="D3117" s="2" t="s">
        <v>12</v>
      </c>
      <c r="E3117" s="3" t="str">
        <f>IF(ISERROR(VLOOKUP(B3117,Failures!$A$1:$A$4000,1,FALSE)),"Keep","Delete")</f>
        <v>Keep</v>
      </c>
      <c r="F3117" t="str">
        <f>IF(ISNUMBER(SEARCH("#",B3117)), LEFT(B3117,FIND("#",B3117)-1), B3117)</f>
        <v>Pamphlet</v>
      </c>
      <c r="G3117" s="26">
        <f>IF(ISNUMBER(SEARCH("#",B3117)),VALUE(MID(B3117,FIND("#",B3117)+1,1000)),1)</f>
        <v>1</v>
      </c>
      <c r="H3117" t="str">
        <f>IF(AND(regexMatch(B3117,".*#[0-9]*$"),ISNUMBER(SEARCH("#",B3117))),CONCATENATE(TRIM(F3117)," #",G3117),B3117)</f>
        <v>Pamphlet</v>
      </c>
    </row>
    <row r="3118" spans="1:8" ht="15.75" thickBot="1" x14ac:dyDescent="0.3">
      <c r="A3118" s="1" t="s">
        <v>2329</v>
      </c>
      <c r="B3118" s="1" t="s">
        <v>2330</v>
      </c>
      <c r="C3118" s="2" t="s">
        <v>5</v>
      </c>
      <c r="D3118" s="2" t="s">
        <v>12</v>
      </c>
      <c r="E3118" s="3" t="str">
        <f>IF(ISERROR(VLOOKUP(B3118,Failures!$A$1:$A$4000,1,FALSE)),"Keep","Delete")</f>
        <v>Keep</v>
      </c>
      <c r="F3118" t="str">
        <f>IF(ISNUMBER(SEARCH("#",B3118)), LEFT(B3118,FIND("#",B3118)-1), B3118)</f>
        <v>Paper Ball</v>
      </c>
      <c r="G3118" s="26">
        <f>IF(ISNUMBER(SEARCH("#",B3118)),VALUE(MID(B3118,FIND("#",B3118)+1,1000)),1)</f>
        <v>1</v>
      </c>
      <c r="H3118" t="str">
        <f>IF(AND(regexMatch(B3118,".*#[0-9]*$"),ISNUMBER(SEARCH("#",B3118))),CONCATENATE(TRIM(F3118)," #",G3118),B3118)</f>
        <v>Paper Ball</v>
      </c>
    </row>
    <row r="3119" spans="1:8" ht="15.75" thickBot="1" x14ac:dyDescent="0.3">
      <c r="A3119" s="1" t="s">
        <v>1984</v>
      </c>
      <c r="B3119" s="1" t="s">
        <v>1985</v>
      </c>
      <c r="C3119" s="2" t="s">
        <v>145</v>
      </c>
      <c r="D3119" s="2" t="s">
        <v>12</v>
      </c>
      <c r="E3119" s="3" t="str">
        <f>IF(ISERROR(VLOOKUP(B3119,Failures!$A$1:$A$4000,1,FALSE)),"Keep","Delete")</f>
        <v>Keep</v>
      </c>
      <c r="F3119" t="str">
        <f>IF(ISNUMBER(SEARCH("#",B3119)), LEFT(B3119,FIND("#",B3119)-1), B3119)</f>
        <v>Paper Scrap</v>
      </c>
      <c r="G3119" s="26">
        <f>IF(ISNUMBER(SEARCH("#",B3119)),VALUE(MID(B3119,FIND("#",B3119)+1,1000)),1)</f>
        <v>1</v>
      </c>
      <c r="H3119" t="str">
        <f>IF(AND(regexMatch(B3119,".*#[0-9]*$"),ISNUMBER(SEARCH("#",B3119))),CONCATENATE(TRIM(F3119)," #",G3119),B3119)</f>
        <v>Paper Scrap</v>
      </c>
    </row>
    <row r="3120" spans="1:8" ht="15.75" thickBot="1" x14ac:dyDescent="0.3">
      <c r="A3120" s="1" t="s">
        <v>2365</v>
      </c>
      <c r="B3120" s="1" t="s">
        <v>3818</v>
      </c>
      <c r="C3120" s="2" t="s">
        <v>5</v>
      </c>
      <c r="D3120" s="2" t="s">
        <v>12</v>
      </c>
      <c r="E3120" s="3" t="str">
        <f>IF(ISERROR(VLOOKUP(B3120,Failures!$A$1:$A$4000,1,FALSE)),"Keep","Delete")</f>
        <v>Keep</v>
      </c>
      <c r="F3120" t="str">
        <f>IF(ISNUMBER(SEARCH("#",B3120)), LEFT(B3120,FIND("#",B3120)-1), B3120)</f>
        <v>Passport</v>
      </c>
      <c r="G3120" s="26">
        <f>IF(ISNUMBER(SEARCH("#",B3120)),VALUE(MID(B3120,FIND("#",B3120)+1,1000)),1)</f>
        <v>1</v>
      </c>
      <c r="H3120" t="str">
        <f>IF(AND(regexMatch(B3120,".*#[0-9]*$"),ISNUMBER(SEARCH("#",B3120))),CONCATENATE(TRIM(F3120)," #",G3120),B3120)</f>
        <v>Passport</v>
      </c>
    </row>
    <row r="3121" spans="1:8" ht="15.75" thickBot="1" x14ac:dyDescent="0.3">
      <c r="A3121" s="1" t="s">
        <v>1063</v>
      </c>
      <c r="B3121" s="1" t="s">
        <v>1064</v>
      </c>
      <c r="C3121" s="2" t="s">
        <v>5</v>
      </c>
      <c r="D3121" s="2" t="s">
        <v>12</v>
      </c>
      <c r="E3121" s="3" t="str">
        <f>IF(ISERROR(VLOOKUP(B3121,Failures!$A$1:$A$4000,1,FALSE)),"Keep","Delete")</f>
        <v>Keep</v>
      </c>
      <c r="F3121" t="str">
        <f>IF(ISNUMBER(SEARCH("#",B3121)), LEFT(B3121,FIND("#",B3121)-1), B3121)</f>
        <v>Polaroid</v>
      </c>
      <c r="G3121" s="26">
        <f>IF(ISNUMBER(SEARCH("#",B3121)),VALUE(MID(B3121,FIND("#",B3121)+1,1000)),1)</f>
        <v>1</v>
      </c>
      <c r="H3121" t="str">
        <f>IF(AND(regexMatch(B3121,".*#[0-9]*$"),ISNUMBER(SEARCH("#",B3121))),CONCATENATE(TRIM(F3121)," #",G3121),B3121)</f>
        <v>Polaroid</v>
      </c>
    </row>
    <row r="3122" spans="1:8" ht="15.75" thickBot="1" x14ac:dyDescent="0.3">
      <c r="A3122" s="1" t="s">
        <v>2541</v>
      </c>
      <c r="B3122" s="1" t="s">
        <v>2542</v>
      </c>
      <c r="C3122" s="4" t="s">
        <v>5</v>
      </c>
      <c r="D3122" s="2" t="s">
        <v>12</v>
      </c>
      <c r="E3122" s="3" t="str">
        <f>IF(ISERROR(VLOOKUP(B3122,Failures!$A$1:$A$4000,1,FALSE)),"Keep","Delete")</f>
        <v>Keep</v>
      </c>
      <c r="F3122" t="str">
        <f>IF(ISNUMBER(SEARCH("#",B3122)), LEFT(B3122,FIND("#",B3122)-1), B3122)</f>
        <v xml:space="preserve">Porn Mag </v>
      </c>
      <c r="G3122" s="26">
        <f>IF(ISNUMBER(SEARCH("#",B3122)),VALUE(MID(B3122,FIND("#",B3122)+1,1000)),1)</f>
        <v>1</v>
      </c>
      <c r="H3122" t="str">
        <f>IF(AND(regexMatch(B3122,".*#[0-9]*$"),ISNUMBER(SEARCH("#",B3122))),CONCATENATE(TRIM(F3122)," #",G3122),B3122)</f>
        <v>Porn Mag #1</v>
      </c>
    </row>
    <row r="3123" spans="1:8" ht="15.75" thickBot="1" x14ac:dyDescent="0.3">
      <c r="A3123" s="1" t="s">
        <v>2543</v>
      </c>
      <c r="B3123" s="1" t="s">
        <v>2544</v>
      </c>
      <c r="C3123" s="4" t="s">
        <v>5</v>
      </c>
      <c r="D3123" s="2" t="s">
        <v>12</v>
      </c>
      <c r="E3123" s="3" t="str">
        <f>IF(ISERROR(VLOOKUP(B3123,Failures!$A$1:$A$4000,1,FALSE)),"Keep","Delete")</f>
        <v>Keep</v>
      </c>
      <c r="F3123" t="str">
        <f>IF(ISNUMBER(SEARCH("#",B3123)), LEFT(B3123,FIND("#",B3123)-1), B3123)</f>
        <v xml:space="preserve">Porn Mag </v>
      </c>
      <c r="G3123" s="26">
        <f>IF(ISNUMBER(SEARCH("#",B3123)),VALUE(MID(B3123,FIND("#",B3123)+1,1000)),1)</f>
        <v>2</v>
      </c>
      <c r="H3123" t="str">
        <f>IF(AND(regexMatch(B3123,".*#[0-9]*$"),ISNUMBER(SEARCH("#",B3123))),CONCATENATE(TRIM(F3123)," #",G3123),B3123)</f>
        <v>Porn Mag #2</v>
      </c>
    </row>
    <row r="3124" spans="1:8" ht="15.75" thickBot="1" x14ac:dyDescent="0.3">
      <c r="A3124" s="1" t="s">
        <v>2545</v>
      </c>
      <c r="B3124" s="1" t="s">
        <v>2546</v>
      </c>
      <c r="C3124" s="4" t="s">
        <v>5</v>
      </c>
      <c r="D3124" s="2" t="s">
        <v>12</v>
      </c>
      <c r="E3124" s="3" t="str">
        <f>IF(ISERROR(VLOOKUP(B3124,Failures!$A$1:$A$4000,1,FALSE)),"Keep","Delete")</f>
        <v>Keep</v>
      </c>
      <c r="F3124" t="str">
        <f>IF(ISNUMBER(SEARCH("#",B3124)), LEFT(B3124,FIND("#",B3124)-1), B3124)</f>
        <v xml:space="preserve">Porn Mag </v>
      </c>
      <c r="G3124" s="26">
        <f>IF(ISNUMBER(SEARCH("#",B3124)),VALUE(MID(B3124,FIND("#",B3124)+1,1000)),1)</f>
        <v>3</v>
      </c>
      <c r="H3124" t="str">
        <f>IF(AND(regexMatch(B3124,".*#[0-9]*$"),ISNUMBER(SEARCH("#",B3124))),CONCATENATE(TRIM(F3124)," #",G3124),B3124)</f>
        <v>Porn Mag #3</v>
      </c>
    </row>
    <row r="3125" spans="1:8" ht="15.75" thickBot="1" x14ac:dyDescent="0.3">
      <c r="A3125" s="1" t="s">
        <v>2547</v>
      </c>
      <c r="B3125" s="1" t="s">
        <v>2548</v>
      </c>
      <c r="C3125" s="2" t="s">
        <v>5</v>
      </c>
      <c r="D3125" s="2" t="s">
        <v>12</v>
      </c>
      <c r="E3125" s="3" t="str">
        <f>IF(ISERROR(VLOOKUP(B3125,Failures!$A$1:$A$4000,1,FALSE)),"Keep","Delete")</f>
        <v>Keep</v>
      </c>
      <c r="F3125" t="str">
        <f>IF(ISNUMBER(SEARCH("#",B3125)), LEFT(B3125,FIND("#",B3125)-1), B3125)</f>
        <v xml:space="preserve">Porn Mag </v>
      </c>
      <c r="G3125" s="26">
        <f>IF(ISNUMBER(SEARCH("#",B3125)),VALUE(MID(B3125,FIND("#",B3125)+1,1000)),1)</f>
        <v>4</v>
      </c>
      <c r="H3125" t="str">
        <f>IF(AND(regexMatch(B3125,".*#[0-9]*$"),ISNUMBER(SEARCH("#",B3125))),CONCATENATE(TRIM(F3125)," #",G3125),B3125)</f>
        <v>Porn Mag #4</v>
      </c>
    </row>
    <row r="3126" spans="1:8" ht="15.75" thickBot="1" x14ac:dyDescent="0.3">
      <c r="A3126" s="1" t="s">
        <v>1081</v>
      </c>
      <c r="B3126" s="1" t="s">
        <v>1082</v>
      </c>
      <c r="C3126" s="2" t="s">
        <v>145</v>
      </c>
      <c r="D3126" s="2" t="s">
        <v>12</v>
      </c>
      <c r="E3126" s="3" t="str">
        <f>IF(ISERROR(VLOOKUP(B3126,Failures!$A$1:$A$4000,1,FALSE)),"Keep","Delete")</f>
        <v>Keep</v>
      </c>
      <c r="F3126" t="str">
        <f>IF(ISNUMBER(SEARCH("#",B3126)), LEFT(B3126,FIND("#",B3126)-1), B3126)</f>
        <v>R Business Card</v>
      </c>
      <c r="G3126" s="26">
        <f>IF(ISNUMBER(SEARCH("#",B3126)),VALUE(MID(B3126,FIND("#",B3126)+1,1000)),1)</f>
        <v>1</v>
      </c>
      <c r="H3126" t="str">
        <f>IF(AND(regexMatch(B3126,".*#[0-9]*$"),ISNUMBER(SEARCH("#",B3126))),CONCATENATE(TRIM(F3126)," #",G3126),B3126)</f>
        <v>R Business Card</v>
      </c>
    </row>
    <row r="3127" spans="1:8" ht="15.75" thickBot="1" x14ac:dyDescent="0.3">
      <c r="A3127" s="1" t="s">
        <v>1088</v>
      </c>
      <c r="B3127" s="1" t="s">
        <v>1089</v>
      </c>
      <c r="C3127" s="2" t="s">
        <v>5</v>
      </c>
      <c r="D3127" s="2" t="s">
        <v>12</v>
      </c>
      <c r="E3127" s="3" t="str">
        <f>IF(ISERROR(VLOOKUP(B3127,Failures!$A$1:$A$4000,1,FALSE)),"Keep","Delete")</f>
        <v>Keep</v>
      </c>
      <c r="F3127" t="str">
        <f>IF(ISNUMBER(SEARCH("#",B3127)), LEFT(B3127,FIND("#",B3127)-1), B3127)</f>
        <v>Rolled Paper</v>
      </c>
      <c r="G3127" s="26">
        <f>IF(ISNUMBER(SEARCH("#",B3127)),VALUE(MID(B3127,FIND("#",B3127)+1,1000)),1)</f>
        <v>1</v>
      </c>
      <c r="H3127" t="str">
        <f>IF(AND(regexMatch(B3127,".*#[0-9]*$"),ISNUMBER(SEARCH("#",B3127))),CONCATENATE(TRIM(F3127)," #",G3127),B3127)</f>
        <v>Rolled Paper</v>
      </c>
    </row>
    <row r="3128" spans="1:8" ht="15.75" thickBot="1" x14ac:dyDescent="0.3">
      <c r="A3128" s="1" t="s">
        <v>1140</v>
      </c>
      <c r="B3128" s="1" t="s">
        <v>1141</v>
      </c>
      <c r="C3128" s="2" t="s">
        <v>5</v>
      </c>
      <c r="D3128" s="2" t="s">
        <v>12</v>
      </c>
      <c r="E3128" s="3" t="str">
        <f>IF(ISERROR(VLOOKUP(B3128,Failures!$A$1:$A$4000,1,FALSE)),"Keep","Delete")</f>
        <v>Keep</v>
      </c>
      <c r="F3128" t="str">
        <f>IF(ISNUMBER(SEARCH("#",B3128)), LEFT(B3128,FIND("#",B3128)-1), B3128)</f>
        <v>Swipe Card</v>
      </c>
      <c r="G3128" s="26">
        <f>IF(ISNUMBER(SEARCH("#",B3128)),VALUE(MID(B3128,FIND("#",B3128)+1,1000)),1)</f>
        <v>1</v>
      </c>
      <c r="H3128" t="str">
        <f>IF(AND(regexMatch(B3128,".*#[0-9]*$"),ISNUMBER(SEARCH("#",B3128))),CONCATENATE(TRIM(F3128)," #",G3128),B3128)</f>
        <v>Swipe Card</v>
      </c>
    </row>
    <row r="3129" spans="1:8" ht="15.75" thickBot="1" x14ac:dyDescent="0.3">
      <c r="A3129" s="1" t="s">
        <v>3242</v>
      </c>
      <c r="B3129" s="1" t="s">
        <v>3243</v>
      </c>
      <c r="C3129" s="2" t="s">
        <v>5</v>
      </c>
      <c r="D3129" s="2" t="s">
        <v>12</v>
      </c>
      <c r="E3129" s="3" t="str">
        <f>IF(ISERROR(VLOOKUP(B3129,Failures!$A$1:$A$4000,1,FALSE)),"Keep","Delete")</f>
        <v>Keep</v>
      </c>
      <c r="F3129" t="str">
        <f>IF(ISNUMBER(SEARCH("#",B3129)), LEFT(B3129,FIND("#",B3129)-1), B3129)</f>
        <v>Tourist Map</v>
      </c>
      <c r="G3129" s="26">
        <f>IF(ISNUMBER(SEARCH("#",B3129)),VALUE(MID(B3129,FIND("#",B3129)+1,1000)),1)</f>
        <v>1</v>
      </c>
      <c r="H3129" t="str">
        <f>IF(AND(regexMatch(B3129,".*#[0-9]*$"),ISNUMBER(SEARCH("#",B3129))),CONCATENATE(TRIM(F3129)," #",G3129),B3129)</f>
        <v>Tourist Map</v>
      </c>
    </row>
    <row r="3130" spans="1:8" ht="15.75" thickBot="1" x14ac:dyDescent="0.3">
      <c r="A3130" s="1" t="s">
        <v>3257</v>
      </c>
      <c r="B3130" s="1" t="s">
        <v>3258</v>
      </c>
      <c r="C3130" s="2" t="s">
        <v>5</v>
      </c>
      <c r="D3130" s="2" t="s">
        <v>12</v>
      </c>
      <c r="E3130" s="3" t="str">
        <f>IF(ISERROR(VLOOKUP(B3130,Failures!$A$1:$A$4000,1,FALSE)),"Keep","Delete")</f>
        <v>Keep</v>
      </c>
      <c r="F3130" t="str">
        <f>IF(ISNUMBER(SEARCH("#",B3130)), LEFT(B3130,FIND("#",B3130)-1), B3130)</f>
        <v>Trevor's Security ID</v>
      </c>
      <c r="G3130" s="26">
        <f>IF(ISNUMBER(SEARCH("#",B3130)),VALUE(MID(B3130,FIND("#",B3130)+1,1000)),1)</f>
        <v>1</v>
      </c>
      <c r="H3130" t="str">
        <f>IF(AND(regexMatch(B3130,".*#[0-9]*$"),ISNUMBER(SEARCH("#",B3130))),CONCATENATE(TRIM(F3130)," #",G3130),B3130)</f>
        <v>Trevor's Security ID</v>
      </c>
    </row>
    <row r="3131" spans="1:8" ht="15.75" thickBot="1" x14ac:dyDescent="0.3">
      <c r="A3131" s="1" t="s">
        <v>1731</v>
      </c>
      <c r="B3131" s="1" t="s">
        <v>3550</v>
      </c>
      <c r="C3131" s="2" t="s">
        <v>5</v>
      </c>
      <c r="D3131" s="2" t="s">
        <v>117</v>
      </c>
      <c r="E3131" s="3" t="str">
        <f>IF(ISERROR(VLOOKUP(B3131,Failures!$A$1:$A$4000,1,FALSE)),"Keep","Delete")</f>
        <v>Keep</v>
      </c>
      <c r="F3131" t="str">
        <f>IF(ISNUMBER(SEARCH("#",B3131)), LEFT(B3131,FIND("#",B3131)-1), B3131)</f>
        <v>Camera</v>
      </c>
      <c r="G3131" s="26">
        <f>IF(ISNUMBER(SEARCH("#",B3131)),VALUE(MID(B3131,FIND("#",B3131)+1,1000)),1)</f>
        <v>1</v>
      </c>
      <c r="H3131" t="str">
        <f>IF(AND(regexMatch(B3131,".*#[0-9]*$"),ISNUMBER(SEARCH("#",B3131))),CONCATENATE(TRIM(F3131)," #",G3131),B3131)</f>
        <v>Camera</v>
      </c>
    </row>
    <row r="3132" spans="1:8" ht="15.75" thickBot="1" x14ac:dyDescent="0.3">
      <c r="A3132" s="1" t="s">
        <v>1419</v>
      </c>
      <c r="B3132" s="1" t="s">
        <v>1420</v>
      </c>
      <c r="C3132" s="2" t="s">
        <v>5</v>
      </c>
      <c r="D3132" s="2" t="s">
        <v>117</v>
      </c>
      <c r="E3132" s="3" t="str">
        <f>IF(ISERROR(VLOOKUP(B3132,Failures!$A$1:$A$4000,1,FALSE)),"Keep","Delete")</f>
        <v>Keep</v>
      </c>
      <c r="F3132" t="str">
        <f>IF(ISNUMBER(SEARCH("#",B3132)), LEFT(B3132,FIND("#",B3132)-1), B3132)</f>
        <v>Camera Flash Unit</v>
      </c>
      <c r="G3132" s="26">
        <f>IF(ISNUMBER(SEARCH("#",B3132)),VALUE(MID(B3132,FIND("#",B3132)+1,1000)),1)</f>
        <v>1</v>
      </c>
      <c r="H3132" t="str">
        <f>IF(AND(regexMatch(B3132,".*#[0-9]*$"),ISNUMBER(SEARCH("#",B3132))),CONCATENATE(TRIM(F3132)," #",G3132),B3132)</f>
        <v>Camera Flash Unit</v>
      </c>
    </row>
    <row r="3133" spans="1:8" ht="15.75" thickBot="1" x14ac:dyDescent="0.3">
      <c r="A3133" s="1" t="s">
        <v>567</v>
      </c>
      <c r="B3133" s="1" t="s">
        <v>568</v>
      </c>
      <c r="C3133" s="2" t="s">
        <v>5</v>
      </c>
      <c r="D3133" s="2" t="s">
        <v>117</v>
      </c>
      <c r="E3133" s="3" t="str">
        <f>IF(ISERROR(VLOOKUP(B3133,Failures!$A$1:$A$4000,1,FALSE)),"Keep","Delete")</f>
        <v>Keep</v>
      </c>
      <c r="F3133" t="str">
        <f>IF(ISNUMBER(SEARCH("#",B3133)), LEFT(B3133,FIND("#",B3133)-1), B3133)</f>
        <v>Camera Strap</v>
      </c>
      <c r="G3133" s="26">
        <f>IF(ISNUMBER(SEARCH("#",B3133)),VALUE(MID(B3133,FIND("#",B3133)+1,1000)),1)</f>
        <v>1</v>
      </c>
      <c r="H3133" t="str">
        <f>IF(AND(regexMatch(B3133,".*#[0-9]*$"),ISNUMBER(SEARCH("#",B3133))),CONCATENATE(TRIM(F3133)," #",G3133),B3133)</f>
        <v>Camera Strap</v>
      </c>
    </row>
    <row r="3134" spans="1:8" ht="15.75" thickBot="1" x14ac:dyDescent="0.3">
      <c r="A3134" s="27" t="s">
        <v>7350</v>
      </c>
      <c r="B3134" s="22" t="s">
        <v>10538</v>
      </c>
      <c r="C3134" s="1"/>
      <c r="D3134" s="2" t="s">
        <v>117</v>
      </c>
      <c r="E3134" s="3" t="str">
        <f>IF(ISERROR(VLOOKUP(B3134,Failures!$A$1:$A$4000,1,FALSE)),"Keep","Delete")</f>
        <v>Keep</v>
      </c>
      <c r="F3134" t="str">
        <f>IF(ISNUMBER(SEARCH("#",B3134)), LEFT(B3134,FIND("#",B3134)-1), B3134)</f>
        <v>Car Keys</v>
      </c>
      <c r="G3134" s="26">
        <f>IF(ISNUMBER(SEARCH("#",B3134)),VALUE(MID(B3134,FIND("#",B3134)+1,1000)),1)</f>
        <v>1</v>
      </c>
      <c r="H3134" t="str">
        <f>IF(AND(regexMatch(B3134,".*#[0-9]*$"),ISNUMBER(SEARCH("#",B3134))),CONCATENATE(TRIM(F3134)," #",G3134),B3134)</f>
        <v>Car Keys</v>
      </c>
    </row>
    <row r="3135" spans="1:8" ht="15.75" thickBot="1" x14ac:dyDescent="0.3">
      <c r="A3135" s="1" t="s">
        <v>2793</v>
      </c>
      <c r="B3135" s="1" t="s">
        <v>704</v>
      </c>
      <c r="C3135" s="2" t="s">
        <v>5</v>
      </c>
      <c r="D3135" s="2" t="s">
        <v>117</v>
      </c>
      <c r="E3135" s="3" t="str">
        <f>IF(ISERROR(VLOOKUP(B3135,Failures!$A$1:$A$4000,1,FALSE)),"Keep","Delete")</f>
        <v>Keep</v>
      </c>
      <c r="F3135" t="str">
        <f>IF(ISNUMBER(SEARCH("#",B3135)), LEFT(B3135,FIND("#",B3135)-1), B3135)</f>
        <v xml:space="preserve">Cigar </v>
      </c>
      <c r="G3135" s="26">
        <f>IF(ISNUMBER(SEARCH("#",B3135)),VALUE(MID(B3135,FIND("#",B3135)+1,1000)),1)</f>
        <v>1</v>
      </c>
      <c r="H3135" t="str">
        <f>IF(AND(regexMatch(B3135,".*#[0-9]*$"),ISNUMBER(SEARCH("#",B3135))),CONCATENATE(TRIM(F3135)," #",G3135),B3135)</f>
        <v>Cigar #1</v>
      </c>
    </row>
    <row r="3136" spans="1:8" ht="15.75" thickBot="1" x14ac:dyDescent="0.3">
      <c r="A3136" s="1" t="s">
        <v>705</v>
      </c>
      <c r="B3136" s="1" t="s">
        <v>706</v>
      </c>
      <c r="C3136" s="2" t="s">
        <v>5</v>
      </c>
      <c r="D3136" s="2" t="s">
        <v>117</v>
      </c>
      <c r="E3136" s="3" t="str">
        <f>IF(ISERROR(VLOOKUP(B3136,Failures!$A$1:$A$4000,1,FALSE)),"Keep","Delete")</f>
        <v>Keep</v>
      </c>
      <c r="F3136" t="str">
        <f>IF(ISNUMBER(SEARCH("#",B3136)), LEFT(B3136,FIND("#",B3136)-1), B3136)</f>
        <v xml:space="preserve">Cigar </v>
      </c>
      <c r="G3136" s="26">
        <f>IF(ISNUMBER(SEARCH("#",B3136)),VALUE(MID(B3136,FIND("#",B3136)+1,1000)),1)</f>
        <v>2</v>
      </c>
      <c r="H3136" t="str">
        <f>IF(AND(regexMatch(B3136,".*#[0-9]*$"),ISNUMBER(SEARCH("#",B3136))),CONCATENATE(TRIM(F3136)," #",G3136),B3136)</f>
        <v>Cigar #2</v>
      </c>
    </row>
    <row r="3137" spans="1:8" ht="15.75" thickBot="1" x14ac:dyDescent="0.3">
      <c r="A3137" s="1" t="s">
        <v>707</v>
      </c>
      <c r="B3137" s="1" t="s">
        <v>708</v>
      </c>
      <c r="C3137" s="2" t="s">
        <v>5</v>
      </c>
      <c r="D3137" s="2" t="s">
        <v>117</v>
      </c>
      <c r="E3137" s="3" t="str">
        <f>IF(ISERROR(VLOOKUP(B3137,Failures!$A$1:$A$4000,1,FALSE)),"Keep","Delete")</f>
        <v>Keep</v>
      </c>
      <c r="F3137" t="str">
        <f>IF(ISNUMBER(SEARCH("#",B3137)), LEFT(B3137,FIND("#",B3137)-1), B3137)</f>
        <v xml:space="preserve">Cigar </v>
      </c>
      <c r="G3137" s="26">
        <f>IF(ISNUMBER(SEARCH("#",B3137)),VALUE(MID(B3137,FIND("#",B3137)+1,1000)),1)</f>
        <v>3</v>
      </c>
      <c r="H3137" t="str">
        <f>IF(AND(regexMatch(B3137,".*#[0-9]*$"),ISNUMBER(SEARCH("#",B3137))),CONCATENATE(TRIM(F3137)," #",G3137),B3137)</f>
        <v>Cigar #3</v>
      </c>
    </row>
    <row r="3138" spans="1:8" ht="15.75" thickBot="1" x14ac:dyDescent="0.3">
      <c r="A3138" s="1" t="s">
        <v>703</v>
      </c>
      <c r="B3138" s="1" t="s">
        <v>3606</v>
      </c>
      <c r="C3138" s="2" t="s">
        <v>5</v>
      </c>
      <c r="D3138" s="2" t="s">
        <v>117</v>
      </c>
      <c r="E3138" s="3" t="str">
        <f>IF(ISERROR(VLOOKUP(B3138,Failures!$A$1:$A$4000,1,FALSE)),"Keep","Delete")</f>
        <v>Keep</v>
      </c>
      <c r="F3138" t="str">
        <f>IF(ISNUMBER(SEARCH("#",B3138)), LEFT(B3138,FIND("#",B3138)-1), B3138)</f>
        <v xml:space="preserve">Cigar </v>
      </c>
      <c r="G3138" s="26">
        <f>IF(ISNUMBER(SEARCH("#",B3138)),VALUE(MID(B3138,FIND("#",B3138)+1,1000)),1)</f>
        <v>4</v>
      </c>
      <c r="H3138" t="str">
        <f>IF(AND(regexMatch(B3138,".*#[0-9]*$"),ISNUMBER(SEARCH("#",B3138))),CONCATENATE(TRIM(F3138)," #",G3138),B3138)</f>
        <v>Cigar #4</v>
      </c>
    </row>
    <row r="3139" spans="1:8" ht="15.75" thickBot="1" x14ac:dyDescent="0.3">
      <c r="A3139" s="1" t="s">
        <v>709</v>
      </c>
      <c r="B3139" s="1" t="s">
        <v>710</v>
      </c>
      <c r="C3139" s="2" t="s">
        <v>5</v>
      </c>
      <c r="D3139" s="2" t="s">
        <v>117</v>
      </c>
      <c r="E3139" s="3" t="str">
        <f>IF(ISERROR(VLOOKUP(B3139,Failures!$A$1:$A$4000,1,FALSE)),"Keep","Delete")</f>
        <v>Keep</v>
      </c>
      <c r="F3139" t="str">
        <f>IF(ISNUMBER(SEARCH("#",B3139)), LEFT(B3139,FIND("#",B3139)-1), B3139)</f>
        <v xml:space="preserve">Cigar Pack </v>
      </c>
      <c r="G3139" s="26">
        <f>IF(ISNUMBER(SEARCH("#",B3139)),VALUE(MID(B3139,FIND("#",B3139)+1,1000)),1)</f>
        <v>1</v>
      </c>
      <c r="H3139" t="str">
        <f>IF(AND(regexMatch(B3139,".*#[0-9]*$"),ISNUMBER(SEARCH("#",B3139))),CONCATENATE(TRIM(F3139)," #",G3139),B3139)</f>
        <v>Cigar Pack #1</v>
      </c>
    </row>
    <row r="3140" spans="1:8" ht="15.75" thickBot="1" x14ac:dyDescent="0.3">
      <c r="A3140" s="1" t="s">
        <v>711</v>
      </c>
      <c r="B3140" s="1" t="s">
        <v>712</v>
      </c>
      <c r="C3140" s="2" t="s">
        <v>5</v>
      </c>
      <c r="D3140" s="2" t="s">
        <v>117</v>
      </c>
      <c r="E3140" s="3" t="str">
        <f>IF(ISERROR(VLOOKUP(B3140,Failures!$A$1:$A$4000,1,FALSE)),"Keep","Delete")</f>
        <v>Keep</v>
      </c>
      <c r="F3140" t="str">
        <f>IF(ISNUMBER(SEARCH("#",B3140)), LEFT(B3140,FIND("#",B3140)-1), B3140)</f>
        <v xml:space="preserve">Cigar Pack </v>
      </c>
      <c r="G3140" s="26">
        <f>IF(ISNUMBER(SEARCH("#",B3140)),VALUE(MID(B3140,FIND("#",B3140)+1,1000)),1)</f>
        <v>2</v>
      </c>
      <c r="H3140" t="str">
        <f>IF(AND(regexMatch(B3140,".*#[0-9]*$"),ISNUMBER(SEARCH("#",B3140))),CONCATENATE(TRIM(F3140)," #",G3140),B3140)</f>
        <v>Cigar Pack #2</v>
      </c>
    </row>
    <row r="3141" spans="1:8" ht="15.75" thickBot="1" x14ac:dyDescent="0.3">
      <c r="A3141" s="1" t="s">
        <v>116</v>
      </c>
      <c r="B3141" s="1" t="s">
        <v>3607</v>
      </c>
      <c r="C3141" s="2" t="s">
        <v>5</v>
      </c>
      <c r="D3141" s="2" t="s">
        <v>117</v>
      </c>
      <c r="E3141" s="3" t="str">
        <f>IF(ISERROR(VLOOKUP(B3141,Failures!$A$1:$A$4000,1,FALSE)),"Keep","Delete")</f>
        <v>Keep</v>
      </c>
      <c r="F3141" t="str">
        <f>IF(ISNUMBER(SEARCH("#",B3141)), LEFT(B3141,FIND("#",B3141)-1), B3141)</f>
        <v xml:space="preserve">Cigarette </v>
      </c>
      <c r="G3141" s="26">
        <f>IF(ISNUMBER(SEARCH("#",B3141)),VALUE(MID(B3141,FIND("#",B3141)+1,1000)),1)</f>
        <v>1</v>
      </c>
      <c r="H3141" t="str">
        <f>IF(AND(regexMatch(B3141,".*#[0-9]*$"),ISNUMBER(SEARCH("#",B3141))),CONCATENATE(TRIM(F3141)," #",G3141),B3141)</f>
        <v>Cigarette #1</v>
      </c>
    </row>
    <row r="3142" spans="1:8" ht="15.75" thickBot="1" x14ac:dyDescent="0.3">
      <c r="A3142" s="1" t="s">
        <v>888</v>
      </c>
      <c r="B3142" s="1" t="s">
        <v>3608</v>
      </c>
      <c r="C3142" s="2" t="s">
        <v>5</v>
      </c>
      <c r="D3142" s="2" t="s">
        <v>117</v>
      </c>
      <c r="E3142" s="3" t="str">
        <f>IF(ISERROR(VLOOKUP(B3142,Failures!$A$1:$A$4000,1,FALSE)),"Keep","Delete")</f>
        <v>Keep</v>
      </c>
      <c r="F3142" t="str">
        <f>IF(ISNUMBER(SEARCH("#",B3142)), LEFT(B3142,FIND("#",B3142)-1), B3142)</f>
        <v xml:space="preserve">Cigarette </v>
      </c>
      <c r="G3142" s="26">
        <f>IF(ISNUMBER(SEARCH("#",B3142)),VALUE(MID(B3142,FIND("#",B3142)+1,1000)),1)</f>
        <v>2</v>
      </c>
      <c r="H3142" t="str">
        <f>IF(AND(regexMatch(B3142,".*#[0-9]*$"),ISNUMBER(SEARCH("#",B3142))),CONCATENATE(TRIM(F3142)," #",G3142),B3142)</f>
        <v>Cigarette #2</v>
      </c>
    </row>
    <row r="3143" spans="1:8" ht="15.75" thickBot="1" x14ac:dyDescent="0.3">
      <c r="A3143" s="1" t="s">
        <v>889</v>
      </c>
      <c r="B3143" s="1" t="s">
        <v>3609</v>
      </c>
      <c r="C3143" s="2" t="s">
        <v>5</v>
      </c>
      <c r="D3143" s="2" t="s">
        <v>117</v>
      </c>
      <c r="E3143" s="3" t="str">
        <f>IF(ISERROR(VLOOKUP(B3143,Failures!$A$1:$A$4000,1,FALSE)),"Keep","Delete")</f>
        <v>Keep</v>
      </c>
      <c r="F3143" t="str">
        <f>IF(ISNUMBER(SEARCH("#",B3143)), LEFT(B3143,FIND("#",B3143)-1), B3143)</f>
        <v xml:space="preserve">Cigarette </v>
      </c>
      <c r="G3143" s="26">
        <f>IF(ISNUMBER(SEARCH("#",B3143)),VALUE(MID(B3143,FIND("#",B3143)+1,1000)),1)</f>
        <v>3</v>
      </c>
      <c r="H3143" t="str">
        <f>IF(AND(regexMatch(B3143,".*#[0-9]*$"),ISNUMBER(SEARCH("#",B3143))),CONCATENATE(TRIM(F3143)," #",G3143),B3143)</f>
        <v>Cigarette #3</v>
      </c>
    </row>
    <row r="3144" spans="1:8" ht="15.75" thickBot="1" x14ac:dyDescent="0.3">
      <c r="A3144" s="27" t="s">
        <v>7486</v>
      </c>
      <c r="B3144" s="22" t="s">
        <v>10544</v>
      </c>
      <c r="C3144" s="1"/>
      <c r="D3144" s="2" t="s">
        <v>117</v>
      </c>
      <c r="E3144" s="3" t="str">
        <f>IF(ISERROR(VLOOKUP(B3144,Failures!$A$1:$A$4000,1,FALSE)),"Keep","Delete")</f>
        <v>Keep</v>
      </c>
      <c r="F3144" t="str">
        <f>IF(ISNUMBER(SEARCH("#",B3144)), LEFT(B3144,FIND("#",B3144)-1), B3144)</f>
        <v>Cigarette Lighter</v>
      </c>
      <c r="G3144" s="26">
        <f>IF(ISNUMBER(SEARCH("#",B3144)),VALUE(MID(B3144,FIND("#",B3144)+1,1000)),1)</f>
        <v>1</v>
      </c>
      <c r="H3144" t="str">
        <f>IF(AND(regexMatch(B3144,".*#[0-9]*$"),ISNUMBER(SEARCH("#",B3144))),CONCATENATE(TRIM(F3144)," #",G3144),B3144)</f>
        <v>Cigarette Lighter</v>
      </c>
    </row>
    <row r="3145" spans="1:8" ht="15.75" thickBot="1" x14ac:dyDescent="0.3">
      <c r="A3145" s="1" t="s">
        <v>5248</v>
      </c>
      <c r="B3145" s="1" t="s">
        <v>10454</v>
      </c>
      <c r="C3145" s="1"/>
      <c r="D3145" s="2" t="s">
        <v>117</v>
      </c>
      <c r="E3145" s="3" t="str">
        <f>IF(ISERROR(VLOOKUP(B3145,Failures!$A$1:$A$4000,1,FALSE)),"Keep","Delete")</f>
        <v>Keep</v>
      </c>
      <c r="F3145" t="str">
        <f>IF(ISNUMBER(SEARCH("#",B3145)), LEFT(B3145,FIND("#",B3145)-1), B3145)</f>
        <v xml:space="preserve">Cigarette Packet </v>
      </c>
      <c r="G3145" s="26">
        <v>1</v>
      </c>
      <c r="H3145" t="str">
        <f>IF(AND(regexMatch(B3145,".*#[0-9]*$"),ISNUMBER(SEARCH("#",B3145))),CONCATENATE(TRIM(F3145)," #",G3145),B3145)</f>
        <v>Cigarette Packet #1</v>
      </c>
    </row>
    <row r="3146" spans="1:8" ht="15.75" thickBot="1" x14ac:dyDescent="0.3">
      <c r="A3146" s="1" t="s">
        <v>5247</v>
      </c>
      <c r="B3146" s="1" t="s">
        <v>10454</v>
      </c>
      <c r="C3146" s="1"/>
      <c r="D3146" s="2" t="s">
        <v>117</v>
      </c>
      <c r="E3146" s="3" t="str">
        <f>IF(ISERROR(VLOOKUP(B3146,Failures!$A$1:$A$4000,1,FALSE)),"Keep","Delete")</f>
        <v>Keep</v>
      </c>
      <c r="F3146" t="str">
        <f>IF(ISNUMBER(SEARCH("#",B3146)), LEFT(B3146,FIND("#",B3146)-1), B3146)</f>
        <v xml:space="preserve">Cigarette Packet </v>
      </c>
      <c r="G3146" s="26">
        <f>G3145+1</f>
        <v>2</v>
      </c>
      <c r="H3146" t="str">
        <f>IF(AND(regexMatch(B3146,".*#[0-9]*$"),ISNUMBER(SEARCH("#",B3146))),CONCATENATE(TRIM(F3146)," #",G3146),B3146)</f>
        <v>Cigarette Packet #2</v>
      </c>
    </row>
    <row r="3147" spans="1:8" ht="15.75" thickBot="1" x14ac:dyDescent="0.3">
      <c r="A3147" s="1" t="s">
        <v>5246</v>
      </c>
      <c r="B3147" s="1" t="s">
        <v>10454</v>
      </c>
      <c r="C3147" s="1"/>
      <c r="D3147" s="2" t="s">
        <v>117</v>
      </c>
      <c r="E3147" s="3" t="str">
        <f>IF(ISERROR(VLOOKUP(B3147,Failures!$A$1:$A$4000,1,FALSE)),"Keep","Delete")</f>
        <v>Keep</v>
      </c>
      <c r="F3147" t="str">
        <f>IF(ISNUMBER(SEARCH("#",B3147)), LEFT(B3147,FIND("#",B3147)-1), B3147)</f>
        <v xml:space="preserve">Cigarette Packet </v>
      </c>
      <c r="G3147" s="26">
        <f>G3146+1</f>
        <v>3</v>
      </c>
      <c r="H3147" t="str">
        <f>IF(AND(regexMatch(B3147,".*#[0-9]*$"),ISNUMBER(SEARCH("#",B3147))),CONCATENATE(TRIM(F3147)," #",G3147),B3147)</f>
        <v>Cigarette Packet #3</v>
      </c>
    </row>
    <row r="3148" spans="1:8" ht="15.75" thickBot="1" x14ac:dyDescent="0.3">
      <c r="A3148" s="1" t="s">
        <v>5245</v>
      </c>
      <c r="B3148" s="1" t="s">
        <v>10454</v>
      </c>
      <c r="C3148" s="1"/>
      <c r="D3148" s="2" t="s">
        <v>117</v>
      </c>
      <c r="E3148" s="3" t="str">
        <f>IF(ISERROR(VLOOKUP(B3148,Failures!$A$1:$A$4000,1,FALSE)),"Keep","Delete")</f>
        <v>Keep</v>
      </c>
      <c r="F3148" t="str">
        <f>IF(ISNUMBER(SEARCH("#",B3148)), LEFT(B3148,FIND("#",B3148)-1), B3148)</f>
        <v xml:space="preserve">Cigarette Packet </v>
      </c>
      <c r="G3148" s="26">
        <f>G3147+1</f>
        <v>4</v>
      </c>
      <c r="H3148" t="str">
        <f>IF(AND(regexMatch(B3148,".*#[0-9]*$"),ISNUMBER(SEARCH("#",B3148))),CONCATENATE(TRIM(F3148)," #",G3148),B3148)</f>
        <v>Cigarette Packet #4</v>
      </c>
    </row>
    <row r="3149" spans="1:8" ht="15.75" thickBot="1" x14ac:dyDescent="0.3">
      <c r="A3149" s="1" t="s">
        <v>5244</v>
      </c>
      <c r="B3149" s="1" t="s">
        <v>10454</v>
      </c>
      <c r="C3149" s="1"/>
      <c r="D3149" s="2" t="s">
        <v>117</v>
      </c>
      <c r="E3149" s="3" t="str">
        <f>IF(ISERROR(VLOOKUP(B3149,Failures!$A$1:$A$4000,1,FALSE)),"Keep","Delete")</f>
        <v>Keep</v>
      </c>
      <c r="F3149" t="str">
        <f>IF(ISNUMBER(SEARCH("#",B3149)), LEFT(B3149,FIND("#",B3149)-1), B3149)</f>
        <v xml:space="preserve">Cigarette Packet </v>
      </c>
      <c r="G3149" s="26">
        <f>G3148+1</f>
        <v>5</v>
      </c>
      <c r="H3149" t="str">
        <f>IF(AND(regexMatch(B3149,".*#[0-9]*$"),ISNUMBER(SEARCH("#",B3149))),CONCATENATE(TRIM(F3149)," #",G3149),B3149)</f>
        <v>Cigarette Packet #5</v>
      </c>
    </row>
    <row r="3150" spans="1:8" ht="15.75" thickBot="1" x14ac:dyDescent="0.3">
      <c r="A3150" s="1" t="s">
        <v>5243</v>
      </c>
      <c r="B3150" s="1" t="s">
        <v>10454</v>
      </c>
      <c r="C3150" s="1"/>
      <c r="D3150" s="2" t="s">
        <v>117</v>
      </c>
      <c r="E3150" s="3" t="str">
        <f>IF(ISERROR(VLOOKUP(B3150,Failures!$A$1:$A$4000,1,FALSE)),"Keep","Delete")</f>
        <v>Keep</v>
      </c>
      <c r="F3150" t="str">
        <f>IF(ISNUMBER(SEARCH("#",B3150)), LEFT(B3150,FIND("#",B3150)-1), B3150)</f>
        <v xml:space="preserve">Cigarette Packet </v>
      </c>
      <c r="G3150" s="26">
        <f>G3149+1</f>
        <v>6</v>
      </c>
      <c r="H3150" t="str">
        <f>IF(AND(regexMatch(B3150,".*#[0-9]*$"),ISNUMBER(SEARCH("#",B3150))),CONCATENATE(TRIM(F3150)," #",G3150),B3150)</f>
        <v>Cigarette Packet #6</v>
      </c>
    </row>
    <row r="3151" spans="1:8" ht="15.75" thickBot="1" x14ac:dyDescent="0.3">
      <c r="A3151" s="1" t="s">
        <v>1907</v>
      </c>
      <c r="B3151" s="1" t="s">
        <v>10454</v>
      </c>
      <c r="C3151" s="2" t="s">
        <v>145</v>
      </c>
      <c r="D3151" s="2" t="s">
        <v>117</v>
      </c>
      <c r="E3151" s="3" t="str">
        <f>IF(ISERROR(VLOOKUP(B3151,Failures!$A$1:$A$4000,1,FALSE)),"Keep","Delete")</f>
        <v>Keep</v>
      </c>
      <c r="F3151" t="str">
        <f>IF(ISNUMBER(SEARCH("#",B3151)), LEFT(B3151,FIND("#",B3151)-1), B3151)</f>
        <v xml:space="preserve">Cigarette Packet </v>
      </c>
      <c r="G3151" s="26">
        <v>7</v>
      </c>
      <c r="H3151" t="str">
        <f>IF(AND(regexMatch(B3151,".*#[0-9]*$"),ISNUMBER(SEARCH("#",B3151))),CONCATENATE(TRIM(F3151)," #",G3151),B3151)</f>
        <v>Cigarette Packet #7</v>
      </c>
    </row>
    <row r="3152" spans="1:8" ht="15.75" thickBot="1" x14ac:dyDescent="0.3">
      <c r="A3152" s="1" t="s">
        <v>1908</v>
      </c>
      <c r="B3152" s="1" t="s">
        <v>10454</v>
      </c>
      <c r="C3152" s="2" t="s">
        <v>145</v>
      </c>
      <c r="D3152" s="2" t="s">
        <v>117</v>
      </c>
      <c r="E3152" s="3" t="str">
        <f>IF(ISERROR(VLOOKUP(B3152,Failures!$A$1:$A$4000,1,FALSE)),"Keep","Delete")</f>
        <v>Keep</v>
      </c>
      <c r="F3152" t="str">
        <f>IF(ISNUMBER(SEARCH("#",B3152)), LEFT(B3152,FIND("#",B3152)-1), B3152)</f>
        <v xml:space="preserve">Cigarette Packet </v>
      </c>
      <c r="G3152" s="26">
        <v>8</v>
      </c>
      <c r="H3152" t="str">
        <f>IF(AND(regexMatch(B3152,".*#[0-9]*$"),ISNUMBER(SEARCH("#",B3152))),CONCATENATE(TRIM(F3152)," #",G3152),B3152)</f>
        <v>Cigarette Packet #8</v>
      </c>
    </row>
    <row r="3153" spans="1:8" ht="15.75" thickBot="1" x14ac:dyDescent="0.3">
      <c r="A3153" s="27" t="s">
        <v>7485</v>
      </c>
      <c r="B3153" s="22" t="s">
        <v>10552</v>
      </c>
      <c r="C3153" s="1"/>
      <c r="D3153" s="2" t="s">
        <v>117</v>
      </c>
      <c r="E3153" s="3" t="str">
        <f>IF(ISERROR(VLOOKUP(B3153,Failures!$A$1:$A$4000,1,FALSE)),"Keep","Delete")</f>
        <v>Keep</v>
      </c>
      <c r="F3153" t="str">
        <f>IF(ISNUMBER(SEARCH("#",B3153)), LEFT(B3153,FIND("#",B3153)-1), B3153)</f>
        <v xml:space="preserve">Cigarette Papers </v>
      </c>
      <c r="G3153" s="26">
        <f>IF(ISNUMBER(SEARCH("#",B3153)),VALUE(MID(B3153,FIND("#",B3153)+1,1000)),1)</f>
        <v>1</v>
      </c>
      <c r="H3153" t="str">
        <f>IF(AND(regexMatch(B3153,".*#[0-9]*$"),ISNUMBER(SEARCH("#",B3153))),CONCATENATE(TRIM(F3153)," #",G3153),B3153)</f>
        <v>Cigarette Papers #1</v>
      </c>
    </row>
    <row r="3154" spans="1:8" ht="15.75" thickBot="1" x14ac:dyDescent="0.3">
      <c r="A3154" s="27" t="s">
        <v>7484</v>
      </c>
      <c r="B3154" s="22" t="s">
        <v>10553</v>
      </c>
      <c r="C3154" s="1"/>
      <c r="D3154" s="2" t="s">
        <v>117</v>
      </c>
      <c r="E3154" s="3" t="str">
        <f>IF(ISERROR(VLOOKUP(B3154,Failures!$A$1:$A$4000,1,FALSE)),"Keep","Delete")</f>
        <v>Keep</v>
      </c>
      <c r="F3154" t="str">
        <f>IF(ISNUMBER(SEARCH("#",B3154)), LEFT(B3154,FIND("#",B3154)-1), B3154)</f>
        <v xml:space="preserve">Cigarette Papers </v>
      </c>
      <c r="G3154" s="26">
        <f>IF(ISNUMBER(SEARCH("#",B3154)),VALUE(MID(B3154,FIND("#",B3154)+1,1000)),1)</f>
        <v>2</v>
      </c>
      <c r="H3154" t="str">
        <f>IF(AND(regexMatch(B3154,".*#[0-9]*$"),ISNUMBER(SEARCH("#",B3154))),CONCATENATE(TRIM(F3154)," #",G3154),B3154)</f>
        <v>Cigarette Papers #2</v>
      </c>
    </row>
    <row r="3155" spans="1:8" ht="15.75" thickBot="1" x14ac:dyDescent="0.3">
      <c r="A3155" s="27" t="s">
        <v>7483</v>
      </c>
      <c r="B3155" s="22" t="s">
        <v>10554</v>
      </c>
      <c r="C3155" s="1"/>
      <c r="D3155" s="2" t="s">
        <v>117</v>
      </c>
      <c r="E3155" s="3" t="str">
        <f>IF(ISERROR(VLOOKUP(B3155,Failures!$A$1:$A$4000,1,FALSE)),"Keep","Delete")</f>
        <v>Keep</v>
      </c>
      <c r="F3155" t="str">
        <f>IF(ISNUMBER(SEARCH("#",B3155)), LEFT(B3155,FIND("#",B3155)-1), B3155)</f>
        <v xml:space="preserve">Cigarette Papers </v>
      </c>
      <c r="G3155" s="26">
        <f>IF(ISNUMBER(SEARCH("#",B3155)),VALUE(MID(B3155,FIND("#",B3155)+1,1000)),1)</f>
        <v>3</v>
      </c>
      <c r="H3155" t="str">
        <f>IF(AND(regexMatch(B3155,".*#[0-9]*$"),ISNUMBER(SEARCH("#",B3155))),CONCATENATE(TRIM(F3155)," #",G3155),B3155)</f>
        <v>Cigarette Papers #3</v>
      </c>
    </row>
    <row r="3156" spans="1:8" ht="15.75" thickBot="1" x14ac:dyDescent="0.3">
      <c r="A3156" s="1" t="s">
        <v>898</v>
      </c>
      <c r="B3156" s="1" t="s">
        <v>899</v>
      </c>
      <c r="C3156" s="2" t="s">
        <v>5</v>
      </c>
      <c r="D3156" s="2" t="s">
        <v>117</v>
      </c>
      <c r="E3156" s="3" t="str">
        <f>IF(ISERROR(VLOOKUP(B3156,Failures!$A$1:$A$4000,1,FALSE)),"Keep","Delete")</f>
        <v>Keep</v>
      </c>
      <c r="F3156" t="str">
        <f>IF(ISNUMBER(SEARCH("#",B3156)), LEFT(B3156,FIND("#",B3156)-1), B3156)</f>
        <v>Credit Card</v>
      </c>
      <c r="G3156" s="26">
        <f>IF(ISNUMBER(SEARCH("#",B3156)),VALUE(MID(B3156,FIND("#",B3156)+1,1000)),1)</f>
        <v>1</v>
      </c>
      <c r="H3156" t="str">
        <f>IF(AND(regexMatch(B3156,".*#[0-9]*$"),ISNUMBER(SEARCH("#",B3156))),CONCATENATE(TRIM(F3156)," #",G3156),B3156)</f>
        <v>Credit Card</v>
      </c>
    </row>
    <row r="3157" spans="1:8" ht="15.75" thickBot="1" x14ac:dyDescent="0.3">
      <c r="A3157" s="1" t="s">
        <v>903</v>
      </c>
      <c r="B3157" s="1" t="s">
        <v>904</v>
      </c>
      <c r="C3157" s="2" t="s">
        <v>5</v>
      </c>
      <c r="D3157" s="2" t="s">
        <v>117</v>
      </c>
      <c r="E3157" s="3" t="str">
        <f>IF(ISERROR(VLOOKUP(B3157,Failures!$A$1:$A$4000,1,FALSE)),"Keep","Delete")</f>
        <v>Keep</v>
      </c>
      <c r="F3157" t="str">
        <f>IF(ISNUMBER(SEARCH("#",B3157)), LEFT(B3157,FIND("#",B3157)-1), B3157)</f>
        <v>Diaphragm</v>
      </c>
      <c r="G3157" s="26">
        <f>IF(ISNUMBER(SEARCH("#",B3157)),VALUE(MID(B3157,FIND("#",B3157)+1,1000)),1)</f>
        <v>1</v>
      </c>
      <c r="H3157" t="str">
        <f>IF(AND(regexMatch(B3157,".*#[0-9]*$"),ISNUMBER(SEARCH("#",B3157))),CONCATENATE(TRIM(F3157)," #",G3157),B3157)</f>
        <v>Diaphragm</v>
      </c>
    </row>
    <row r="3158" spans="1:8" ht="15.75" thickBot="1" x14ac:dyDescent="0.3">
      <c r="A3158" s="1" t="s">
        <v>905</v>
      </c>
      <c r="B3158" s="1" t="s">
        <v>906</v>
      </c>
      <c r="C3158" s="2" t="s">
        <v>5</v>
      </c>
      <c r="D3158" s="2" t="s">
        <v>117</v>
      </c>
      <c r="E3158" s="3" t="str">
        <f>IF(ISERROR(VLOOKUP(B3158,Failures!$A$1:$A$4000,1,FALSE)),"Keep","Delete")</f>
        <v>Keep</v>
      </c>
      <c r="F3158" t="str">
        <f>IF(ISNUMBER(SEARCH("#",B3158)), LEFT(B3158,FIND("#",B3158)-1), B3158)</f>
        <v>Dildo</v>
      </c>
      <c r="G3158" s="26">
        <f>IF(ISNUMBER(SEARCH("#",B3158)),VALUE(MID(B3158,FIND("#",B3158)+1,1000)),1)</f>
        <v>1</v>
      </c>
      <c r="H3158" t="str">
        <f>IF(AND(regexMatch(B3158,".*#[0-9]*$"),ISNUMBER(SEARCH("#",B3158))),CONCATENATE(TRIM(F3158)," #",G3158),B3158)</f>
        <v>Dildo</v>
      </c>
    </row>
    <row r="3159" spans="1:8" ht="15.75" thickBot="1" x14ac:dyDescent="0.3">
      <c r="A3159" s="1" t="s">
        <v>1382</v>
      </c>
      <c r="B3159" s="1" t="s">
        <v>3680</v>
      </c>
      <c r="C3159" s="2" t="s">
        <v>5</v>
      </c>
      <c r="D3159" s="2" t="s">
        <v>117</v>
      </c>
      <c r="E3159" s="3" t="str">
        <f>IF(ISERROR(VLOOKUP(B3159,Failures!$A$1:$A$4000,1,FALSE)),"Keep","Delete")</f>
        <v>Keep</v>
      </c>
      <c r="F3159" t="str">
        <f>IF(ISNUMBER(SEARCH("#",B3159)), LEFT(B3159,FIND("#",B3159)-1), B3159)</f>
        <v>Fag Packet</v>
      </c>
      <c r="G3159" s="26">
        <f>IF(ISNUMBER(SEARCH("#",B3159)),VALUE(MID(B3159,FIND("#",B3159)+1,1000)),1)</f>
        <v>1</v>
      </c>
      <c r="H3159" t="str">
        <f>IF(AND(regexMatch(B3159,".*#[0-9]*$"),ISNUMBER(SEARCH("#",B3159))),CONCATENATE(TRIM(F3159)," #",G3159),B3159)</f>
        <v>Fag Packet</v>
      </c>
    </row>
    <row r="3160" spans="1:8" ht="15.75" thickBot="1" x14ac:dyDescent="0.3">
      <c r="A3160" s="1" t="s">
        <v>1923</v>
      </c>
      <c r="B3160" s="1" t="s">
        <v>1924</v>
      </c>
      <c r="C3160" s="2" t="s">
        <v>145</v>
      </c>
      <c r="D3160" s="2" t="s">
        <v>117</v>
      </c>
      <c r="E3160" s="3" t="str">
        <f>IF(ISERROR(VLOOKUP(B3160,Failures!$A$1:$A$4000,1,FALSE)),"Keep","Delete")</f>
        <v>Keep</v>
      </c>
      <c r="F3160" t="str">
        <f>IF(ISNUMBER(SEARCH("#",B3160)), LEFT(B3160,FIND("#",B3160)-1), B3160)</f>
        <v>Gold Tooth</v>
      </c>
      <c r="G3160" s="26">
        <f>IF(ISNUMBER(SEARCH("#",B3160)),VALUE(MID(B3160,FIND("#",B3160)+1,1000)),1)</f>
        <v>1</v>
      </c>
      <c r="H3160" t="str">
        <f>IF(AND(regexMatch(B3160,".*#[0-9]*$"),ISNUMBER(SEARCH("#",B3160))),CONCATENATE(TRIM(F3160)," #",G3160),B3160)</f>
        <v>Gold Tooth</v>
      </c>
    </row>
    <row r="3161" spans="1:8" ht="15.75" thickBot="1" x14ac:dyDescent="0.3">
      <c r="A3161" s="1" t="s">
        <v>1674</v>
      </c>
      <c r="B3161" s="1" t="s">
        <v>3722</v>
      </c>
      <c r="C3161" s="2" t="s">
        <v>145</v>
      </c>
      <c r="D3161" s="2" t="s">
        <v>117</v>
      </c>
      <c r="E3161" s="3" t="str">
        <f>IF(ISERROR(VLOOKUP(B3161,Failures!$A$1:$A$4000,1,FALSE)),"Keep","Delete")</f>
        <v>Keep</v>
      </c>
      <c r="F3161" t="str">
        <f>IF(ISNUMBER(SEARCH("#",B3161)), LEFT(B3161,FIND("#",B3161)-1), B3161)</f>
        <v>Huff Rag</v>
      </c>
      <c r="G3161" s="26">
        <f>IF(ISNUMBER(SEARCH("#",B3161)),VALUE(MID(B3161,FIND("#",B3161)+1,1000)),1)</f>
        <v>1</v>
      </c>
      <c r="H3161" t="str">
        <f>IF(AND(regexMatch(B3161,".*#[0-9]*$"),ISNUMBER(SEARCH("#",B3161))),CONCATENATE(TRIM(F3161)," #",G3161),B3161)</f>
        <v>Huff Rag</v>
      </c>
    </row>
    <row r="3162" spans="1:8" ht="15.75" thickBot="1" x14ac:dyDescent="0.3">
      <c r="A3162" s="1" t="s">
        <v>1734</v>
      </c>
      <c r="B3162" s="1" t="s">
        <v>3727</v>
      </c>
      <c r="C3162" s="2" t="s">
        <v>5</v>
      </c>
      <c r="D3162" s="2" t="s">
        <v>117</v>
      </c>
      <c r="E3162" s="3" t="str">
        <f>IF(ISERROR(VLOOKUP(B3162,Failures!$A$1:$A$4000,1,FALSE)),"Keep","Delete")</f>
        <v>Keep</v>
      </c>
      <c r="F3162" t="str">
        <f>IF(ISNUMBER(SEARCH("#",B3162)), LEFT(B3162,FIND("#",B3162)-1), B3162)</f>
        <v>Inhaler</v>
      </c>
      <c r="G3162" s="26">
        <f>IF(ISNUMBER(SEARCH("#",B3162)),VALUE(MID(B3162,FIND("#",B3162)+1,1000)),1)</f>
        <v>1</v>
      </c>
      <c r="H3162" t="str">
        <f>IF(AND(regexMatch(B3162,".*#[0-9]*$"),ISNUMBER(SEARCH("#",B3162))),CONCATENATE(TRIM(F3162)," #",G3162),B3162)</f>
        <v>Inhaler</v>
      </c>
    </row>
    <row r="3163" spans="1:8" ht="15.75" thickBot="1" x14ac:dyDescent="0.3">
      <c r="A3163" s="1" t="s">
        <v>990</v>
      </c>
      <c r="B3163" s="1" t="s">
        <v>3747</v>
      </c>
      <c r="C3163" s="2" t="s">
        <v>5</v>
      </c>
      <c r="D3163" s="2" t="s">
        <v>117</v>
      </c>
      <c r="E3163" s="3" t="str">
        <f>IF(ISERROR(VLOOKUP(B3163,Failures!$A$1:$A$4000,1,FALSE)),"Keep","Delete")</f>
        <v>Keep</v>
      </c>
      <c r="F3163" t="str">
        <f>IF(ISNUMBER(SEARCH("#",B3163)), LEFT(B3163,FIND("#",B3163)-1), B3163)</f>
        <v>Keys</v>
      </c>
      <c r="G3163" s="26">
        <f>IF(ISNUMBER(SEARCH("#",B3163)),VALUE(MID(B3163,FIND("#",B3163)+1,1000)),1)</f>
        <v>1</v>
      </c>
      <c r="H3163" t="str">
        <f>IF(AND(regexMatch(B3163,".*#[0-9]*$"),ISNUMBER(SEARCH("#",B3163))),CONCATENATE(TRIM(F3163)," #",G3163),B3163)</f>
        <v>Keys</v>
      </c>
    </row>
    <row r="3164" spans="1:8" ht="15.75" thickBot="1" x14ac:dyDescent="0.3">
      <c r="A3164" s="1" t="s">
        <v>1007</v>
      </c>
      <c r="B3164" s="1" t="s">
        <v>1008</v>
      </c>
      <c r="C3164" s="4" t="s">
        <v>5</v>
      </c>
      <c r="D3164" s="2" t="s">
        <v>117</v>
      </c>
      <c r="E3164" s="3" t="str">
        <f>IF(ISERROR(VLOOKUP(B3164,Failures!$A$1:$A$4000,1,FALSE)),"Keep","Delete")</f>
        <v>Keep</v>
      </c>
      <c r="F3164" t="str">
        <f>IF(ISNUMBER(SEARCH("#",B3164)), LEFT(B3164,FIND("#",B3164)-1), B3164)</f>
        <v>Lipstick</v>
      </c>
      <c r="G3164" s="26">
        <f>IF(ISNUMBER(SEARCH("#",B3164)),VALUE(MID(B3164,FIND("#",B3164)+1,1000)),1)</f>
        <v>1</v>
      </c>
      <c r="H3164" t="str">
        <f>IF(AND(regexMatch(B3164,".*#[0-9]*$"),ISNUMBER(SEARCH("#",B3164))),CONCATENATE(TRIM(F3164)," #",G3164),B3164)</f>
        <v>Lipstick</v>
      </c>
    </row>
    <row r="3165" spans="1:8" ht="15.75" thickBot="1" x14ac:dyDescent="0.3">
      <c r="A3165" s="1" t="s">
        <v>2325</v>
      </c>
      <c r="B3165" s="1" t="s">
        <v>3803</v>
      </c>
      <c r="C3165" s="2" t="s">
        <v>5</v>
      </c>
      <c r="D3165" s="2" t="s">
        <v>117</v>
      </c>
      <c r="E3165" s="3" t="str">
        <f>IF(ISERROR(VLOOKUP(B3165,Failures!$A$1:$A$4000,1,FALSE)),"Keep","Delete")</f>
        <v>Keep</v>
      </c>
      <c r="F3165" t="str">
        <f>IF(ISNUMBER(SEARCH("#",B3165)), LEFT(B3165,FIND("#",B3165)-1), B3165)</f>
        <v>Paparazzo Camera</v>
      </c>
      <c r="G3165" s="26">
        <f>IF(ISNUMBER(SEARCH("#",B3165)),VALUE(MID(B3165,FIND("#",B3165)+1,1000)),1)</f>
        <v>1</v>
      </c>
      <c r="H3165" t="str">
        <f>IF(AND(regexMatch(B3165,".*#[0-9]*$"),ISNUMBER(SEARCH("#",B3165))),CONCATENATE(TRIM(F3165)," #",G3165),B3165)</f>
        <v>Paparazzo Camera</v>
      </c>
    </row>
    <row r="3166" spans="1:8" ht="15.75" thickBot="1" x14ac:dyDescent="0.3">
      <c r="A3166" s="1" t="s">
        <v>2471</v>
      </c>
      <c r="B3166" s="1" t="s">
        <v>2472</v>
      </c>
      <c r="C3166" s="2" t="s">
        <v>5</v>
      </c>
      <c r="D3166" s="2" t="s">
        <v>117</v>
      </c>
      <c r="E3166" s="3" t="str">
        <f>IF(ISERROR(VLOOKUP(B3166,Failures!$A$1:$A$4000,1,FALSE)),"Keep","Delete")</f>
        <v>Keep</v>
      </c>
      <c r="F3166" t="str">
        <f>IF(ISNUMBER(SEARCH("#",B3166)), LEFT(B3166,FIND("#",B3166)-1), B3166)</f>
        <v xml:space="preserve">Player Phone </v>
      </c>
      <c r="G3166" s="26">
        <f>IF(ISNUMBER(SEARCH("#",B3166)),VALUE(MID(B3166,FIND("#",B3166)+1,1000)),1)</f>
        <v>1</v>
      </c>
      <c r="H3166" t="str">
        <f>IF(AND(regexMatch(B3166,".*#[0-9]*$"),ISNUMBER(SEARCH("#",B3166))),CONCATENATE(TRIM(F3166)," #",G3166),B3166)</f>
        <v>Player Phone #1</v>
      </c>
    </row>
    <row r="3167" spans="1:8" ht="15.75" thickBot="1" x14ac:dyDescent="0.3">
      <c r="A3167" s="1" t="s">
        <v>2473</v>
      </c>
      <c r="B3167" s="1" t="s">
        <v>2474</v>
      </c>
      <c r="C3167" s="2" t="s">
        <v>5</v>
      </c>
      <c r="D3167" s="2" t="s">
        <v>117</v>
      </c>
      <c r="E3167" s="3" t="str">
        <f>IF(ISERROR(VLOOKUP(B3167,Failures!$A$1:$A$4000,1,FALSE)),"Keep","Delete")</f>
        <v>Keep</v>
      </c>
      <c r="F3167" t="str">
        <f>IF(ISNUMBER(SEARCH("#",B3167)), LEFT(B3167,FIND("#",B3167)-1), B3167)</f>
        <v xml:space="preserve">Player Phone </v>
      </c>
      <c r="G3167" s="26">
        <f>IF(ISNUMBER(SEARCH("#",B3167)),VALUE(MID(B3167,FIND("#",B3167)+1,1000)),1)</f>
        <v>2</v>
      </c>
      <c r="H3167" t="str">
        <f>IF(AND(regexMatch(B3167,".*#[0-9]*$"),ISNUMBER(SEARCH("#",B3167))),CONCATENATE(TRIM(F3167)," #",G3167),B3167)</f>
        <v>Player Phone #2</v>
      </c>
    </row>
    <row r="3168" spans="1:8" ht="15.75" thickBot="1" x14ac:dyDescent="0.3">
      <c r="A3168" s="1" t="s">
        <v>1965</v>
      </c>
      <c r="B3168" s="1" t="s">
        <v>1966</v>
      </c>
      <c r="C3168" s="2" t="s">
        <v>145</v>
      </c>
      <c r="D3168" s="2" t="s">
        <v>117</v>
      </c>
      <c r="E3168" s="3" t="str">
        <f>IF(ISERROR(VLOOKUP(B3168,Failures!$A$1:$A$4000,1,FALSE)),"Keep","Delete")</f>
        <v>Keep</v>
      </c>
      <c r="F3168" t="str">
        <f>IF(ISNUMBER(SEARCH("#",B3168)), LEFT(B3168,FIND("#",B3168)-1), B3168)</f>
        <v>Purse</v>
      </c>
      <c r="G3168" s="26">
        <f>IF(ISNUMBER(SEARCH("#",B3168)),VALUE(MID(B3168,FIND("#",B3168)+1,1000)),1)</f>
        <v>1</v>
      </c>
      <c r="H3168" t="str">
        <f>IF(AND(regexMatch(B3168,".*#[0-9]*$"),ISNUMBER(SEARCH("#",B3168))),CONCATENATE(TRIM(F3168)," #",G3168),B3168)</f>
        <v>Purse</v>
      </c>
    </row>
    <row r="3169" spans="1:8" ht="15.75" thickBot="1" x14ac:dyDescent="0.3">
      <c r="A3169" s="27" t="s">
        <v>7357</v>
      </c>
      <c r="B3169" s="22" t="s">
        <v>10528</v>
      </c>
      <c r="C3169" s="1"/>
      <c r="D3169" s="2" t="s">
        <v>117</v>
      </c>
      <c r="E3169" s="3" t="str">
        <f>IF(ISERROR(VLOOKUP(B3169,Failures!$A$1:$A$4000,1,FALSE)),"Keep","Delete")</f>
        <v>Keep</v>
      </c>
      <c r="F3169" t="str">
        <f>IF(ISNUMBER(SEARCH("#",B3169)), LEFT(B3169,FIND("#",B3169)-1), B3169)</f>
        <v xml:space="preserve">Umbrella </v>
      </c>
      <c r="G3169" s="26">
        <v>1</v>
      </c>
      <c r="H3169" t="str">
        <f>IF(AND(regexMatch(B3169,".*#[0-9]*$"),ISNUMBER(SEARCH("#",B3169))),CONCATENATE(TRIM(F3169)," #",G3169),B3169)</f>
        <v>Umbrella #1</v>
      </c>
    </row>
    <row r="3170" spans="1:8" ht="15.75" thickBot="1" x14ac:dyDescent="0.3">
      <c r="A3170" s="27" t="s">
        <v>7356</v>
      </c>
      <c r="B3170" s="22" t="s">
        <v>10528</v>
      </c>
      <c r="C3170" s="1"/>
      <c r="D3170" s="2" t="s">
        <v>117</v>
      </c>
      <c r="E3170" s="3" t="str">
        <f>IF(ISERROR(VLOOKUP(B3170,Failures!$A$1:$A$4000,1,FALSE)),"Keep","Delete")</f>
        <v>Keep</v>
      </c>
      <c r="F3170" t="str">
        <f>IF(ISNUMBER(SEARCH("#",B3170)), LEFT(B3170,FIND("#",B3170)-1), B3170)</f>
        <v xml:space="preserve">Umbrella </v>
      </c>
      <c r="G3170" s="26">
        <v>2</v>
      </c>
      <c r="H3170" t="str">
        <f>IF(AND(regexMatch(B3170,".*#[0-9]*$"),ISNUMBER(SEARCH("#",B3170))),CONCATENATE(TRIM(F3170)," #",G3170),B3170)</f>
        <v>Umbrella #2</v>
      </c>
    </row>
    <row r="3171" spans="1:8" ht="15.75" thickBot="1" x14ac:dyDescent="0.3">
      <c r="A3171" s="1" t="s">
        <v>1166</v>
      </c>
      <c r="B3171" s="1" t="s">
        <v>1167</v>
      </c>
      <c r="C3171" s="2" t="s">
        <v>5</v>
      </c>
      <c r="D3171" s="2" t="s">
        <v>117</v>
      </c>
      <c r="E3171" s="3" t="str">
        <f>IF(ISERROR(VLOOKUP(B3171,Failures!$A$1:$A$4000,1,FALSE)),"Keep","Delete")</f>
        <v>Keep</v>
      </c>
      <c r="F3171" t="str">
        <f>IF(ISNUMBER(SEARCH("#",B3171)), LEFT(B3171,FIND("#",B3171)-1), B3171)</f>
        <v>Walking Stick</v>
      </c>
      <c r="G3171" s="26">
        <f>IF(ISNUMBER(SEARCH("#",B3171)),VALUE(MID(B3171,FIND("#",B3171)+1,1000)),1)</f>
        <v>1</v>
      </c>
      <c r="H3171" t="str">
        <f>IF(AND(regexMatch(B3171,".*#[0-9]*$"),ISNUMBER(SEARCH("#",B3171))),CONCATENATE(TRIM(F3171)," #",G3171),B3171)</f>
        <v>Walking Stick</v>
      </c>
    </row>
    <row r="3172" spans="1:8" ht="15.75" thickBot="1" x14ac:dyDescent="0.3">
      <c r="A3172" s="1" t="s">
        <v>2011</v>
      </c>
      <c r="B3172" s="1" t="s">
        <v>2012</v>
      </c>
      <c r="C3172" s="2" t="s">
        <v>145</v>
      </c>
      <c r="D3172" s="2" t="s">
        <v>117</v>
      </c>
      <c r="E3172" s="3" t="str">
        <f>IF(ISERROR(VLOOKUP(B3172,Failures!$A$1:$A$4000,1,FALSE)),"Keep","Delete")</f>
        <v>Keep</v>
      </c>
      <c r="F3172" t="str">
        <f>IF(ISNUMBER(SEARCH("#",B3172)), LEFT(B3172,FIND("#",B3172)-1), B3172)</f>
        <v xml:space="preserve">Wallet </v>
      </c>
      <c r="G3172" s="26">
        <f>IF(ISNUMBER(SEARCH("#",B3172)),VALUE(MID(B3172,FIND("#",B3172)+1,1000)),1)</f>
        <v>1</v>
      </c>
      <c r="H3172" t="str">
        <f>IF(AND(regexMatch(B3172,".*#[0-9]*$"),ISNUMBER(SEARCH("#",B3172))),CONCATENATE(TRIM(F3172)," #",G3172),B3172)</f>
        <v>Wallet #1</v>
      </c>
    </row>
    <row r="3173" spans="1:8" ht="15.75" thickBot="1" x14ac:dyDescent="0.3">
      <c r="A3173" s="1" t="s">
        <v>2013</v>
      </c>
      <c r="B3173" s="1" t="s">
        <v>2015</v>
      </c>
      <c r="C3173" s="2" t="s">
        <v>145</v>
      </c>
      <c r="D3173" s="2" t="s">
        <v>117</v>
      </c>
      <c r="E3173" s="3" t="str">
        <f>IF(ISERROR(VLOOKUP(B3173,Failures!$A$1:$A$4000,1,FALSE)),"Keep","Delete")</f>
        <v>Keep</v>
      </c>
      <c r="F3173" t="str">
        <f>IF(ISNUMBER(SEARCH("#",B3173)), LEFT(B3173,FIND("#",B3173)-1), B3173)</f>
        <v xml:space="preserve">Wallet </v>
      </c>
      <c r="G3173" s="26">
        <f>IF(ISNUMBER(SEARCH("#",B3173)),VALUE(MID(B3173,FIND("#",B3173)+1,1000)),1)</f>
        <v>2</v>
      </c>
      <c r="H3173" t="str">
        <f>IF(AND(regexMatch(B3173,".*#[0-9]*$"),ISNUMBER(SEARCH("#",B3173))),CONCATENATE(TRIM(F3173)," #",G3173),B3173)</f>
        <v>Wallet #2</v>
      </c>
    </row>
    <row r="3174" spans="1:8" ht="15.75" thickBot="1" x14ac:dyDescent="0.3">
      <c r="A3174" s="1" t="s">
        <v>2014</v>
      </c>
      <c r="B3174" s="1" t="s">
        <v>3938</v>
      </c>
      <c r="C3174" s="2" t="s">
        <v>145</v>
      </c>
      <c r="D3174" s="2" t="s">
        <v>117</v>
      </c>
      <c r="E3174" s="3" t="str">
        <f>IF(ISERROR(VLOOKUP(B3174,Failures!$A$1:$A$4000,1,FALSE)),"Keep","Delete")</f>
        <v>Keep</v>
      </c>
      <c r="F3174" t="str">
        <f>IF(ISNUMBER(SEARCH("#",B3174)), LEFT(B3174,FIND("#",B3174)-1), B3174)</f>
        <v xml:space="preserve">Wallet </v>
      </c>
      <c r="G3174" s="26">
        <f>IF(ISNUMBER(SEARCH("#",B3174)),VALUE(MID(B3174,FIND("#",B3174)+1,1000)),1)</f>
        <v>3</v>
      </c>
      <c r="H3174" t="str">
        <f>IF(AND(regexMatch(B3174,".*#[0-9]*$"),ISNUMBER(SEARCH("#",B3174))),CONCATENATE(TRIM(F3174)," #",G3174),B3174)</f>
        <v>Wallet #3</v>
      </c>
    </row>
    <row r="3175" spans="1:8" ht="15.75" thickBot="1" x14ac:dyDescent="0.3">
      <c r="A3175" s="1" t="s">
        <v>2016</v>
      </c>
      <c r="B3175" s="1" t="s">
        <v>2017</v>
      </c>
      <c r="C3175" s="2" t="s">
        <v>145</v>
      </c>
      <c r="D3175" s="2" t="s">
        <v>117</v>
      </c>
      <c r="E3175" s="3" t="str">
        <f>IF(ISERROR(VLOOKUP(B3175,Failures!$A$1:$A$4000,1,FALSE)),"Keep","Delete")</f>
        <v>Keep</v>
      </c>
      <c r="F3175" t="str">
        <f>IF(ISNUMBER(SEARCH("#",B3175)), LEFT(B3175,FIND("#",B3175)-1), B3175)</f>
        <v>Wallet Pickup</v>
      </c>
      <c r="G3175" s="26">
        <f>IF(ISNUMBER(SEARCH("#",B3175)),VALUE(MID(B3175,FIND("#",B3175)+1,1000)),1)</f>
        <v>1</v>
      </c>
      <c r="H3175" t="str">
        <f>IF(AND(regexMatch(B3175,".*#[0-9]*$"),ISNUMBER(SEARCH("#",B3175))),CONCATENATE(TRIM(F3175)," #",G3175),B3175)</f>
        <v>Wallet Pickup</v>
      </c>
    </row>
    <row r="3176" spans="1:8" ht="15.75" thickBot="1" x14ac:dyDescent="0.3">
      <c r="A3176" s="1" t="s">
        <v>2001</v>
      </c>
      <c r="B3176" s="1" t="s">
        <v>2002</v>
      </c>
      <c r="C3176" s="2" t="s">
        <v>145</v>
      </c>
      <c r="D3176" s="2" t="s">
        <v>117</v>
      </c>
      <c r="E3176" s="3" t="str">
        <f>IF(ISERROR(VLOOKUP(B3176,Failures!$A$1:$A$4000,1,FALSE)),"Keep","Delete")</f>
        <v>Keep</v>
      </c>
      <c r="F3176" t="str">
        <f>IF(ISNUMBER(SEARCH("#",B3176)), LEFT(B3176,FIND("#",B3176)-1), B3176)</f>
        <v>White Tooth</v>
      </c>
      <c r="G3176" s="26">
        <f>IF(ISNUMBER(SEARCH("#",B3176)),VALUE(MID(B3176,FIND("#",B3176)+1,1000)),1)</f>
        <v>1</v>
      </c>
      <c r="H3176" t="str">
        <f>IF(AND(regexMatch(B3176,".*#[0-9]*$"),ISNUMBER(SEARCH("#",B3176))),CONCATENATE(TRIM(F3176)," #",G3176),B3176)</f>
        <v>White Tooth</v>
      </c>
    </row>
    <row r="3177" spans="1:8" ht="15.75" thickBot="1" x14ac:dyDescent="0.3">
      <c r="A3177" s="1" t="s">
        <v>185</v>
      </c>
      <c r="B3177" s="1" t="s">
        <v>186</v>
      </c>
      <c r="C3177" s="2" t="s">
        <v>5</v>
      </c>
      <c r="D3177" s="2" t="s">
        <v>187</v>
      </c>
      <c r="E3177" s="3" t="str">
        <f>IF(ISERROR(VLOOKUP(B3177,Failures!$A$1:$A$4000,1,FALSE)),"Keep","Delete")</f>
        <v>Keep</v>
      </c>
      <c r="F3177" t="str">
        <f>IF(ISNUMBER(SEARCH("#",B3177)), LEFT(B3177,FIND("#",B3177)-1), B3177)</f>
        <v>Ballistic Shield</v>
      </c>
      <c r="G3177" s="26">
        <f>IF(ISNUMBER(SEARCH("#",B3177)),VALUE(MID(B3177,FIND("#",B3177)+1,1000)),1)</f>
        <v>1</v>
      </c>
      <c r="H3177" t="str">
        <f>IF(AND(regexMatch(B3177,".*#[0-9]*$"),ISNUMBER(SEARCH("#",B3177))),CONCATENATE(TRIM(F3177)," #",G3177),B3177)</f>
        <v>Ballistic Shield</v>
      </c>
    </row>
    <row r="3178" spans="1:8" ht="15.75" thickBot="1" x14ac:dyDescent="0.3">
      <c r="A3178" s="1" t="s">
        <v>1192</v>
      </c>
      <c r="B3178" s="1" t="s">
        <v>3639</v>
      </c>
      <c r="C3178" s="2" t="s">
        <v>5</v>
      </c>
      <c r="D3178" s="2" t="s">
        <v>187</v>
      </c>
      <c r="E3178" s="3" t="str">
        <f>IF(ISERROR(VLOOKUP(B3178,Failures!$A$1:$A$4000,1,FALSE)),"Keep","Delete")</f>
        <v>Keep</v>
      </c>
      <c r="F3178" t="str">
        <f>IF(ISNUMBER(SEARCH("#",B3178)), LEFT(B3178,FIND("#",B3178)-1), B3178)</f>
        <v>Handcuff Keys</v>
      </c>
      <c r="G3178" s="26">
        <f>IF(ISNUMBER(SEARCH("#",B3178)),VALUE(MID(B3178,FIND("#",B3178)+1,1000)),1)</f>
        <v>1</v>
      </c>
      <c r="H3178" t="str">
        <f>IF(AND(regexMatch(B3178,".*#[0-9]*$"),ISNUMBER(SEARCH("#",B3178))),CONCATENATE(TRIM(F3178)," #",G3178),B3178)</f>
        <v>Handcuff Keys</v>
      </c>
    </row>
    <row r="3179" spans="1:8" ht="15.75" thickBot="1" x14ac:dyDescent="0.3">
      <c r="A3179" s="1" t="s">
        <v>902</v>
      </c>
      <c r="B3179" s="1" t="s">
        <v>3640</v>
      </c>
      <c r="C3179" s="2" t="s">
        <v>5</v>
      </c>
      <c r="D3179" s="2" t="s">
        <v>187</v>
      </c>
      <c r="E3179" s="3" t="str">
        <f>IF(ISERROR(VLOOKUP(B3179,Failures!$A$1:$A$4000,1,FALSE)),"Keep","Delete")</f>
        <v>Keep</v>
      </c>
      <c r="F3179" t="str">
        <f>IF(ISNUMBER(SEARCH("#",B3179)), LEFT(B3179,FIND("#",B3179)-1), B3179)</f>
        <v>Handcuffs</v>
      </c>
      <c r="G3179" s="26">
        <f>IF(ISNUMBER(SEARCH("#",B3179)),VALUE(MID(B3179,FIND("#",B3179)+1,1000)),1)</f>
        <v>1</v>
      </c>
      <c r="H3179" t="str">
        <f>IF(AND(regexMatch(B3179,".*#[0-9]*$"),ISNUMBER(SEARCH("#",B3179))),CONCATENATE(TRIM(F3179)," #",G3179),B3179)</f>
        <v>Handcuffs</v>
      </c>
    </row>
    <row r="3180" spans="1:8" ht="15.75" thickBot="1" x14ac:dyDescent="0.3">
      <c r="A3180" s="7" t="s">
        <v>4301</v>
      </c>
      <c r="B3180" s="9" t="s">
        <v>4510</v>
      </c>
      <c r="C3180" s="9"/>
      <c r="D3180" s="2" t="s">
        <v>187</v>
      </c>
      <c r="E3180" s="3" t="str">
        <f>IF(ISERROR(VLOOKUP(B3180,Failures!$A$1:$A$4000,1,FALSE)),"Keep","Delete")</f>
        <v>Keep</v>
      </c>
      <c r="F3180" t="str">
        <f>IF(ISNUMBER(SEARCH("#",B3180)), LEFT(B3180,FIND("#",B3180)-1), B3180)</f>
        <v>Police ID Board</v>
      </c>
      <c r="G3180" s="26">
        <f>IF(ISNUMBER(SEARCH("#",B3180)),VALUE(MID(B3180,FIND("#",B3180)+1,1000)),1)</f>
        <v>1</v>
      </c>
      <c r="H3180" t="str">
        <f>IF(AND(regexMatch(B3180,".*#[0-9]*$"),ISNUMBER(SEARCH("#",B3180))),CONCATENATE(TRIM(F3180)," #",G3180),B3180)</f>
        <v>Police ID Board</v>
      </c>
    </row>
    <row r="3181" spans="1:8" ht="15.75" thickBot="1" x14ac:dyDescent="0.3">
      <c r="A3181" s="7" t="s">
        <v>4302</v>
      </c>
      <c r="B3181" s="9" t="s">
        <v>4512</v>
      </c>
      <c r="C3181" s="9"/>
      <c r="D3181" s="2" t="s">
        <v>187</v>
      </c>
      <c r="E3181" s="3" t="str">
        <f>IF(ISERROR(VLOOKUP(B3181,Failures!$A$1:$A$4000,1,FALSE)),"Keep","Delete")</f>
        <v>Keep</v>
      </c>
      <c r="F3181" t="str">
        <f>IF(ISNUMBER(SEARCH("#",B3181)), LEFT(B3181,FIND("#",B3181)-1), B3181)</f>
        <v xml:space="preserve">Police ID Text </v>
      </c>
      <c r="G3181" s="26">
        <f>IF(ISNUMBER(SEARCH("#",B3181)),VALUE(MID(B3181,FIND("#",B3181)+1,1000)),1)</f>
        <v>1</v>
      </c>
      <c r="H3181" t="str">
        <f>IF(AND(regexMatch(B3181,".*#[0-9]*$"),ISNUMBER(SEARCH("#",B3181))),CONCATENATE(TRIM(F3181)," #",G3181),B3181)</f>
        <v>Police ID Text #1</v>
      </c>
    </row>
    <row r="3182" spans="1:8" ht="15.75" thickBot="1" x14ac:dyDescent="0.3">
      <c r="A3182" s="7" t="s">
        <v>4303</v>
      </c>
      <c r="B3182" s="9" t="s">
        <v>4511</v>
      </c>
      <c r="C3182" s="9"/>
      <c r="D3182" s="2" t="s">
        <v>187</v>
      </c>
      <c r="E3182" s="3" t="str">
        <f>IF(ISERROR(VLOOKUP(B3182,Failures!$A$1:$A$4000,1,FALSE)),"Keep","Delete")</f>
        <v>Keep</v>
      </c>
      <c r="F3182" t="str">
        <f>IF(ISNUMBER(SEARCH("#",B3182)), LEFT(B3182,FIND("#",B3182)-1), B3182)</f>
        <v xml:space="preserve">Police ID Text </v>
      </c>
      <c r="G3182" s="26">
        <f>IF(ISNUMBER(SEARCH("#",B3182)),VALUE(MID(B3182,FIND("#",B3182)+1,1000)),1)</f>
        <v>2</v>
      </c>
      <c r="H3182" t="str">
        <f>IF(AND(regexMatch(B3182,".*#[0-9]*$"),ISNUMBER(SEARCH("#",B3182))),CONCATENATE(TRIM(F3182)," #",G3182),B3182)</f>
        <v>Police ID Text #2</v>
      </c>
    </row>
    <row r="3183" spans="1:8" ht="15.75" thickBot="1" x14ac:dyDescent="0.3">
      <c r="A3183" s="1" t="s">
        <v>2486</v>
      </c>
      <c r="B3183" s="1" t="s">
        <v>2487</v>
      </c>
      <c r="C3183" s="2" t="s">
        <v>5</v>
      </c>
      <c r="D3183" s="2" t="s">
        <v>187</v>
      </c>
      <c r="E3183" s="3" t="str">
        <f>IF(ISERROR(VLOOKUP(B3183,Failures!$A$1:$A$4000,1,FALSE)),"Keep","Delete")</f>
        <v>Keep</v>
      </c>
      <c r="F3183" t="str">
        <f>IF(ISNUMBER(SEARCH("#",B3183)), LEFT(B3183,FIND("#",B3183)-1), B3183)</f>
        <v>Police Phone</v>
      </c>
      <c r="G3183" s="26">
        <f>IF(ISNUMBER(SEARCH("#",B3183)),VALUE(MID(B3183,FIND("#",B3183)+1,1000)),1)</f>
        <v>1</v>
      </c>
      <c r="H3183" t="str">
        <f>IF(AND(regexMatch(B3183,".*#[0-9]*$"),ISNUMBER(SEARCH("#",B3183))),CONCATENATE(TRIM(F3183)," #",G3183),B3183)</f>
        <v>Police Phone</v>
      </c>
    </row>
    <row r="3184" spans="1:8" ht="15.75" thickBot="1" x14ac:dyDescent="0.3">
      <c r="A3184" s="1" t="s">
        <v>2488</v>
      </c>
      <c r="B3184" s="1" t="s">
        <v>2489</v>
      </c>
      <c r="C3184" s="2" t="s">
        <v>5</v>
      </c>
      <c r="D3184" s="2" t="s">
        <v>187</v>
      </c>
      <c r="E3184" s="3" t="str">
        <f>IF(ISERROR(VLOOKUP(B3184,Failures!$A$1:$A$4000,1,FALSE)),"Keep","Delete")</f>
        <v>Keep</v>
      </c>
      <c r="F3184" t="str">
        <f>IF(ISNUMBER(SEARCH("#",B3184)), LEFT(B3184,FIND("#",B3184)-1), B3184)</f>
        <v>Police Radio Handset</v>
      </c>
      <c r="G3184" s="26">
        <f>IF(ISNUMBER(SEARCH("#",B3184)),VALUE(MID(B3184,FIND("#",B3184)+1,1000)),1)</f>
        <v>1</v>
      </c>
      <c r="H3184" t="str">
        <f>IF(AND(regexMatch(B3184,".*#[0-9]*$"),ISNUMBER(SEARCH("#",B3184))),CONCATENATE(TRIM(F3184)," #",G3184),B3184)</f>
        <v>Police Radio Handset</v>
      </c>
    </row>
    <row r="3185" spans="1:8" ht="15.75" thickBot="1" x14ac:dyDescent="0.3">
      <c r="A3185" s="1" t="s">
        <v>2490</v>
      </c>
      <c r="B3185" s="1" t="s">
        <v>2491</v>
      </c>
      <c r="C3185" s="2" t="s">
        <v>5</v>
      </c>
      <c r="D3185" s="2" t="s">
        <v>187</v>
      </c>
      <c r="E3185" s="3" t="str">
        <f>IF(ISERROR(VLOOKUP(B3185,Failures!$A$1:$A$4000,1,FALSE)),"Keep","Delete")</f>
        <v>Keep</v>
      </c>
      <c r="F3185" t="str">
        <f>IF(ISNUMBER(SEARCH("#",B3185)), LEFT(B3185,FIND("#",B3185)-1), B3185)</f>
        <v>Police Radio Main</v>
      </c>
      <c r="G3185" s="26">
        <f>IF(ISNUMBER(SEARCH("#",B3185)),VALUE(MID(B3185,FIND("#",B3185)+1,1000)),1)</f>
        <v>1</v>
      </c>
      <c r="H3185" t="str">
        <f>IF(AND(regexMatch(B3185,".*#[0-9]*$"),ISNUMBER(SEARCH("#",B3185))),CONCATENATE(TRIM(F3185)," #",G3185),B3185)</f>
        <v>Police Radio Main</v>
      </c>
    </row>
    <row r="3186" spans="1:8" ht="15.75" thickBot="1" x14ac:dyDescent="0.3">
      <c r="A3186" s="1" t="s">
        <v>1065</v>
      </c>
      <c r="B3186" s="1" t="s">
        <v>3834</v>
      </c>
      <c r="C3186" s="2" t="s">
        <v>5</v>
      </c>
      <c r="D3186" s="2" t="s">
        <v>187</v>
      </c>
      <c r="E3186" s="3" t="str">
        <f>IF(ISERROR(VLOOKUP(B3186,Failures!$A$1:$A$4000,1,FALSE)),"Keep","Delete")</f>
        <v>Keep</v>
      </c>
      <c r="F3186" t="str">
        <f>IF(ISNUMBER(SEARCH("#",B3186)), LEFT(B3186,FIND("#",B3186)-1), B3186)</f>
        <v xml:space="preserve">Police Torch </v>
      </c>
      <c r="G3186" s="26">
        <f>IF(ISNUMBER(SEARCH("#",B3186)),VALUE(MID(B3186,FIND("#",B3186)+1,1000)),1)</f>
        <v>1</v>
      </c>
      <c r="H3186" t="str">
        <f>IF(AND(regexMatch(B3186,".*#[0-9]*$"),ISNUMBER(SEARCH("#",B3186))),CONCATENATE(TRIM(F3186)," #",G3186),B3186)</f>
        <v>Police Torch #1</v>
      </c>
    </row>
    <row r="3187" spans="1:8" ht="15.75" thickBot="1" x14ac:dyDescent="0.3">
      <c r="A3187" s="1" t="s">
        <v>2766</v>
      </c>
      <c r="B3187" s="1" t="s">
        <v>3835</v>
      </c>
      <c r="C3187" s="2" t="s">
        <v>5</v>
      </c>
      <c r="D3187" s="2" t="s">
        <v>187</v>
      </c>
      <c r="E3187" s="3" t="str">
        <f>IF(ISERROR(VLOOKUP(B3187,Failures!$A$1:$A$4000,1,FALSE)),"Keep","Delete")</f>
        <v>Keep</v>
      </c>
      <c r="F3187" t="str">
        <f>IF(ISNUMBER(SEARCH("#",B3187)), LEFT(B3187,FIND("#",B3187)-1), B3187)</f>
        <v xml:space="preserve">Police Torch </v>
      </c>
      <c r="G3187" s="26">
        <f>IF(ISNUMBER(SEARCH("#",B3187)),VALUE(MID(B3187,FIND("#",B3187)+1,1000)),1)</f>
        <v>2</v>
      </c>
      <c r="H3187" t="str">
        <f>IF(AND(regexMatch(B3187,".*#[0-9]*$"),ISNUMBER(SEARCH("#",B3187))),CONCATENATE(TRIM(F3187)," #",G3187),B3187)</f>
        <v>Police Torch #2</v>
      </c>
    </row>
    <row r="3188" spans="1:8" ht="15.75" thickBot="1" x14ac:dyDescent="0.3">
      <c r="A3188" s="1" t="s">
        <v>5408</v>
      </c>
      <c r="B3188" s="1" t="s">
        <v>11160</v>
      </c>
      <c r="C3188" s="1"/>
      <c r="D3188" s="2" t="s">
        <v>187</v>
      </c>
      <c r="E3188" s="3" t="str">
        <f>IF(ISERROR(VLOOKUP(B3188,Failures!$A$1:$A$4000,1,FALSE)),"Keep","Delete")</f>
        <v>Keep</v>
      </c>
      <c r="F3188" t="str">
        <f>IF(ISNUMBER(SEARCH("#",B3188)), LEFT(B3188,FIND("#",B3188)-1), B3188)</f>
        <v xml:space="preserve">Police Torch </v>
      </c>
      <c r="G3188" s="26">
        <f>IF(ISNUMBER(SEARCH("#",B3188)),VALUE(MID(B3188,FIND("#",B3188)+1,1000)),1)</f>
        <v>3</v>
      </c>
      <c r="H3188" t="str">
        <f>IF(AND(regexMatch(B3188,".*#[0-9]*$"),ISNUMBER(SEARCH("#",B3188))),CONCATENATE(TRIM(F3188)," #",G3188),B3188)</f>
        <v>Police Torch #3</v>
      </c>
    </row>
    <row r="3189" spans="1:8" ht="15.75" thickBot="1" x14ac:dyDescent="0.3">
      <c r="A3189" s="1" t="s">
        <v>2656</v>
      </c>
      <c r="B3189" s="1" t="s">
        <v>2657</v>
      </c>
      <c r="C3189" s="2" t="s">
        <v>5</v>
      </c>
      <c r="D3189" s="2" t="s">
        <v>187</v>
      </c>
      <c r="E3189" s="3" t="str">
        <f>IF(ISERROR(VLOOKUP(B3189,Failures!$A$1:$A$4000,1,FALSE)),"Keep","Delete")</f>
        <v>Keep</v>
      </c>
      <c r="F3189" t="str">
        <f>IF(ISNUMBER(SEARCH("#",B3189)), LEFT(B3189,FIND("#",B3189)-1), B3189)</f>
        <v>Riot Shield</v>
      </c>
      <c r="G3189" s="26">
        <f>IF(ISNUMBER(SEARCH("#",B3189)),VALUE(MID(B3189,FIND("#",B3189)+1,1000)),1)</f>
        <v>1</v>
      </c>
      <c r="H3189" t="str">
        <f>IF(AND(regexMatch(B3189,".*#[0-9]*$"),ISNUMBER(SEARCH("#",B3189))),CONCATENATE(TRIM(F3189)," #",G3189),B3189)</f>
        <v>Riot Shield</v>
      </c>
    </row>
    <row r="3190" spans="1:8" ht="15.75" thickBot="1" x14ac:dyDescent="0.3">
      <c r="A3190" s="27" t="s">
        <v>7422</v>
      </c>
      <c r="B3190" s="22" t="s">
        <v>10583</v>
      </c>
      <c r="C3190" s="1"/>
      <c r="D3190" s="2" t="s">
        <v>187</v>
      </c>
      <c r="E3190" s="3" t="str">
        <f>IF(ISERROR(VLOOKUP(B3190,Failures!$A$1:$A$4000,1,FALSE)),"Keep","Delete")</f>
        <v>Keep</v>
      </c>
      <c r="F3190" t="str">
        <f>IF(ISNUMBER(SEARCH("#",B3190)), LEFT(B3190,FIND("#",B3190)-1), B3190)</f>
        <v xml:space="preserve">Stinger Strip </v>
      </c>
      <c r="G3190" s="26">
        <f>IF(ISNUMBER(SEARCH("#",B3190)),VALUE(MID(B3190,FIND("#",B3190)+1,1000)),1)</f>
        <v>1</v>
      </c>
      <c r="H3190" t="str">
        <f>IF(AND(regexMatch(B3190,".*#[0-9]*$"),ISNUMBER(SEARCH("#",B3190))),CONCATENATE(TRIM(F3190)," #",G3190),B3190)</f>
        <v>Stinger Strip #1</v>
      </c>
    </row>
    <row r="3191" spans="1:8" ht="15.75" thickBot="1" x14ac:dyDescent="0.3">
      <c r="A3191" s="27" t="s">
        <v>7303</v>
      </c>
      <c r="B3191" s="22" t="s">
        <v>10625</v>
      </c>
      <c r="C3191" s="1"/>
      <c r="D3191" s="2" t="s">
        <v>187</v>
      </c>
      <c r="E3191" s="3" t="str">
        <f>IF(ISERROR(VLOOKUP(B3191,Failures!$A$1:$A$4000,1,FALSE)),"Keep","Delete")</f>
        <v>Keep</v>
      </c>
      <c r="F3191" t="str">
        <f>IF(ISNUMBER(SEARCH("#",B3191)), LEFT(B3191,FIND("#",B3191)-1), B3191)</f>
        <v xml:space="preserve">Stinger Strip </v>
      </c>
      <c r="G3191" s="26">
        <f>IF(ISNUMBER(SEARCH("#",B3191)),VALUE(MID(B3191,FIND("#",B3191)+1,1000)),1)</f>
        <v>2</v>
      </c>
      <c r="H3191" t="str">
        <f>IF(AND(regexMatch(B3191,".*#[0-9]*$"),ISNUMBER(SEARCH("#",B3191))),CONCATENATE(TRIM(F3191)," #",G3191),B3191)</f>
        <v>Stinger Strip #2</v>
      </c>
    </row>
    <row r="3192" spans="1:8" ht="15.75" thickBot="1" x14ac:dyDescent="0.3">
      <c r="A3192" s="27" t="s">
        <v>7302</v>
      </c>
      <c r="B3192" s="22" t="s">
        <v>10626</v>
      </c>
      <c r="C3192" s="1"/>
      <c r="D3192" s="2" t="s">
        <v>187</v>
      </c>
      <c r="E3192" s="3" t="str">
        <f>IF(ISERROR(VLOOKUP(B3192,Failures!$A$1:$A$4000,1,FALSE)),"Keep","Delete")</f>
        <v>Keep</v>
      </c>
      <c r="F3192" t="str">
        <f>IF(ISNUMBER(SEARCH("#",B3192)), LEFT(B3192,FIND("#",B3192)-1), B3192)</f>
        <v xml:space="preserve">Stinger Strip </v>
      </c>
      <c r="G3192" s="26">
        <f>IF(ISNUMBER(SEARCH("#",B3192)),VALUE(MID(B3192,FIND("#",B3192)+1,1000)),1)</f>
        <v>3</v>
      </c>
      <c r="H3192" t="str">
        <f>IF(AND(regexMatch(B3192,".*#[0-9]*$"),ISNUMBER(SEARCH("#",B3192))),CONCATENATE(TRIM(F3192)," #",G3192),B3192)</f>
        <v>Stinger Strip #3</v>
      </c>
    </row>
    <row r="3193" spans="1:8" ht="15.75" thickBot="1" x14ac:dyDescent="0.3">
      <c r="A3193" s="27" t="s">
        <v>7301</v>
      </c>
      <c r="B3193" s="22" t="s">
        <v>10627</v>
      </c>
      <c r="C3193" s="1"/>
      <c r="D3193" s="2" t="s">
        <v>187</v>
      </c>
      <c r="E3193" s="3" t="str">
        <f>IF(ISERROR(VLOOKUP(B3193,Failures!$A$1:$A$4000,1,FALSE)),"Keep","Delete")</f>
        <v>Keep</v>
      </c>
      <c r="F3193" t="str">
        <f>IF(ISNUMBER(SEARCH("#",B3193)), LEFT(B3193,FIND("#",B3193)-1), B3193)</f>
        <v xml:space="preserve">Stinger Strip </v>
      </c>
      <c r="G3193" s="26">
        <f>IF(ISNUMBER(SEARCH("#",B3193)),VALUE(MID(B3193,FIND("#",B3193)+1,1000)),1)</f>
        <v>4</v>
      </c>
      <c r="H3193" t="str">
        <f>IF(AND(regexMatch(B3193,".*#[0-9]*$"),ISNUMBER(SEARCH("#",B3193))),CONCATENATE(TRIM(F3193)," #",G3193),B3193)</f>
        <v>Stinger Strip #4</v>
      </c>
    </row>
    <row r="3194" spans="1:8" ht="15.75" thickBot="1" x14ac:dyDescent="0.3">
      <c r="A3194" s="27" t="s">
        <v>7300</v>
      </c>
      <c r="B3194" s="22" t="s">
        <v>10628</v>
      </c>
      <c r="C3194" s="1"/>
      <c r="D3194" s="2" t="s">
        <v>187</v>
      </c>
      <c r="E3194" s="3" t="str">
        <f>IF(ISERROR(VLOOKUP(B3194,Failures!$A$1:$A$4000,1,FALSE)),"Keep","Delete")</f>
        <v>Keep</v>
      </c>
      <c r="F3194" t="str">
        <f>IF(ISNUMBER(SEARCH("#",B3194)), LEFT(B3194,FIND("#",B3194)-1), B3194)</f>
        <v xml:space="preserve">Stinger Strip Piece </v>
      </c>
      <c r="G3194" s="26">
        <f>IF(ISNUMBER(SEARCH("#",B3194)),VALUE(MID(B3194,FIND("#",B3194)+1,1000)),1)</f>
        <v>1</v>
      </c>
      <c r="H3194" t="str">
        <f>IF(AND(regexMatch(B3194,".*#[0-9]*$"),ISNUMBER(SEARCH("#",B3194))),CONCATENATE(TRIM(F3194)," #",G3194),B3194)</f>
        <v>Stinger Strip Piece #1</v>
      </c>
    </row>
    <row r="3195" spans="1:8" ht="15.75" thickBot="1" x14ac:dyDescent="0.3">
      <c r="A3195" s="27" t="s">
        <v>7299</v>
      </c>
      <c r="B3195" s="22" t="s">
        <v>10629</v>
      </c>
      <c r="C3195" s="1"/>
      <c r="D3195" s="2" t="s">
        <v>187</v>
      </c>
      <c r="E3195" s="3" t="str">
        <f>IF(ISERROR(VLOOKUP(B3195,Failures!$A$1:$A$4000,1,FALSE)),"Keep","Delete")</f>
        <v>Keep</v>
      </c>
      <c r="F3195" t="str">
        <f>IF(ISNUMBER(SEARCH("#",B3195)), LEFT(B3195,FIND("#",B3195)-1), B3195)</f>
        <v xml:space="preserve">Stinger Strip Piece </v>
      </c>
      <c r="G3195" s="26">
        <f>IF(ISNUMBER(SEARCH("#",B3195)),VALUE(MID(B3195,FIND("#",B3195)+1,1000)),1)</f>
        <v>2</v>
      </c>
      <c r="H3195" t="str">
        <f>IF(AND(regexMatch(B3195,".*#[0-9]*$"),ISNUMBER(SEARCH("#",B3195))),CONCATENATE(TRIM(F3195)," #",G3195),B3195)</f>
        <v>Stinger Strip Piece #2</v>
      </c>
    </row>
    <row r="3196" spans="1:8" ht="15.75" thickBot="1" x14ac:dyDescent="0.3">
      <c r="A3196" s="1" t="s">
        <v>3313</v>
      </c>
      <c r="B3196" s="1" t="s">
        <v>3314</v>
      </c>
      <c r="C3196" s="2" t="s">
        <v>5</v>
      </c>
      <c r="D3196" s="2" t="s">
        <v>187</v>
      </c>
      <c r="E3196" s="3" t="str">
        <f>IF(ISERROR(VLOOKUP(B3196,Failures!$A$1:$A$4000,1,FALSE)),"Keep","Delete")</f>
        <v>Keep</v>
      </c>
      <c r="F3196" t="str">
        <f>IF(ISNUMBER(SEARCH("#",B3196)), LEFT(B3196,FIND("#",B3196)-1), B3196)</f>
        <v>Tyre Spike</v>
      </c>
      <c r="G3196" s="26">
        <f>IF(ISNUMBER(SEARCH("#",B3196)),VALUE(MID(B3196,FIND("#",B3196)+1,1000)),1)</f>
        <v>1</v>
      </c>
      <c r="H3196" t="str">
        <f>IF(AND(regexMatch(B3196,".*#[0-9]*$"),ISNUMBER(SEARCH("#",B3196))),CONCATENATE(TRIM(F3196)," #",G3196),B3196)</f>
        <v>Tyre Spike</v>
      </c>
    </row>
    <row r="3197" spans="1:8" ht="15.75" thickBot="1" x14ac:dyDescent="0.3">
      <c r="A3197" s="1" t="s">
        <v>2497</v>
      </c>
      <c r="B3197" s="1" t="s">
        <v>2496</v>
      </c>
      <c r="C3197" s="2" t="s">
        <v>5</v>
      </c>
      <c r="D3197" s="2" t="s">
        <v>3949</v>
      </c>
      <c r="E3197" s="3" t="str">
        <f>IF(ISERROR(VLOOKUP(B3197,Failures!$A$1:$A$4000,1,FALSE)),"Keep","Delete")</f>
        <v>Keep</v>
      </c>
      <c r="F3197" t="str">
        <f>IF(ISNUMBER(SEARCH("#",B3197)), LEFT(B3197,FIND("#",B3197)-1), B3197)</f>
        <v xml:space="preserve">Pool Ball </v>
      </c>
      <c r="G3197" s="26">
        <f>IF(ISNUMBER(SEARCH("#",B3197)),VALUE(MID(B3197,FIND("#",B3197)+1,1000)),1)</f>
        <v>1</v>
      </c>
      <c r="H3197" t="str">
        <f>IF(AND(regexMatch(B3197,".*#[0-9]*$"),ISNUMBER(SEARCH("#",B3197))),CONCATENATE(TRIM(F3197)," #",G3197),B3197)</f>
        <v>Pool Ball #1</v>
      </c>
    </row>
    <row r="3198" spans="1:8" ht="15.75" thickBot="1" x14ac:dyDescent="0.3">
      <c r="A3198" s="1" t="s">
        <v>2510</v>
      </c>
      <c r="B3198" s="1" t="s">
        <v>2511</v>
      </c>
      <c r="C3198" s="2" t="s">
        <v>5</v>
      </c>
      <c r="D3198" s="2" t="s">
        <v>3949</v>
      </c>
      <c r="E3198" s="3" t="str">
        <f>IF(ISERROR(VLOOKUP(B3198,Failures!$A$1:$A$4000,1,FALSE)),"Keep","Delete")</f>
        <v>Keep</v>
      </c>
      <c r="F3198" t="str">
        <f>IF(ISNUMBER(SEARCH("#",B3198)), LEFT(B3198,FIND("#",B3198)-1), B3198)</f>
        <v xml:space="preserve">Pool Ball </v>
      </c>
      <c r="G3198" s="26">
        <f>IF(ISNUMBER(SEARCH("#",B3198)),VALUE(MID(B3198,FIND("#",B3198)+1,1000)),1)</f>
        <v>2</v>
      </c>
      <c r="H3198" t="str">
        <f>IF(AND(regexMatch(B3198,".*#[0-9]*$"),ISNUMBER(SEARCH("#",B3198))),CONCATENATE(TRIM(F3198)," #",G3198),B3198)</f>
        <v>Pool Ball #2</v>
      </c>
    </row>
    <row r="3199" spans="1:8" ht="15.75" thickBot="1" x14ac:dyDescent="0.3">
      <c r="A3199" s="1" t="s">
        <v>2512</v>
      </c>
      <c r="B3199" s="1" t="s">
        <v>2513</v>
      </c>
      <c r="C3199" s="2" t="s">
        <v>5</v>
      </c>
      <c r="D3199" s="2" t="s">
        <v>3949</v>
      </c>
      <c r="E3199" s="3" t="str">
        <f>IF(ISERROR(VLOOKUP(B3199,Failures!$A$1:$A$4000,1,FALSE)),"Keep","Delete")</f>
        <v>Keep</v>
      </c>
      <c r="F3199" t="str">
        <f>IF(ISNUMBER(SEARCH("#",B3199)), LEFT(B3199,FIND("#",B3199)-1), B3199)</f>
        <v xml:space="preserve">Pool Ball </v>
      </c>
      <c r="G3199" s="26">
        <f>IF(ISNUMBER(SEARCH("#",B3199)),VALUE(MID(B3199,FIND("#",B3199)+1,1000)),1)</f>
        <v>3</v>
      </c>
      <c r="H3199" t="str">
        <f>IF(AND(regexMatch(B3199,".*#[0-9]*$"),ISNUMBER(SEARCH("#",B3199))),CONCATENATE(TRIM(F3199)," #",G3199),B3199)</f>
        <v>Pool Ball #3</v>
      </c>
    </row>
    <row r="3200" spans="1:8" ht="15.75" thickBot="1" x14ac:dyDescent="0.3">
      <c r="A3200" s="1" t="s">
        <v>2514</v>
      </c>
      <c r="B3200" s="1" t="s">
        <v>2515</v>
      </c>
      <c r="C3200" s="2" t="s">
        <v>5</v>
      </c>
      <c r="D3200" s="2" t="s">
        <v>3949</v>
      </c>
      <c r="E3200" s="3" t="str">
        <f>IF(ISERROR(VLOOKUP(B3200,Failures!$A$1:$A$4000,1,FALSE)),"Keep","Delete")</f>
        <v>Keep</v>
      </c>
      <c r="F3200" t="str">
        <f>IF(ISNUMBER(SEARCH("#",B3200)), LEFT(B3200,FIND("#",B3200)-1), B3200)</f>
        <v xml:space="preserve">Pool Ball </v>
      </c>
      <c r="G3200" s="26">
        <f>IF(ISNUMBER(SEARCH("#",B3200)),VALUE(MID(B3200,FIND("#",B3200)+1,1000)),1)</f>
        <v>4</v>
      </c>
      <c r="H3200" t="str">
        <f>IF(AND(regexMatch(B3200,".*#[0-9]*$"),ISNUMBER(SEARCH("#",B3200))),CONCATENATE(TRIM(F3200)," #",G3200),B3200)</f>
        <v>Pool Ball #4</v>
      </c>
    </row>
    <row r="3201" spans="1:8" ht="15.75" thickBot="1" x14ac:dyDescent="0.3">
      <c r="A3201" s="1" t="s">
        <v>2516</v>
      </c>
      <c r="B3201" s="1" t="s">
        <v>2517</v>
      </c>
      <c r="C3201" s="2" t="s">
        <v>5</v>
      </c>
      <c r="D3201" s="2" t="s">
        <v>3949</v>
      </c>
      <c r="E3201" s="3" t="str">
        <f>IF(ISERROR(VLOOKUP(B3201,Failures!$A$1:$A$4000,1,FALSE)),"Keep","Delete")</f>
        <v>Keep</v>
      </c>
      <c r="F3201" t="str">
        <f>IF(ISNUMBER(SEARCH("#",B3201)), LEFT(B3201,FIND("#",B3201)-1), B3201)</f>
        <v xml:space="preserve">Pool Ball </v>
      </c>
      <c r="G3201" s="26">
        <f>IF(ISNUMBER(SEARCH("#",B3201)),VALUE(MID(B3201,FIND("#",B3201)+1,1000)),1)</f>
        <v>5</v>
      </c>
      <c r="H3201" t="str">
        <f>IF(AND(regexMatch(B3201,".*#[0-9]*$"),ISNUMBER(SEARCH("#",B3201))),CONCATENATE(TRIM(F3201)," #",G3201),B3201)</f>
        <v>Pool Ball #5</v>
      </c>
    </row>
    <row r="3202" spans="1:8" ht="15.75" thickBot="1" x14ac:dyDescent="0.3">
      <c r="A3202" s="1" t="s">
        <v>2518</v>
      </c>
      <c r="B3202" s="1" t="s">
        <v>2519</v>
      </c>
      <c r="C3202" s="2" t="s">
        <v>5</v>
      </c>
      <c r="D3202" s="2" t="s">
        <v>3949</v>
      </c>
      <c r="E3202" s="3" t="str">
        <f>IF(ISERROR(VLOOKUP(B3202,Failures!$A$1:$A$4000,1,FALSE)),"Keep","Delete")</f>
        <v>Keep</v>
      </c>
      <c r="F3202" t="str">
        <f>IF(ISNUMBER(SEARCH("#",B3202)), LEFT(B3202,FIND("#",B3202)-1), B3202)</f>
        <v xml:space="preserve">Pool Ball </v>
      </c>
      <c r="G3202" s="26">
        <f>IF(ISNUMBER(SEARCH("#",B3202)),VALUE(MID(B3202,FIND("#",B3202)+1,1000)),1)</f>
        <v>6</v>
      </c>
      <c r="H3202" t="str">
        <f>IF(AND(regexMatch(B3202,".*#[0-9]*$"),ISNUMBER(SEARCH("#",B3202))),CONCATENATE(TRIM(F3202)," #",G3202),B3202)</f>
        <v>Pool Ball #6</v>
      </c>
    </row>
    <row r="3203" spans="1:8" ht="15.75" thickBot="1" x14ac:dyDescent="0.3">
      <c r="A3203" s="1" t="s">
        <v>2520</v>
      </c>
      <c r="B3203" s="1" t="s">
        <v>2521</v>
      </c>
      <c r="C3203" s="2" t="s">
        <v>5</v>
      </c>
      <c r="D3203" s="2" t="s">
        <v>3949</v>
      </c>
      <c r="E3203" s="3" t="str">
        <f>IF(ISERROR(VLOOKUP(B3203,Failures!$A$1:$A$4000,1,FALSE)),"Keep","Delete")</f>
        <v>Keep</v>
      </c>
      <c r="F3203" t="str">
        <f>IF(ISNUMBER(SEARCH("#",B3203)), LEFT(B3203,FIND("#",B3203)-1), B3203)</f>
        <v xml:space="preserve">Pool Ball </v>
      </c>
      <c r="G3203" s="26">
        <f>IF(ISNUMBER(SEARCH("#",B3203)),VALUE(MID(B3203,FIND("#",B3203)+1,1000)),1)</f>
        <v>7</v>
      </c>
      <c r="H3203" t="str">
        <f>IF(AND(regexMatch(B3203,".*#[0-9]*$"),ISNUMBER(SEARCH("#",B3203))),CONCATENATE(TRIM(F3203)," #",G3203),B3203)</f>
        <v>Pool Ball #7</v>
      </c>
    </row>
    <row r="3204" spans="1:8" ht="15.75" thickBot="1" x14ac:dyDescent="0.3">
      <c r="A3204" s="1" t="s">
        <v>2522</v>
      </c>
      <c r="B3204" s="1" t="s">
        <v>2523</v>
      </c>
      <c r="C3204" s="2" t="s">
        <v>5</v>
      </c>
      <c r="D3204" s="2" t="s">
        <v>3949</v>
      </c>
      <c r="E3204" s="3" t="str">
        <f>IF(ISERROR(VLOOKUP(B3204,Failures!$A$1:$A$4000,1,FALSE)),"Keep","Delete")</f>
        <v>Keep</v>
      </c>
      <c r="F3204" t="str">
        <f>IF(ISNUMBER(SEARCH("#",B3204)), LEFT(B3204,FIND("#",B3204)-1), B3204)</f>
        <v xml:space="preserve">Pool Ball </v>
      </c>
      <c r="G3204" s="26">
        <f>IF(ISNUMBER(SEARCH("#",B3204)),VALUE(MID(B3204,FIND("#",B3204)+1,1000)),1)</f>
        <v>8</v>
      </c>
      <c r="H3204" t="str">
        <f>IF(AND(regexMatch(B3204,".*#[0-9]*$"),ISNUMBER(SEARCH("#",B3204))),CONCATENATE(TRIM(F3204)," #",G3204),B3204)</f>
        <v>Pool Ball #8</v>
      </c>
    </row>
    <row r="3205" spans="1:8" ht="15.75" thickBot="1" x14ac:dyDescent="0.3">
      <c r="A3205" s="1" t="s">
        <v>2524</v>
      </c>
      <c r="B3205" s="1" t="s">
        <v>2525</v>
      </c>
      <c r="C3205" s="2" t="s">
        <v>5</v>
      </c>
      <c r="D3205" s="2" t="s">
        <v>3949</v>
      </c>
      <c r="E3205" s="3" t="str">
        <f>IF(ISERROR(VLOOKUP(B3205,Failures!$A$1:$A$4000,1,FALSE)),"Keep","Delete")</f>
        <v>Keep</v>
      </c>
      <c r="F3205" t="str">
        <f>IF(ISNUMBER(SEARCH("#",B3205)), LEFT(B3205,FIND("#",B3205)-1), B3205)</f>
        <v xml:space="preserve">Pool Ball </v>
      </c>
      <c r="G3205" s="26">
        <f>IF(ISNUMBER(SEARCH("#",B3205)),VALUE(MID(B3205,FIND("#",B3205)+1,1000)),1)</f>
        <v>9</v>
      </c>
      <c r="H3205" t="str">
        <f>IF(AND(regexMatch(B3205,".*#[0-9]*$"),ISNUMBER(SEARCH("#",B3205))),CONCATENATE(TRIM(F3205)," #",G3205),B3205)</f>
        <v>Pool Ball #9</v>
      </c>
    </row>
    <row r="3206" spans="1:8" ht="15.75" thickBot="1" x14ac:dyDescent="0.3">
      <c r="A3206" s="1" t="s">
        <v>2498</v>
      </c>
      <c r="B3206" s="1" t="s">
        <v>2499</v>
      </c>
      <c r="C3206" s="2" t="s">
        <v>5</v>
      </c>
      <c r="D3206" s="2" t="s">
        <v>3949</v>
      </c>
      <c r="E3206" s="3" t="str">
        <f>IF(ISERROR(VLOOKUP(B3206,Failures!$A$1:$A$4000,1,FALSE)),"Keep","Delete")</f>
        <v>Keep</v>
      </c>
      <c r="F3206" t="str">
        <f>IF(ISNUMBER(SEARCH("#",B3206)), LEFT(B3206,FIND("#",B3206)-1), B3206)</f>
        <v xml:space="preserve">Pool Ball </v>
      </c>
      <c r="G3206" s="26">
        <f>IF(ISNUMBER(SEARCH("#",B3206)),VALUE(MID(B3206,FIND("#",B3206)+1,1000)),1)</f>
        <v>10</v>
      </c>
      <c r="H3206" t="str">
        <f>IF(AND(regexMatch(B3206,".*#[0-9]*$"),ISNUMBER(SEARCH("#",B3206))),CONCATENATE(TRIM(F3206)," #",G3206),B3206)</f>
        <v>Pool Ball #10</v>
      </c>
    </row>
    <row r="3207" spans="1:8" ht="15.75" thickBot="1" x14ac:dyDescent="0.3">
      <c r="A3207" s="1" t="s">
        <v>2500</v>
      </c>
      <c r="B3207" s="1" t="s">
        <v>2501</v>
      </c>
      <c r="C3207" s="2" t="s">
        <v>5</v>
      </c>
      <c r="D3207" s="2" t="s">
        <v>3949</v>
      </c>
      <c r="E3207" s="3" t="str">
        <f>IF(ISERROR(VLOOKUP(B3207,Failures!$A$1:$A$4000,1,FALSE)),"Keep","Delete")</f>
        <v>Keep</v>
      </c>
      <c r="F3207" t="str">
        <f>IF(ISNUMBER(SEARCH("#",B3207)), LEFT(B3207,FIND("#",B3207)-1), B3207)</f>
        <v xml:space="preserve">Pool Ball </v>
      </c>
      <c r="G3207" s="26">
        <f>IF(ISNUMBER(SEARCH("#",B3207)),VALUE(MID(B3207,FIND("#",B3207)+1,1000)),1)</f>
        <v>11</v>
      </c>
      <c r="H3207" t="str">
        <f>IF(AND(regexMatch(B3207,".*#[0-9]*$"),ISNUMBER(SEARCH("#",B3207))),CONCATENATE(TRIM(F3207)," #",G3207),B3207)</f>
        <v>Pool Ball #11</v>
      </c>
    </row>
    <row r="3208" spans="1:8" ht="15.75" thickBot="1" x14ac:dyDescent="0.3">
      <c r="A3208" s="1" t="s">
        <v>2502</v>
      </c>
      <c r="B3208" s="1" t="s">
        <v>2503</v>
      </c>
      <c r="C3208" s="2" t="s">
        <v>5</v>
      </c>
      <c r="D3208" s="2" t="s">
        <v>3949</v>
      </c>
      <c r="E3208" s="3" t="str">
        <f>IF(ISERROR(VLOOKUP(B3208,Failures!$A$1:$A$4000,1,FALSE)),"Keep","Delete")</f>
        <v>Keep</v>
      </c>
      <c r="F3208" t="str">
        <f>IF(ISNUMBER(SEARCH("#",B3208)), LEFT(B3208,FIND("#",B3208)-1), B3208)</f>
        <v xml:space="preserve">Pool Ball </v>
      </c>
      <c r="G3208" s="26">
        <f>IF(ISNUMBER(SEARCH("#",B3208)),VALUE(MID(B3208,FIND("#",B3208)+1,1000)),1)</f>
        <v>12</v>
      </c>
      <c r="H3208" t="str">
        <f>IF(AND(regexMatch(B3208,".*#[0-9]*$"),ISNUMBER(SEARCH("#",B3208))),CONCATENATE(TRIM(F3208)," #",G3208),B3208)</f>
        <v>Pool Ball #12</v>
      </c>
    </row>
    <row r="3209" spans="1:8" ht="15.75" thickBot="1" x14ac:dyDescent="0.3">
      <c r="A3209" s="1" t="s">
        <v>2504</v>
      </c>
      <c r="B3209" s="1" t="s">
        <v>2505</v>
      </c>
      <c r="C3209" s="2" t="s">
        <v>5</v>
      </c>
      <c r="D3209" s="2" t="s">
        <v>3949</v>
      </c>
      <c r="E3209" s="3" t="str">
        <f>IF(ISERROR(VLOOKUP(B3209,Failures!$A$1:$A$4000,1,FALSE)),"Keep","Delete")</f>
        <v>Keep</v>
      </c>
      <c r="F3209" t="str">
        <f>IF(ISNUMBER(SEARCH("#",B3209)), LEFT(B3209,FIND("#",B3209)-1), B3209)</f>
        <v xml:space="preserve">Pool Ball </v>
      </c>
      <c r="G3209" s="26">
        <f>IF(ISNUMBER(SEARCH("#",B3209)),VALUE(MID(B3209,FIND("#",B3209)+1,1000)),1)</f>
        <v>13</v>
      </c>
      <c r="H3209" t="str">
        <f>IF(AND(regexMatch(B3209,".*#[0-9]*$"),ISNUMBER(SEARCH("#",B3209))),CONCATENATE(TRIM(F3209)," #",G3209),B3209)</f>
        <v>Pool Ball #13</v>
      </c>
    </row>
    <row r="3210" spans="1:8" ht="15.75" thickBot="1" x14ac:dyDescent="0.3">
      <c r="A3210" s="1" t="s">
        <v>2506</v>
      </c>
      <c r="B3210" s="1" t="s">
        <v>2507</v>
      </c>
      <c r="C3210" s="2" t="s">
        <v>5</v>
      </c>
      <c r="D3210" s="2" t="s">
        <v>3949</v>
      </c>
      <c r="E3210" s="3" t="str">
        <f>IF(ISERROR(VLOOKUP(B3210,Failures!$A$1:$A$4000,1,FALSE)),"Keep","Delete")</f>
        <v>Keep</v>
      </c>
      <c r="F3210" t="str">
        <f>IF(ISNUMBER(SEARCH("#",B3210)), LEFT(B3210,FIND("#",B3210)-1), B3210)</f>
        <v xml:space="preserve">Pool Ball </v>
      </c>
      <c r="G3210" s="26">
        <f>IF(ISNUMBER(SEARCH("#",B3210)),VALUE(MID(B3210,FIND("#",B3210)+1,1000)),1)</f>
        <v>14</v>
      </c>
      <c r="H3210" t="str">
        <f>IF(AND(regexMatch(B3210,".*#[0-9]*$"),ISNUMBER(SEARCH("#",B3210))),CONCATENATE(TRIM(F3210)," #",G3210),B3210)</f>
        <v>Pool Ball #14</v>
      </c>
    </row>
    <row r="3211" spans="1:8" ht="15.75" thickBot="1" x14ac:dyDescent="0.3">
      <c r="A3211" s="1" t="s">
        <v>2508</v>
      </c>
      <c r="B3211" s="1" t="s">
        <v>2509</v>
      </c>
      <c r="C3211" s="2" t="s">
        <v>5</v>
      </c>
      <c r="D3211" s="2" t="s">
        <v>3949</v>
      </c>
      <c r="E3211" s="3" t="str">
        <f>IF(ISERROR(VLOOKUP(B3211,Failures!$A$1:$A$4000,1,FALSE)),"Keep","Delete")</f>
        <v>Keep</v>
      </c>
      <c r="F3211" t="str">
        <f>IF(ISNUMBER(SEARCH("#",B3211)), LEFT(B3211,FIND("#",B3211)-1), B3211)</f>
        <v xml:space="preserve">Pool Ball </v>
      </c>
      <c r="G3211" s="26">
        <f>IF(ISNUMBER(SEARCH("#",B3211)),VALUE(MID(B3211,FIND("#",B3211)+1,1000)),1)</f>
        <v>15</v>
      </c>
      <c r="H3211" t="str">
        <f>IF(AND(regexMatch(B3211,".*#[0-9]*$"),ISNUMBER(SEARCH("#",B3211))),CONCATENATE(TRIM(F3211)," #",G3211),B3211)</f>
        <v>Pool Ball #15</v>
      </c>
    </row>
    <row r="3212" spans="1:8" ht="15.75" thickBot="1" x14ac:dyDescent="0.3">
      <c r="A3212" s="1" t="s">
        <v>2495</v>
      </c>
      <c r="B3212" s="1" t="s">
        <v>3836</v>
      </c>
      <c r="C3212" s="2" t="s">
        <v>5</v>
      </c>
      <c r="D3212" s="2" t="s">
        <v>3949</v>
      </c>
      <c r="E3212" s="3" t="str">
        <f>IF(ISERROR(VLOOKUP(B3212,Failures!$A$1:$A$4000,1,FALSE)),"Keep","Delete")</f>
        <v>Keep</v>
      </c>
      <c r="F3212" t="str">
        <f>IF(ISNUMBER(SEARCH("#",B3212)), LEFT(B3212,FIND("#",B3212)-1), B3212)</f>
        <v xml:space="preserve">Pool Ball </v>
      </c>
      <c r="G3212" s="26">
        <f>IF(ISNUMBER(SEARCH("#",B3212)),VALUE(MID(B3212,FIND("#",B3212)+1,1000)),1)</f>
        <v>16</v>
      </c>
      <c r="H3212" t="str">
        <f>IF(AND(regexMatch(B3212,".*#[0-9]*$"),ISNUMBER(SEARCH("#",B3212))),CONCATENATE(TRIM(F3212)," #",G3212),B3212)</f>
        <v>Pool Ball #16</v>
      </c>
    </row>
    <row r="3213" spans="1:8" ht="15.75" thickBot="1" x14ac:dyDescent="0.3">
      <c r="A3213" s="1" t="s">
        <v>2526</v>
      </c>
      <c r="B3213" s="1" t="s">
        <v>2527</v>
      </c>
      <c r="C3213" s="2" t="s">
        <v>5</v>
      </c>
      <c r="D3213" s="2" t="s">
        <v>3949</v>
      </c>
      <c r="E3213" s="3" t="str">
        <f>IF(ISERROR(VLOOKUP(B3213,Failures!$A$1:$A$4000,1,FALSE)),"Keep","Delete")</f>
        <v>Keep</v>
      </c>
      <c r="F3213" t="str">
        <f>IF(ISNUMBER(SEARCH("#",B3213)), LEFT(B3213,FIND("#",B3213)-1), B3213)</f>
        <v>Pool Ball Cue</v>
      </c>
      <c r="G3213" s="26">
        <f>IF(ISNUMBER(SEARCH("#",B3213)),VALUE(MID(B3213,FIND("#",B3213)+1,1000)),1)</f>
        <v>1</v>
      </c>
      <c r="H3213" t="str">
        <f>IF(AND(regexMatch(B3213,".*#[0-9]*$"),ISNUMBER(SEARCH("#",B3213))),CONCATENATE(TRIM(F3213)," #",G3213),B3213)</f>
        <v>Pool Ball Cue</v>
      </c>
    </row>
    <row r="3214" spans="1:8" ht="15.75" thickBot="1" x14ac:dyDescent="0.3">
      <c r="A3214" s="1" t="s">
        <v>2528</v>
      </c>
      <c r="B3214" s="1" t="s">
        <v>2529</v>
      </c>
      <c r="C3214" s="2" t="s">
        <v>5</v>
      </c>
      <c r="D3214" s="2" t="s">
        <v>3949</v>
      </c>
      <c r="E3214" s="3" t="str">
        <f>IF(ISERROR(VLOOKUP(B3214,Failures!$A$1:$A$4000,1,FALSE)),"Keep","Delete")</f>
        <v>Keep</v>
      </c>
      <c r="F3214" t="str">
        <f>IF(ISNUMBER(SEARCH("#",B3214)), LEFT(B3214,FIND("#",B3214)-1), B3214)</f>
        <v>Pool Cue</v>
      </c>
      <c r="G3214" s="26">
        <f>IF(ISNUMBER(SEARCH("#",B3214)),VALUE(MID(B3214,FIND("#",B3214)+1,1000)),1)</f>
        <v>1</v>
      </c>
      <c r="H3214" t="str">
        <f>IF(AND(regexMatch(B3214,".*#[0-9]*$"),ISNUMBER(SEARCH("#",B3214))),CONCATENATE(TRIM(F3214)," #",G3214),B3214)</f>
        <v>Pool Cue</v>
      </c>
    </row>
    <row r="3215" spans="1:8" ht="15.75" thickBot="1" x14ac:dyDescent="0.3">
      <c r="A3215" s="1" t="s">
        <v>2530</v>
      </c>
      <c r="B3215" s="1" t="s">
        <v>2531</v>
      </c>
      <c r="C3215" s="2" t="s">
        <v>5</v>
      </c>
      <c r="D3215" s="2" t="s">
        <v>3949</v>
      </c>
      <c r="E3215" s="3" t="str">
        <f>IF(ISERROR(VLOOKUP(B3215,Failures!$A$1:$A$4000,1,FALSE)),"Keep","Delete")</f>
        <v>Keep</v>
      </c>
      <c r="F3215" t="str">
        <f>IF(ISNUMBER(SEARCH("#",B3215)), LEFT(B3215,FIND("#",B3215)-1), B3215)</f>
        <v xml:space="preserve">Pool Rack </v>
      </c>
      <c r="G3215" s="26">
        <f>IF(ISNUMBER(SEARCH("#",B3215)),VALUE(MID(B3215,FIND("#",B3215)+1,1000)),1)</f>
        <v>1</v>
      </c>
      <c r="H3215" t="str">
        <f>IF(AND(regexMatch(B3215,".*#[0-9]*$"),ISNUMBER(SEARCH("#",B3215))),CONCATENATE(TRIM(F3215)," #",G3215),B3215)</f>
        <v>Pool Rack #1</v>
      </c>
    </row>
    <row r="3216" spans="1:8" ht="15.75" thickBot="1" x14ac:dyDescent="0.3">
      <c r="A3216" s="1" t="s">
        <v>2532</v>
      </c>
      <c r="B3216" s="1" t="s">
        <v>2533</v>
      </c>
      <c r="C3216" s="2" t="s">
        <v>5</v>
      </c>
      <c r="D3216" s="2" t="s">
        <v>3949</v>
      </c>
      <c r="E3216" s="3" t="str">
        <f>IF(ISERROR(VLOOKUP(B3216,Failures!$A$1:$A$4000,1,FALSE)),"Keep","Delete")</f>
        <v>Keep</v>
      </c>
      <c r="F3216" t="str">
        <f>IF(ISNUMBER(SEARCH("#",B3216)), LEFT(B3216,FIND("#",B3216)-1), B3216)</f>
        <v xml:space="preserve">Pool Rack </v>
      </c>
      <c r="G3216" s="26">
        <f>IF(ISNUMBER(SEARCH("#",B3216)),VALUE(MID(B3216,FIND("#",B3216)+1,1000)),1)</f>
        <v>2</v>
      </c>
      <c r="H3216" t="str">
        <f>IF(AND(regexMatch(B3216,".*#[0-9]*$"),ISNUMBER(SEARCH("#",B3216))),CONCATENATE(TRIM(F3216)," #",G3216),B3216)</f>
        <v>Pool Rack #2</v>
      </c>
    </row>
    <row r="3217" spans="1:8" ht="15.75" thickBot="1" x14ac:dyDescent="0.3">
      <c r="A3217" s="1" t="s">
        <v>2534</v>
      </c>
      <c r="B3217" s="1" t="s">
        <v>3837</v>
      </c>
      <c r="C3217" s="4" t="s">
        <v>5</v>
      </c>
      <c r="D3217" s="2" t="s">
        <v>3949</v>
      </c>
      <c r="E3217" s="3" t="str">
        <f>IF(ISERROR(VLOOKUP(B3217,Failures!$A$1:$A$4000,1,FALSE)),"Keep","Delete")</f>
        <v>Keep</v>
      </c>
      <c r="F3217" t="str">
        <f>IF(ISNUMBER(SEARCH("#",B3217)), LEFT(B3217,FIND("#",B3217)-1), B3217)</f>
        <v xml:space="preserve">Pool Table </v>
      </c>
      <c r="G3217" s="26">
        <f>IF(ISNUMBER(SEARCH("#",B3217)),VALUE(MID(B3217,FIND("#",B3217)+1,1000)),1)</f>
        <v>1</v>
      </c>
      <c r="H3217" t="str">
        <f>IF(AND(regexMatch(B3217,".*#[0-9]*$"),ISNUMBER(SEARCH("#",B3217))),CONCATENATE(TRIM(F3217)," #",G3217),B3217)</f>
        <v>Pool Table #1</v>
      </c>
    </row>
    <row r="3218" spans="1:8" ht="15.75" thickBot="1" x14ac:dyDescent="0.3">
      <c r="A3218" s="1" t="s">
        <v>2536</v>
      </c>
      <c r="B3218" s="1" t="s">
        <v>2535</v>
      </c>
      <c r="C3218" s="4" t="s">
        <v>5</v>
      </c>
      <c r="D3218" s="2" t="s">
        <v>3949</v>
      </c>
      <c r="E3218" s="3" t="str">
        <f>IF(ISERROR(VLOOKUP(B3218,Failures!$A$1:$A$4000,1,FALSE)),"Keep","Delete")</f>
        <v>Keep</v>
      </c>
      <c r="F3218" t="str">
        <f>IF(ISNUMBER(SEARCH("#",B3218)), LEFT(B3218,FIND("#",B3218)-1), B3218)</f>
        <v xml:space="preserve">Pool Table </v>
      </c>
      <c r="G3218" s="26">
        <f>IF(ISNUMBER(SEARCH("#",B3218)),VALUE(MID(B3218,FIND("#",B3218)+1,1000)),1)</f>
        <v>2</v>
      </c>
      <c r="H3218" t="str">
        <f>IF(AND(regexMatch(B3218,".*#[0-9]*$"),ISNUMBER(SEARCH("#",B3218))),CONCATENATE(TRIM(F3218)," #",G3218),B3218)</f>
        <v>Pool Table #2</v>
      </c>
    </row>
    <row r="3219" spans="1:8" ht="15.75" thickBot="1" x14ac:dyDescent="0.3">
      <c r="A3219" s="1" t="s">
        <v>2537</v>
      </c>
      <c r="B3219" s="1" t="s">
        <v>2538</v>
      </c>
      <c r="C3219" s="4" t="s">
        <v>5</v>
      </c>
      <c r="D3219" s="2" t="s">
        <v>3949</v>
      </c>
      <c r="E3219" s="3" t="str">
        <f>IF(ISERROR(VLOOKUP(B3219,Failures!$A$1:$A$4000,1,FALSE)),"Keep","Delete")</f>
        <v>Keep</v>
      </c>
      <c r="F3219" t="str">
        <f>IF(ISNUMBER(SEARCH("#",B3219)), LEFT(B3219,FIND("#",B3219)-1), B3219)</f>
        <v>Pool Triangle</v>
      </c>
      <c r="G3219" s="26">
        <f>IF(ISNUMBER(SEARCH("#",B3219)),VALUE(MID(B3219,FIND("#",B3219)+1,1000)),1)</f>
        <v>1</v>
      </c>
      <c r="H3219" t="str">
        <f>IF(AND(regexMatch(B3219,".*#[0-9]*$"),ISNUMBER(SEARCH("#",B3219))),CONCATENATE(TRIM(F3219)," #",G3219),B3219)</f>
        <v>Pool Triangle</v>
      </c>
    </row>
    <row r="3220" spans="1:8" ht="15.75" thickBot="1" x14ac:dyDescent="0.3">
      <c r="A3220" s="1" t="s">
        <v>1967</v>
      </c>
      <c r="B3220" s="1" t="s">
        <v>1968</v>
      </c>
      <c r="C3220" s="2" t="s">
        <v>145</v>
      </c>
      <c r="D3220" s="2" t="s">
        <v>1969</v>
      </c>
      <c r="E3220" s="3" t="str">
        <f>IF(ISERROR(VLOOKUP(B3220,Failures!$A$1:$A$4000,1,FALSE)),"Keep","Delete")</f>
        <v>Keep</v>
      </c>
      <c r="F3220" t="str">
        <f>IF(ISNUMBER(SEARCH("#",B3220)), LEFT(B3220,FIND("#",B3220)-1), B3220)</f>
        <v xml:space="preserve">Rail </v>
      </c>
      <c r="G3220" s="26">
        <f>IF(ISNUMBER(SEARCH("#",B3220)),VALUE(MID(B3220,FIND("#",B3220)+1,1000)),1)</f>
        <v>1</v>
      </c>
      <c r="H3220" t="str">
        <f>IF(AND(regexMatch(B3220,".*#[0-9]*$"),ISNUMBER(SEARCH("#",B3220))),CONCATENATE(TRIM(F3220)," #",G3220),B3220)</f>
        <v>Rail #1</v>
      </c>
    </row>
    <row r="3221" spans="1:8" ht="15.75" thickBot="1" x14ac:dyDescent="0.3">
      <c r="A3221" s="1" t="s">
        <v>1970</v>
      </c>
      <c r="B3221" s="1" t="s">
        <v>1971</v>
      </c>
      <c r="C3221" s="2" t="s">
        <v>145</v>
      </c>
      <c r="D3221" s="2" t="s">
        <v>1969</v>
      </c>
      <c r="E3221" s="3" t="str">
        <f>IF(ISERROR(VLOOKUP(B3221,Failures!$A$1:$A$4000,1,FALSE)),"Keep","Delete")</f>
        <v>Keep</v>
      </c>
      <c r="F3221" t="str">
        <f>IF(ISNUMBER(SEARCH("#",B3221)), LEFT(B3221,FIND("#",B3221)-1), B3221)</f>
        <v xml:space="preserve">Rail </v>
      </c>
      <c r="G3221" s="26">
        <f>IF(ISNUMBER(SEARCH("#",B3221)),VALUE(MID(B3221,FIND("#",B3221)+1,1000)),1)</f>
        <v>2</v>
      </c>
      <c r="H3221" t="str">
        <f>IF(AND(regexMatch(B3221,".*#[0-9]*$"),ISNUMBER(SEARCH("#",B3221))),CONCATENATE(TRIM(F3221)," #",G3221),B3221)</f>
        <v>Rail #2</v>
      </c>
    </row>
    <row r="3222" spans="1:8" ht="15.75" thickBot="1" x14ac:dyDescent="0.3">
      <c r="A3222" s="1" t="s">
        <v>4882</v>
      </c>
      <c r="B3222" s="1" t="s">
        <v>10517</v>
      </c>
      <c r="C3222" s="1"/>
      <c r="D3222" s="2" t="s">
        <v>1969</v>
      </c>
      <c r="E3222" s="3" t="str">
        <f>IF(ISERROR(VLOOKUP(B3222,Failures!$A$1:$A$4000,1,FALSE)),"Keep","Delete")</f>
        <v>Keep</v>
      </c>
      <c r="F3222" t="str">
        <f>IF(ISNUMBER(SEARCH("#",B3222)), LEFT(B3222,FIND("#",B3222)-1), B3222)</f>
        <v>Rail Points</v>
      </c>
      <c r="G3222" s="26">
        <f>IF(ISNUMBER(SEARCH("#",B3222)),VALUE(MID(B3222,FIND("#",B3222)+1,1000)),1)</f>
        <v>1</v>
      </c>
      <c r="H3222" t="str">
        <f>IF(AND(regexMatch(B3222,".*#[0-9]*$"),ISNUMBER(SEARCH("#",B3222))),CONCATENATE(TRIM(F3222)," #",G3222),B3222)</f>
        <v>Rail Points</v>
      </c>
    </row>
    <row r="3223" spans="1:8" ht="15.75" thickBot="1" x14ac:dyDescent="0.3">
      <c r="A3223" s="1" t="s">
        <v>2620</v>
      </c>
      <c r="B3223" s="1" t="s">
        <v>3843</v>
      </c>
      <c r="C3223" s="2" t="s">
        <v>5</v>
      </c>
      <c r="D3223" s="2" t="s">
        <v>1969</v>
      </c>
      <c r="E3223" s="3" t="str">
        <f>IF(ISERROR(VLOOKUP(B3223,Failures!$A$1:$A$4000,1,FALSE)),"Keep","Delete")</f>
        <v>Keep</v>
      </c>
      <c r="F3223" t="str">
        <f>IF(ISNUMBER(SEARCH("#",B3223)), LEFT(B3223,FIND("#",B3223)-1), B3223)</f>
        <v xml:space="preserve">Railway Boxcar </v>
      </c>
      <c r="G3223" s="26">
        <f>IF(ISNUMBER(SEARCH("#",B3223)),VALUE(MID(B3223,FIND("#",B3223)+1,1000)),1)</f>
        <v>1</v>
      </c>
      <c r="H3223" t="str">
        <f>IF(AND(regexMatch(B3223,".*#[0-9]*$"),ISNUMBER(SEARCH("#",B3223))),CONCATENATE(TRIM(F3223)," #",G3223),B3223)</f>
        <v>Railway Boxcar #1</v>
      </c>
    </row>
    <row r="3224" spans="1:8" ht="15.75" thickBot="1" x14ac:dyDescent="0.3">
      <c r="A3224" s="1" t="s">
        <v>2623</v>
      </c>
      <c r="B3224" s="1" t="s">
        <v>3844</v>
      </c>
      <c r="C3224" s="2" t="s">
        <v>5</v>
      </c>
      <c r="D3224" s="2" t="s">
        <v>1969</v>
      </c>
      <c r="E3224" s="3" t="str">
        <f>IF(ISERROR(VLOOKUP(B3224,Failures!$A$1:$A$4000,1,FALSE)),"Keep","Delete")</f>
        <v>Keep</v>
      </c>
      <c r="F3224" t="str">
        <f>IF(ISNUMBER(SEARCH("#",B3224)), LEFT(B3224,FIND("#",B3224)-1), B3224)</f>
        <v xml:space="preserve">Railway Boxcar </v>
      </c>
      <c r="G3224" s="26">
        <f>IF(ISNUMBER(SEARCH("#",B3224)),VALUE(MID(B3224,FIND("#",B3224)+1,1000)),1)</f>
        <v>2</v>
      </c>
      <c r="H3224" t="str">
        <f>IF(AND(regexMatch(B3224,".*#[0-9]*$"),ISNUMBER(SEARCH("#",B3224))),CONCATENATE(TRIM(F3224)," #",G3224),B3224)</f>
        <v>Railway Boxcar #2</v>
      </c>
    </row>
    <row r="3225" spans="1:8" ht="15.75" thickBot="1" x14ac:dyDescent="0.3">
      <c r="A3225" s="1" t="s">
        <v>2621</v>
      </c>
      <c r="B3225" s="1" t="s">
        <v>2622</v>
      </c>
      <c r="C3225" s="2" t="s">
        <v>5</v>
      </c>
      <c r="D3225" s="2" t="s">
        <v>1969</v>
      </c>
      <c r="E3225" s="3" t="str">
        <f>IF(ISERROR(VLOOKUP(B3225,Failures!$A$1:$A$4000,1,FALSE)),"Keep","Delete")</f>
        <v>Keep</v>
      </c>
      <c r="F3225" t="str">
        <f>IF(ISNUMBER(SEARCH("#",B3225)), LEFT(B3225,FIND("#",B3225)-1), B3225)</f>
        <v xml:space="preserve">Railway Boxcar </v>
      </c>
      <c r="G3225" s="26">
        <f>IF(ISNUMBER(SEARCH("#",B3225)),VALUE(MID(B3225,FIND("#",B3225)+1,1000)),1)</f>
        <v>3</v>
      </c>
      <c r="H3225" t="str">
        <f>IF(AND(regexMatch(B3225,".*#[0-9]*$"),ISNUMBER(SEARCH("#",B3225))),CONCATENATE(TRIM(F3225)," #",G3225),B3225)</f>
        <v>Railway Boxcar #3</v>
      </c>
    </row>
    <row r="3226" spans="1:8" ht="15.75" thickBot="1" x14ac:dyDescent="0.3">
      <c r="A3226" s="1" t="s">
        <v>2624</v>
      </c>
      <c r="B3226" s="1" t="s">
        <v>2625</v>
      </c>
      <c r="C3226" s="2" t="s">
        <v>5</v>
      </c>
      <c r="D3226" s="2" t="s">
        <v>1969</v>
      </c>
      <c r="E3226" s="3" t="str">
        <f>IF(ISERROR(VLOOKUP(B3226,Failures!$A$1:$A$4000,1,FALSE)),"Keep","Delete")</f>
        <v>Keep</v>
      </c>
      <c r="F3226" t="str">
        <f>IF(ISNUMBER(SEARCH("#",B3226)), LEFT(B3226,FIND("#",B3226)-1), B3226)</f>
        <v>Railway Boxcar Door</v>
      </c>
      <c r="G3226" s="26">
        <f>IF(ISNUMBER(SEARCH("#",B3226)),VALUE(MID(B3226,FIND("#",B3226)+1,1000)),1)</f>
        <v>1</v>
      </c>
      <c r="H3226" t="str">
        <f>IF(AND(regexMatch(B3226,".*#[0-9]*$"),ISNUMBER(SEARCH("#",B3226))),CONCATENATE(TRIM(F3226)," #",G3226),B3226)</f>
        <v>Railway Boxcar Door</v>
      </c>
    </row>
    <row r="3227" spans="1:8" ht="15.75" thickBot="1" x14ac:dyDescent="0.3">
      <c r="A3227" s="1" t="s">
        <v>2626</v>
      </c>
      <c r="B3227" s="1" t="s">
        <v>2627</v>
      </c>
      <c r="C3227" s="2" t="s">
        <v>5</v>
      </c>
      <c r="D3227" s="2" t="s">
        <v>1969</v>
      </c>
      <c r="E3227" s="3" t="str">
        <f>IF(ISERROR(VLOOKUP(B3227,Failures!$A$1:$A$4000,1,FALSE)),"Keep","Delete")</f>
        <v>Keep</v>
      </c>
      <c r="F3227" t="str">
        <f>IF(ISNUMBER(SEARCH("#",B3227)), LEFT(B3227,FIND("#",B3227)-1), B3227)</f>
        <v>Railway Controller</v>
      </c>
      <c r="G3227" s="26">
        <f>IF(ISNUMBER(SEARCH("#",B3227)),VALUE(MID(B3227,FIND("#",B3227)+1,1000)),1)</f>
        <v>1</v>
      </c>
      <c r="H3227" t="str">
        <f>IF(AND(regexMatch(B3227,".*#[0-9]*$"),ISNUMBER(SEARCH("#",B3227))),CONCATENATE(TRIM(F3227)," #",G3227),B3227)</f>
        <v>Railway Controller</v>
      </c>
    </row>
    <row r="3228" spans="1:8" ht="15.75" thickBot="1" x14ac:dyDescent="0.3">
      <c r="A3228" s="1" t="s">
        <v>6004</v>
      </c>
      <c r="B3228" s="1" t="s">
        <v>10169</v>
      </c>
      <c r="C3228" s="1"/>
      <c r="D3228" s="2" t="s">
        <v>1969</v>
      </c>
      <c r="E3228" s="3" t="str">
        <f>IF(ISERROR(VLOOKUP(B3228,Failures!$A$1:$A$4000,1,FALSE)),"Keep","Delete")</f>
        <v>Keep</v>
      </c>
      <c r="F3228" t="str">
        <f>IF(ISNUMBER(SEARCH("#",B3228)), LEFT(B3228,FIND("#",B3228)-1), B3228)</f>
        <v xml:space="preserve">Railway Crossing Barrier </v>
      </c>
      <c r="G3228" s="26">
        <f>IF(ISNUMBER(SEARCH("#",B3228)),VALUE(MID(B3228,FIND("#",B3228)+1,1000)),1)</f>
        <v>1</v>
      </c>
      <c r="H3228" t="str">
        <f>IF(AND(regexMatch(B3228,".*#[0-9]*$"),ISNUMBER(SEARCH("#",B3228))),CONCATENATE(TRIM(F3228)," #",G3228),B3228)</f>
        <v>Railway Crossing Barrier #1</v>
      </c>
    </row>
    <row r="3229" spans="1:8" ht="15.75" thickBot="1" x14ac:dyDescent="0.3">
      <c r="A3229" s="1" t="s">
        <v>6003</v>
      </c>
      <c r="B3229" s="1" t="s">
        <v>10170</v>
      </c>
      <c r="C3229" s="1"/>
      <c r="D3229" s="2" t="s">
        <v>1969</v>
      </c>
      <c r="E3229" s="3" t="str">
        <f>IF(ISERROR(VLOOKUP(B3229,Failures!$A$1:$A$4000,1,FALSE)),"Keep","Delete")</f>
        <v>Keep</v>
      </c>
      <c r="F3229" t="str">
        <f>IF(ISNUMBER(SEARCH("#",B3229)), LEFT(B3229,FIND("#",B3229)-1), B3229)</f>
        <v xml:space="preserve">Railway Crossing Barrier </v>
      </c>
      <c r="G3229" s="26">
        <f>IF(ISNUMBER(SEARCH("#",B3229)),VALUE(MID(B3229,FIND("#",B3229)+1,1000)),1)</f>
        <v>2</v>
      </c>
      <c r="H3229" t="str">
        <f>IF(AND(regexMatch(B3229,".*#[0-9]*$"),ISNUMBER(SEARCH("#",B3229))),CONCATENATE(TRIM(F3229)," #",G3229),B3229)</f>
        <v>Railway Crossing Barrier #2</v>
      </c>
    </row>
    <row r="3230" spans="1:8" ht="15.75" thickBot="1" x14ac:dyDescent="0.3">
      <c r="A3230" s="1" t="s">
        <v>3244</v>
      </c>
      <c r="B3230" s="1" t="s">
        <v>3245</v>
      </c>
      <c r="C3230" s="2" t="s">
        <v>5</v>
      </c>
      <c r="D3230" s="2" t="s">
        <v>1969</v>
      </c>
      <c r="E3230" s="3" t="str">
        <f>IF(ISERROR(VLOOKUP(B3230,Failures!$A$1:$A$4000,1,FALSE)),"Keep","Delete")</f>
        <v>Keep</v>
      </c>
      <c r="F3230" t="str">
        <f>IF(ISNUMBER(SEARCH("#",B3230)), LEFT(B3230,FIND("#",B3230)-1), B3230)</f>
        <v>Railway Crossing Sign</v>
      </c>
      <c r="G3230" s="26">
        <f>IF(ISNUMBER(SEARCH("#",B3230)),VALUE(MID(B3230,FIND("#",B3230)+1,1000)),1)</f>
        <v>1</v>
      </c>
      <c r="H3230" t="str">
        <f>IF(AND(regexMatch(B3230,".*#[0-9]*$"),ISNUMBER(SEARCH("#",B3230))),CONCATENATE(TRIM(F3230)," #",G3230),B3230)</f>
        <v>Railway Crossing Sign</v>
      </c>
    </row>
    <row r="3231" spans="1:8" ht="15.75" thickBot="1" x14ac:dyDescent="0.3">
      <c r="A3231" s="1" t="s">
        <v>2628</v>
      </c>
      <c r="B3231" s="1" t="s">
        <v>2629</v>
      </c>
      <c r="C3231" s="2" t="s">
        <v>5</v>
      </c>
      <c r="D3231" s="2" t="s">
        <v>1969</v>
      </c>
      <c r="E3231" s="3" t="str">
        <f>IF(ISERROR(VLOOKUP(B3231,Failures!$A$1:$A$4000,1,FALSE)),"Keep","Delete")</f>
        <v>Keep</v>
      </c>
      <c r="F3231" t="str">
        <f>IF(ISNUMBER(SEARCH("#",B3231)), LEFT(B3231,FIND("#",B3231)-1), B3231)</f>
        <v xml:space="preserve">Railway Points </v>
      </c>
      <c r="G3231" s="26">
        <f>IF(ISNUMBER(SEARCH("#",B3231)),VALUE(MID(B3231,FIND("#",B3231)+1,1000)),1)</f>
        <v>1</v>
      </c>
      <c r="H3231" t="str">
        <f>IF(AND(regexMatch(B3231,".*#[0-9]*$"),ISNUMBER(SEARCH("#",B3231))),CONCATENATE(TRIM(F3231)," #",G3231),B3231)</f>
        <v>Railway Points #1</v>
      </c>
    </row>
    <row r="3232" spans="1:8" ht="15.75" thickBot="1" x14ac:dyDescent="0.3">
      <c r="A3232" s="1" t="s">
        <v>2630</v>
      </c>
      <c r="B3232" s="1" t="s">
        <v>2631</v>
      </c>
      <c r="C3232" s="2" t="s">
        <v>5</v>
      </c>
      <c r="D3232" s="2" t="s">
        <v>1969</v>
      </c>
      <c r="E3232" s="3" t="str">
        <f>IF(ISERROR(VLOOKUP(B3232,Failures!$A$1:$A$4000,1,FALSE)),"Keep","Delete")</f>
        <v>Keep</v>
      </c>
      <c r="F3232" t="str">
        <f>IF(ISNUMBER(SEARCH("#",B3232)), LEFT(B3232,FIND("#",B3232)-1), B3232)</f>
        <v xml:space="preserve">Railway Points </v>
      </c>
      <c r="G3232" s="26">
        <f>IF(ISNUMBER(SEARCH("#",B3232)),VALUE(MID(B3232,FIND("#",B3232)+1,1000)),1)</f>
        <v>2</v>
      </c>
      <c r="H3232" t="str">
        <f>IF(AND(regexMatch(B3232,".*#[0-9]*$"),ISNUMBER(SEARCH("#",B3232))),CONCATENATE(TRIM(F3232)," #",G3232),B3232)</f>
        <v>Railway Points #2</v>
      </c>
    </row>
    <row r="3233" spans="1:8" ht="15.75" thickBot="1" x14ac:dyDescent="0.3">
      <c r="A3233" s="1" t="s">
        <v>4879</v>
      </c>
      <c r="B3233" s="1" t="s">
        <v>10161</v>
      </c>
      <c r="C3233" s="1"/>
      <c r="D3233" s="2" t="s">
        <v>1969</v>
      </c>
      <c r="E3233" s="3" t="str">
        <f>IF(ISERROR(VLOOKUP(B3233,Failures!$A$1:$A$4000,1,FALSE)),"Keep","Delete")</f>
        <v>Keep</v>
      </c>
      <c r="F3233" t="str">
        <f>IF(ISNUMBER(SEARCH("#",B3233)), LEFT(B3233,FIND("#",B3233)-1), B3233)</f>
        <v>Railway Sign: A</v>
      </c>
      <c r="G3233" s="26">
        <f>IF(ISNUMBER(SEARCH("#",B3233)),VALUE(MID(B3233,FIND("#",B3233)+1,1000)),1)</f>
        <v>1</v>
      </c>
      <c r="H3233" t="str">
        <f>IF(AND(regexMatch(B3233,".*#[0-9]*$"),ISNUMBER(SEARCH("#",B3233))),CONCATENATE(TRIM(F3233)," #",G3233),B3233)</f>
        <v>Railway Sign: A</v>
      </c>
    </row>
    <row r="3234" spans="1:8" ht="15.75" thickBot="1" x14ac:dyDescent="0.3">
      <c r="A3234" s="1" t="s">
        <v>4881</v>
      </c>
      <c r="B3234" s="1" t="s">
        <v>10159</v>
      </c>
      <c r="C3234" s="1"/>
      <c r="D3234" s="2" t="s">
        <v>1969</v>
      </c>
      <c r="E3234" s="3" t="str">
        <f>IF(ISERROR(VLOOKUP(B3234,Failures!$A$1:$A$4000,1,FALSE)),"Keep","Delete")</f>
        <v>Keep</v>
      </c>
      <c r="F3234" t="str">
        <f>IF(ISNUMBER(SEARCH("#",B3234)), LEFT(B3234,FIND("#",B3234)-1), B3234)</f>
        <v>Railway Sign: D</v>
      </c>
      <c r="G3234" s="26">
        <f>IF(ISNUMBER(SEARCH("#",B3234)),VALUE(MID(B3234,FIND("#",B3234)+1,1000)),1)</f>
        <v>1</v>
      </c>
      <c r="H3234" t="str">
        <f>IF(AND(regexMatch(B3234,".*#[0-9]*$"),ISNUMBER(SEARCH("#",B3234))),CONCATENATE(TRIM(F3234)," #",G3234),B3234)</f>
        <v>Railway Sign: D</v>
      </c>
    </row>
    <row r="3235" spans="1:8" ht="15.75" thickBot="1" x14ac:dyDescent="0.3">
      <c r="A3235" s="1" t="s">
        <v>4880</v>
      </c>
      <c r="B3235" s="1" t="s">
        <v>10160</v>
      </c>
      <c r="C3235" s="1"/>
      <c r="D3235" s="2" t="s">
        <v>1969</v>
      </c>
      <c r="E3235" s="3" t="str">
        <f>IF(ISERROR(VLOOKUP(B3235,Failures!$A$1:$A$4000,1,FALSE)),"Keep","Delete")</f>
        <v>Keep</v>
      </c>
      <c r="F3235" t="str">
        <f>IF(ISNUMBER(SEARCH("#",B3235)), LEFT(B3235,FIND("#",B3235)-1), B3235)</f>
        <v>Railway Sign: E</v>
      </c>
      <c r="G3235" s="26">
        <f>IF(ISNUMBER(SEARCH("#",B3235)),VALUE(MID(B3235,FIND("#",B3235)+1,1000)),1)</f>
        <v>1</v>
      </c>
      <c r="H3235" t="str">
        <f>IF(AND(regexMatch(B3235,".*#[0-9]*$"),ISNUMBER(SEARCH("#",B3235))),CONCATENATE(TRIM(F3235)," #",G3235),B3235)</f>
        <v>Railway Sign: E</v>
      </c>
    </row>
    <row r="3236" spans="1:8" ht="15.75" thickBot="1" x14ac:dyDescent="0.3">
      <c r="A3236" s="1" t="s">
        <v>4877</v>
      </c>
      <c r="B3236" s="1" t="s">
        <v>10163</v>
      </c>
      <c r="C3236" s="1"/>
      <c r="D3236" s="2" t="s">
        <v>1969</v>
      </c>
      <c r="E3236" s="3" t="str">
        <f>IF(ISERROR(VLOOKUP(B3236,Failures!$A$1:$A$4000,1,FALSE)),"Keep","Delete")</f>
        <v>Keep</v>
      </c>
      <c r="F3236" t="str">
        <f>IF(ISNUMBER(SEARCH("#",B3236)), LEFT(B3236,FIND("#",B3236)-1), B3236)</f>
        <v>Railway Sign: Marker</v>
      </c>
      <c r="G3236" s="26">
        <f>IF(ISNUMBER(SEARCH("#",B3236)),VALUE(MID(B3236,FIND("#",B3236)+1,1000)),1)</f>
        <v>1</v>
      </c>
      <c r="H3236" t="str">
        <f>IF(AND(regexMatch(B3236,".*#[0-9]*$"),ISNUMBER(SEARCH("#",B3236))),CONCATENATE(TRIM(F3236)," #",G3236),B3236)</f>
        <v>Railway Sign: Marker</v>
      </c>
    </row>
    <row r="3237" spans="1:8" ht="15.75" thickBot="1" x14ac:dyDescent="0.3">
      <c r="A3237" s="1" t="s">
        <v>4876</v>
      </c>
      <c r="B3237" s="1" t="s">
        <v>10164</v>
      </c>
      <c r="C3237" s="1"/>
      <c r="D3237" s="2" t="s">
        <v>1969</v>
      </c>
      <c r="E3237" s="3" t="str">
        <f>IF(ISERROR(VLOOKUP(B3237,Failures!$A$1:$A$4000,1,FALSE)),"Keep","Delete")</f>
        <v>Keep</v>
      </c>
      <c r="F3237" t="str">
        <f>IF(ISNUMBER(SEARCH("#",B3237)), LEFT(B3237,FIND("#",B3237)-1), B3237)</f>
        <v>Railway Sign: Red Circle</v>
      </c>
      <c r="G3237" s="26">
        <f>IF(ISNUMBER(SEARCH("#",B3237)),VALUE(MID(B3237,FIND("#",B3237)+1,1000)),1)</f>
        <v>1</v>
      </c>
      <c r="H3237" t="str">
        <f>IF(AND(regexMatch(B3237,".*#[0-9]*$"),ISNUMBER(SEARCH("#",B3237))),CONCATENATE(TRIM(F3237)," #",G3237),B3237)</f>
        <v>Railway Sign: Red Circle</v>
      </c>
    </row>
    <row r="3238" spans="1:8" ht="15.75" thickBot="1" x14ac:dyDescent="0.3">
      <c r="A3238" s="1" t="s">
        <v>4878</v>
      </c>
      <c r="B3238" s="1" t="s">
        <v>10162</v>
      </c>
      <c r="C3238" s="1"/>
      <c r="D3238" s="2" t="s">
        <v>1969</v>
      </c>
      <c r="E3238" s="3" t="str">
        <f>IF(ISERROR(VLOOKUP(B3238,Failures!$A$1:$A$4000,1,FALSE)),"Keep","Delete")</f>
        <v>Keep</v>
      </c>
      <c r="F3238" t="str">
        <f>IF(ISNUMBER(SEARCH("#",B3238)), LEFT(B3238,FIND("#",B3238)-1), B3238)</f>
        <v>Railway Sign: Red Square</v>
      </c>
      <c r="G3238" s="26">
        <f>IF(ISNUMBER(SEARCH("#",B3238)),VALUE(MID(B3238,FIND("#",B3238)+1,1000)),1)</f>
        <v>1</v>
      </c>
      <c r="H3238" t="str">
        <f>IF(AND(regexMatch(B3238,".*#[0-9]*$"),ISNUMBER(SEARCH("#",B3238))),CONCATENATE(TRIM(F3238)," #",G3238),B3238)</f>
        <v>Railway Sign: Red Square</v>
      </c>
    </row>
    <row r="3239" spans="1:8" ht="15.75" thickBot="1" x14ac:dyDescent="0.3">
      <c r="A3239" s="1" t="s">
        <v>4875</v>
      </c>
      <c r="B3239" s="1" t="s">
        <v>10165</v>
      </c>
      <c r="C3239" s="1"/>
      <c r="D3239" s="2" t="s">
        <v>1969</v>
      </c>
      <c r="E3239" s="3" t="str">
        <f>IF(ISERROR(VLOOKUP(B3239,Failures!$A$1:$A$4000,1,FALSE)),"Keep","Delete")</f>
        <v>Keep</v>
      </c>
      <c r="F3239" t="str">
        <f>IF(ISNUMBER(SEARCH("#",B3239)), LEFT(B3239,FIND("#",B3239)-1), B3239)</f>
        <v>Railway Signal: Ground</v>
      </c>
      <c r="G3239" s="26">
        <f>IF(ISNUMBER(SEARCH("#",B3239)),VALUE(MID(B3239,FIND("#",B3239)+1,1000)),1)</f>
        <v>1</v>
      </c>
      <c r="H3239" t="str">
        <f>IF(AND(regexMatch(B3239,".*#[0-9]*$"),ISNUMBER(SEARCH("#",B3239))),CONCATENATE(TRIM(F3239)," #",G3239),B3239)</f>
        <v>Railway Signal: Ground</v>
      </c>
    </row>
    <row r="3240" spans="1:8" ht="15.75" thickBot="1" x14ac:dyDescent="0.3">
      <c r="A3240" s="1" t="s">
        <v>4874</v>
      </c>
      <c r="B3240" s="1" t="s">
        <v>10166</v>
      </c>
      <c r="C3240" s="1"/>
      <c r="D3240" s="2" t="s">
        <v>1969</v>
      </c>
      <c r="E3240" s="3" t="str">
        <f>IF(ISERROR(VLOOKUP(B3240,Failures!$A$1:$A$4000,1,FALSE)),"Keep","Delete")</f>
        <v>Keep</v>
      </c>
      <c r="F3240" t="str">
        <f>IF(ISNUMBER(SEARCH("#",B3240)), LEFT(B3240,FIND("#",B3240)-1), B3240)</f>
        <v xml:space="preserve">Railway Signal: Pole </v>
      </c>
      <c r="G3240" s="26">
        <f>IF(ISNUMBER(SEARCH("#",B3240)),VALUE(MID(B3240,FIND("#",B3240)+1,1000)),1)</f>
        <v>1</v>
      </c>
      <c r="H3240" t="str">
        <f>IF(AND(regexMatch(B3240,".*#[0-9]*$"),ISNUMBER(SEARCH("#",B3240))),CONCATENATE(TRIM(F3240)," #",G3240),B3240)</f>
        <v>Railway Signal: Pole #1</v>
      </c>
    </row>
    <row r="3241" spans="1:8" ht="15.75" thickBot="1" x14ac:dyDescent="0.3">
      <c r="A3241" s="1" t="s">
        <v>4873</v>
      </c>
      <c r="B3241" s="1" t="s">
        <v>10167</v>
      </c>
      <c r="C3241" s="1"/>
      <c r="D3241" s="2" t="s">
        <v>1969</v>
      </c>
      <c r="E3241" s="3" t="str">
        <f>IF(ISERROR(VLOOKUP(B3241,Failures!$A$1:$A$4000,1,FALSE)),"Keep","Delete")</f>
        <v>Keep</v>
      </c>
      <c r="F3241" t="str">
        <f>IF(ISNUMBER(SEARCH("#",B3241)), LEFT(B3241,FIND("#",B3241)-1), B3241)</f>
        <v xml:space="preserve">Railway Signal: Pole </v>
      </c>
      <c r="G3241" s="26">
        <f>IF(ISNUMBER(SEARCH("#",B3241)),VALUE(MID(B3241,FIND("#",B3241)+1,1000)),1)</f>
        <v>2</v>
      </c>
      <c r="H3241" t="str">
        <f>IF(AND(regexMatch(B3241,".*#[0-9]*$"),ISNUMBER(SEARCH("#",B3241))),CONCATENATE(TRIM(F3241)," #",G3241),B3241)</f>
        <v>Railway Signal: Pole #2</v>
      </c>
    </row>
    <row r="3242" spans="1:8" ht="15.75" thickBot="1" x14ac:dyDescent="0.3">
      <c r="A3242" s="1" t="s">
        <v>3254</v>
      </c>
      <c r="B3242" s="1" t="s">
        <v>3255</v>
      </c>
      <c r="C3242" s="2" t="s">
        <v>5</v>
      </c>
      <c r="D3242" s="2" t="s">
        <v>1969</v>
      </c>
      <c r="E3242" s="3" t="str">
        <f>IF(ISERROR(VLOOKUP(B3242,Failures!$A$1:$A$4000,1,FALSE)),"Keep","Delete")</f>
        <v>Keep</v>
      </c>
      <c r="F3242" t="str">
        <f>IF(ISNUMBER(SEARCH("#",B3242)), LEFT(B3242,FIND("#",B3242)-1), B3242)</f>
        <v>Train Ticket Machine</v>
      </c>
      <c r="G3242" s="26">
        <f>IF(ISNUMBER(SEARCH("#",B3242)),VALUE(MID(B3242,FIND("#",B3242)+1,1000)),1)</f>
        <v>1</v>
      </c>
      <c r="H3242" t="str">
        <f>IF(AND(regexMatch(B3242,".*#[0-9]*$"),ISNUMBER(SEARCH("#",B3242))),CONCATENATE(TRIM(F3242)," #",G3242),B3242)</f>
        <v>Train Ticket Machine</v>
      </c>
    </row>
    <row r="3243" spans="1:8" ht="15.75" thickBot="1" x14ac:dyDescent="0.3">
      <c r="A3243" s="1" t="s">
        <v>4872</v>
      </c>
      <c r="B3243" s="1" t="s">
        <v>10168</v>
      </c>
      <c r="C3243" s="1"/>
      <c r="D3243" s="2" t="s">
        <v>1969</v>
      </c>
      <c r="E3243" s="3" t="str">
        <f>IF(ISERROR(VLOOKUP(B3243,Failures!$A$1:$A$4000,1,FALSE)),"Keep","Delete")</f>
        <v>Keep</v>
      </c>
      <c r="F3243" t="str">
        <f>IF(ISNUMBER(SEARCH("#",B3243)), LEFT(B3243,FIND("#",B3243)-1), B3243)</f>
        <v>Train Wheel</v>
      </c>
      <c r="G3243" s="26">
        <f>IF(ISNUMBER(SEARCH("#",B3243)),VALUE(MID(B3243,FIND("#",B3243)+1,1000)),1)</f>
        <v>1</v>
      </c>
      <c r="H3243" t="str">
        <f>IF(AND(regexMatch(B3243,".*#[0-9]*$"),ISNUMBER(SEARCH("#",B3243))),CONCATENATE(TRIM(F3243)," #",G3243),B3243)</f>
        <v>Train Wheel</v>
      </c>
    </row>
    <row r="3244" spans="1:8" ht="15.75" thickBot="1" x14ac:dyDescent="0.3">
      <c r="A3244" s="1" t="s">
        <v>1776</v>
      </c>
      <c r="B3244" s="1" t="s">
        <v>1777</v>
      </c>
      <c r="C3244" s="4" t="s">
        <v>5</v>
      </c>
      <c r="D3244" s="2" t="s">
        <v>1778</v>
      </c>
      <c r="E3244" s="3" t="str">
        <f>IF(ISERROR(VLOOKUP(B3244,Failures!$A$1:$A$4000,1,FALSE)),"Keep","Delete")</f>
        <v>Keep</v>
      </c>
      <c r="F3244" t="str">
        <f>IF(ISNUMBER(SEARCH("#",B3244)), LEFT(B3244,FIND("#",B3244)-1), B3244)</f>
        <v>Jetski Ramp</v>
      </c>
      <c r="G3244" s="26">
        <f>IF(ISNUMBER(SEARCH("#",B3244)),VALUE(MID(B3244,FIND("#",B3244)+1,1000)),1)</f>
        <v>1</v>
      </c>
      <c r="H3244" t="str">
        <f>IF(AND(regexMatch(B3244,".*#[0-9]*$"),ISNUMBER(SEARCH("#",B3244))),CONCATENATE(TRIM(F3244)," #",G3244),B3244)</f>
        <v>Jetski Ramp</v>
      </c>
    </row>
    <row r="3245" spans="1:8" ht="15.75" thickBot="1" x14ac:dyDescent="0.3">
      <c r="A3245" s="1" t="s">
        <v>2200</v>
      </c>
      <c r="B3245" s="1" t="s">
        <v>2201</v>
      </c>
      <c r="C3245" s="2" t="s">
        <v>5</v>
      </c>
      <c r="D3245" s="2" t="s">
        <v>1778</v>
      </c>
      <c r="E3245" s="3" t="str">
        <f>IF(ISERROR(VLOOKUP(B3245,Failures!$A$1:$A$4000,1,FALSE)),"Keep","Delete")</f>
        <v>Keep</v>
      </c>
      <c r="F3245" t="str">
        <f>IF(ISNUMBER(SEARCH("#",B3245)), LEFT(B3245,FIND("#",B3245)-1), B3245)</f>
        <v xml:space="preserve">Multiplayer Ramp </v>
      </c>
      <c r="G3245" s="26">
        <f>IF(ISNUMBER(SEARCH("#",B3245)),VALUE(MID(B3245,FIND("#",B3245)+1,1000)),1)</f>
        <v>1</v>
      </c>
      <c r="H3245" t="str">
        <f>IF(AND(regexMatch(B3245,".*#[0-9]*$"),ISNUMBER(SEARCH("#",B3245))),CONCATENATE(TRIM(F3245)," #",G3245),B3245)</f>
        <v>Multiplayer Ramp #1</v>
      </c>
    </row>
    <row r="3246" spans="1:8" ht="15.75" thickBot="1" x14ac:dyDescent="0.3">
      <c r="A3246" s="1" t="s">
        <v>2202</v>
      </c>
      <c r="B3246" s="1" t="s">
        <v>2203</v>
      </c>
      <c r="C3246" s="2" t="s">
        <v>5</v>
      </c>
      <c r="D3246" s="2" t="s">
        <v>1778</v>
      </c>
      <c r="E3246" s="3" t="str">
        <f>IF(ISERROR(VLOOKUP(B3246,Failures!$A$1:$A$4000,1,FALSE)),"Keep","Delete")</f>
        <v>Keep</v>
      </c>
      <c r="F3246" t="str">
        <f>IF(ISNUMBER(SEARCH("#",B3246)), LEFT(B3246,FIND("#",B3246)-1), B3246)</f>
        <v xml:space="preserve">Multiplayer Ramp </v>
      </c>
      <c r="G3246" s="26">
        <f>IF(ISNUMBER(SEARCH("#",B3246)),VALUE(MID(B3246,FIND("#",B3246)+1,1000)),1)</f>
        <v>2</v>
      </c>
      <c r="H3246" t="str">
        <f>IF(AND(regexMatch(B3246,".*#[0-9]*$"),ISNUMBER(SEARCH("#",B3246))),CONCATENATE(TRIM(F3246)," #",G3246),B3246)</f>
        <v>Multiplayer Ramp #2</v>
      </c>
    </row>
    <row r="3247" spans="1:8" ht="15.75" thickBot="1" x14ac:dyDescent="0.3">
      <c r="A3247" s="1" t="s">
        <v>2204</v>
      </c>
      <c r="B3247" s="1" t="s">
        <v>2205</v>
      </c>
      <c r="C3247" s="2" t="s">
        <v>5</v>
      </c>
      <c r="D3247" s="2" t="s">
        <v>1778</v>
      </c>
      <c r="E3247" s="3" t="str">
        <f>IF(ISERROR(VLOOKUP(B3247,Failures!$A$1:$A$4000,1,FALSE)),"Keep","Delete")</f>
        <v>Keep</v>
      </c>
      <c r="F3247" t="str">
        <f>IF(ISNUMBER(SEARCH("#",B3247)), LEFT(B3247,FIND("#",B3247)-1), B3247)</f>
        <v xml:space="preserve">Multiplayer Ramp </v>
      </c>
      <c r="G3247" s="26">
        <f>IF(ISNUMBER(SEARCH("#",B3247)),VALUE(MID(B3247,FIND("#",B3247)+1,1000)),1)</f>
        <v>3</v>
      </c>
      <c r="H3247" t="str">
        <f>IF(AND(regexMatch(B3247,".*#[0-9]*$"),ISNUMBER(SEARCH("#",B3247))),CONCATENATE(TRIM(F3247)," #",G3247),B3247)</f>
        <v>Multiplayer Ramp #3</v>
      </c>
    </row>
    <row r="3248" spans="1:8" ht="15.75" thickBot="1" x14ac:dyDescent="0.3">
      <c r="A3248" s="7" t="s">
        <v>4205</v>
      </c>
      <c r="B3248" s="9" t="s">
        <v>4677</v>
      </c>
      <c r="C3248" s="9"/>
      <c r="D3248" s="14" t="s">
        <v>1778</v>
      </c>
      <c r="E3248" s="3" t="str">
        <f>IF(ISERROR(VLOOKUP(B3248,Failures!$A$1:$A$4000,1,FALSE)),"Keep","Delete")</f>
        <v>Keep</v>
      </c>
      <c r="F3248" t="str">
        <f>IF(ISNUMBER(SEARCH("#",B3248)), LEFT(B3248,FIND("#",B3248)-1), B3248)</f>
        <v>Old Rotten Ramp Piece</v>
      </c>
      <c r="G3248" s="26">
        <f>IF(ISNUMBER(SEARCH("#",B3248)),VALUE(MID(B3248,FIND("#",B3248)+1,1000)),1)</f>
        <v>1</v>
      </c>
      <c r="H3248" t="str">
        <f>IF(AND(regexMatch(B3248,".*#[0-9]*$"),ISNUMBER(SEARCH("#",B3248))),CONCATENATE(TRIM(F3248)," #",G3248),B3248)</f>
        <v>Old Rotten Ramp Piece</v>
      </c>
    </row>
    <row r="3249" spans="1:8" ht="15.75" thickBot="1" x14ac:dyDescent="0.3">
      <c r="A3249" s="7" t="s">
        <v>4265</v>
      </c>
      <c r="B3249" s="9" t="s">
        <v>4517</v>
      </c>
      <c r="C3249" s="9"/>
      <c r="D3249" s="14" t="s">
        <v>1778</v>
      </c>
      <c r="E3249" s="3" t="str">
        <f>IF(ISERROR(VLOOKUP(B3249,Failures!$A$1:$A$4000,1,FALSE)),"Keep","Delete")</f>
        <v>Keep</v>
      </c>
      <c r="F3249" t="str">
        <f>IF(ISNUMBER(SEARCH("#",B3249)), LEFT(B3249,FIND("#",B3249)-1), B3249)</f>
        <v>Pile of Dirt</v>
      </c>
      <c r="G3249" s="26">
        <f>IF(ISNUMBER(SEARCH("#",B3249)),VALUE(MID(B3249,FIND("#",B3249)+1,1000)),1)</f>
        <v>1</v>
      </c>
      <c r="H3249" t="str">
        <f>IF(AND(regexMatch(B3249,".*#[0-9]*$"),ISNUMBER(SEARCH("#",B3249))),CONCATENATE(TRIM(F3249)," #",G3249),B3249)</f>
        <v>Pile of Dirt</v>
      </c>
    </row>
    <row r="3250" spans="1:8" ht="15.75" thickBot="1" x14ac:dyDescent="0.3">
      <c r="A3250" s="7" t="s">
        <v>4262</v>
      </c>
      <c r="B3250" s="9" t="s">
        <v>4421</v>
      </c>
      <c r="C3250" s="9"/>
      <c r="D3250" s="14" t="s">
        <v>1778</v>
      </c>
      <c r="E3250" s="3" t="str">
        <f>IF(ISERROR(VLOOKUP(B3250,Failures!$A$1:$A$4000,1,FALSE)),"Keep","Delete")</f>
        <v>Keep</v>
      </c>
      <c r="F3250" t="str">
        <f>IF(ISNUMBER(SEARCH("#",B3250)), LEFT(B3250,FIND("#",B3250)-1), B3250)</f>
        <v>Skate Park Flat Ramp</v>
      </c>
      <c r="G3250" s="26">
        <f>IF(ISNUMBER(SEARCH("#",B3250)),VALUE(MID(B3250,FIND("#",B3250)+1,1000)),1)</f>
        <v>1</v>
      </c>
      <c r="H3250" t="str">
        <f>IF(AND(regexMatch(B3250,".*#[0-9]*$"),ISNUMBER(SEARCH("#",B3250))),CONCATENATE(TRIM(F3250)," #",G3250),B3250)</f>
        <v>Skate Park Flat Ramp</v>
      </c>
    </row>
    <row r="3251" spans="1:8" ht="15.75" thickBot="1" x14ac:dyDescent="0.3">
      <c r="A3251" s="7" t="s">
        <v>4264</v>
      </c>
      <c r="B3251" s="9" t="s">
        <v>4423</v>
      </c>
      <c r="C3251" s="9"/>
      <c r="D3251" s="14" t="s">
        <v>1778</v>
      </c>
      <c r="E3251" s="3" t="str">
        <f>IF(ISERROR(VLOOKUP(B3251,Failures!$A$1:$A$4000,1,FALSE)),"Keep","Delete")</f>
        <v>Keep</v>
      </c>
      <c r="F3251" t="str">
        <f>IF(ISNUMBER(SEARCH("#",B3251)), LEFT(B3251,FIND("#",B3251)-1), B3251)</f>
        <v>Skate Park Funbox</v>
      </c>
      <c r="G3251" s="26">
        <f>IF(ISNUMBER(SEARCH("#",B3251)),VALUE(MID(B3251,FIND("#",B3251)+1,1000)),1)</f>
        <v>1</v>
      </c>
      <c r="H3251" t="str">
        <f>IF(AND(regexMatch(B3251,".*#[0-9]*$"),ISNUMBER(SEARCH("#",B3251))),CONCATENATE(TRIM(F3251)," #",G3251),B3251)</f>
        <v>Skate Park Funbox</v>
      </c>
    </row>
    <row r="3252" spans="1:8" ht="15.75" thickBot="1" x14ac:dyDescent="0.3">
      <c r="A3252" s="7" t="s">
        <v>4259</v>
      </c>
      <c r="B3252" s="9" t="s">
        <v>4422</v>
      </c>
      <c r="C3252" s="9"/>
      <c r="D3252" s="14" t="s">
        <v>1778</v>
      </c>
      <c r="E3252" s="3" t="str">
        <f>IF(ISERROR(VLOOKUP(B3252,Failures!$A$1:$A$4000,1,FALSE)),"Keep","Delete")</f>
        <v>Keep</v>
      </c>
      <c r="F3252" t="str">
        <f>IF(ISNUMBER(SEARCH("#",B3252)), LEFT(B3252,FIND("#",B3252)-1), B3252)</f>
        <v>Skate Park Half Pipe</v>
      </c>
      <c r="G3252" s="26">
        <f>IF(ISNUMBER(SEARCH("#",B3252)),VALUE(MID(B3252,FIND("#",B3252)+1,1000)),1)</f>
        <v>1</v>
      </c>
      <c r="H3252" t="str">
        <f>IF(AND(regexMatch(B3252,".*#[0-9]*$"),ISNUMBER(SEARCH("#",B3252))),CONCATENATE(TRIM(F3252)," #",G3252),B3252)</f>
        <v>Skate Park Half Pipe</v>
      </c>
    </row>
    <row r="3253" spans="1:8" ht="15.75" thickBot="1" x14ac:dyDescent="0.3">
      <c r="A3253" s="7" t="s">
        <v>4263</v>
      </c>
      <c r="B3253" s="9" t="s">
        <v>4424</v>
      </c>
      <c r="C3253" s="9"/>
      <c r="D3253" s="14" t="s">
        <v>1778</v>
      </c>
      <c r="E3253" s="3" t="str">
        <f>IF(ISERROR(VLOOKUP(B3253,Failures!$A$1:$A$4000,1,FALSE)),"Keep","Delete")</f>
        <v>Keep</v>
      </c>
      <c r="F3253" t="str">
        <f>IF(ISNUMBER(SEARCH("#",B3253)), LEFT(B3253,FIND("#",B3253)-1), B3253)</f>
        <v>Skate Park Kickers</v>
      </c>
      <c r="G3253" s="26">
        <f>IF(ISNUMBER(SEARCH("#",B3253)),VALUE(MID(B3253,FIND("#",B3253)+1,1000)),1)</f>
        <v>1</v>
      </c>
      <c r="H3253" t="str">
        <f>IF(AND(regexMatch(B3253,".*#[0-9]*$"),ISNUMBER(SEARCH("#",B3253))),CONCATENATE(TRIM(F3253)," #",G3253),B3253)</f>
        <v>Skate Park Kickers</v>
      </c>
    </row>
    <row r="3254" spans="1:8" ht="15.75" thickBot="1" x14ac:dyDescent="0.3">
      <c r="A3254" s="7" t="s">
        <v>4260</v>
      </c>
      <c r="B3254" s="9" t="s">
        <v>4425</v>
      </c>
      <c r="C3254" s="9"/>
      <c r="D3254" s="14" t="s">
        <v>1778</v>
      </c>
      <c r="E3254" s="3" t="str">
        <f>IF(ISERROR(VLOOKUP(B3254,Failures!$A$1:$A$4000,1,FALSE)),"Keep","Delete")</f>
        <v>Keep</v>
      </c>
      <c r="F3254" t="str">
        <f>IF(ISNUMBER(SEARCH("#",B3254)), LEFT(B3254,FIND("#",B3254)-1), B3254)</f>
        <v>Skate Park Quarter Pipe</v>
      </c>
      <c r="G3254" s="26">
        <f>IF(ISNUMBER(SEARCH("#",B3254)),VALUE(MID(B3254,FIND("#",B3254)+1,1000)),1)</f>
        <v>1</v>
      </c>
      <c r="H3254" t="str">
        <f>IF(AND(regexMatch(B3254,".*#[0-9]*$"),ISNUMBER(SEARCH("#",B3254))),CONCATENATE(TRIM(F3254)," #",G3254),B3254)</f>
        <v>Skate Park Quarter Pipe</v>
      </c>
    </row>
    <row r="3255" spans="1:8" ht="15.75" thickBot="1" x14ac:dyDescent="0.3">
      <c r="A3255" s="7" t="s">
        <v>4261</v>
      </c>
      <c r="B3255" s="9" t="s">
        <v>4426</v>
      </c>
      <c r="C3255" s="9"/>
      <c r="D3255" s="14" t="s">
        <v>1778</v>
      </c>
      <c r="E3255" s="3" t="str">
        <f>IF(ISERROR(VLOOKUP(B3255,Failures!$A$1:$A$4000,1,FALSE)),"Keep","Delete")</f>
        <v>Keep</v>
      </c>
      <c r="F3255" t="str">
        <f>IF(ISNUMBER(SEARCH("#",B3255)), LEFT(B3255,FIND("#",B3255)-1), B3255)</f>
        <v>Skate Park Spinner</v>
      </c>
      <c r="G3255" s="26">
        <f>IF(ISNUMBER(SEARCH("#",B3255)),VALUE(MID(B3255,FIND("#",B3255)+1,1000)),1)</f>
        <v>1</v>
      </c>
      <c r="H3255" t="str">
        <f>IF(AND(regexMatch(B3255,".*#[0-9]*$"),ISNUMBER(SEARCH("#",B3255))),CONCATENATE(TRIM(F3255)," #",G3255),B3255)</f>
        <v>Skate Park Spinner</v>
      </c>
    </row>
    <row r="3256" spans="1:8" ht="15.75" thickBot="1" x14ac:dyDescent="0.3">
      <c r="A3256" s="1" t="s">
        <v>5420</v>
      </c>
      <c r="B3256" s="1" t="s">
        <v>10356</v>
      </c>
      <c r="C3256" s="1"/>
      <c r="D3256" s="2" t="s">
        <v>1778</v>
      </c>
      <c r="E3256" s="3" t="str">
        <f>IF(ISERROR(VLOOKUP(B3256,Failures!$A$1:$A$4000,1,FALSE)),"Keep","Delete")</f>
        <v>Keep</v>
      </c>
      <c r="F3256" t="str">
        <f>IF(ISNUMBER(SEARCH("#",B3256)), LEFT(B3256,FIND("#",B3256)-1), B3256)</f>
        <v xml:space="preserve">Trials Seesaw </v>
      </c>
      <c r="G3256" s="26">
        <f>IF(ISNUMBER(SEARCH("#",B3256)),VALUE(MID(B3256,FIND("#",B3256)+1,1000)),1)</f>
        <v>1</v>
      </c>
      <c r="H3256" t="str">
        <f>IF(AND(regexMatch(B3256,".*#[0-9]*$"),ISNUMBER(SEARCH("#",B3256))),CONCATENATE(TRIM(F3256)," #",G3256),B3256)</f>
        <v>Trials Seesaw #1</v>
      </c>
    </row>
    <row r="3257" spans="1:8" ht="15.75" thickBot="1" x14ac:dyDescent="0.3">
      <c r="A3257" s="1" t="s">
        <v>5421</v>
      </c>
      <c r="B3257" s="1" t="s">
        <v>10357</v>
      </c>
      <c r="C3257" s="1"/>
      <c r="D3257" s="2" t="s">
        <v>1778</v>
      </c>
      <c r="E3257" s="3" t="str">
        <f>IF(ISERROR(VLOOKUP(B3257,Failures!$A$1:$A$4000,1,FALSE)),"Keep","Delete")</f>
        <v>Keep</v>
      </c>
      <c r="F3257" t="str">
        <f>IF(ISNUMBER(SEARCH("#",B3257)), LEFT(B3257,FIND("#",B3257)-1), B3257)</f>
        <v xml:space="preserve">Trials Seesaw </v>
      </c>
      <c r="G3257" s="26">
        <f>IF(ISNUMBER(SEARCH("#",B3257)),VALUE(MID(B3257,FIND("#",B3257)+1,1000)),1)</f>
        <v>2</v>
      </c>
      <c r="H3257" t="str">
        <f>IF(AND(regexMatch(B3257,".*#[0-9]*$"),ISNUMBER(SEARCH("#",B3257))),CONCATENATE(TRIM(F3257)," #",G3257),B3257)</f>
        <v>Trials Seesaw #2</v>
      </c>
    </row>
    <row r="3258" spans="1:8" ht="15.75" thickBot="1" x14ac:dyDescent="0.3">
      <c r="A3258" s="1" t="s">
        <v>3389</v>
      </c>
      <c r="B3258" s="1" t="s">
        <v>3390</v>
      </c>
      <c r="C3258" s="2" t="s">
        <v>5</v>
      </c>
      <c r="D3258" s="2" t="s">
        <v>1778</v>
      </c>
      <c r="E3258" s="3" t="str">
        <f>IF(ISERROR(VLOOKUP(B3258,Failures!$A$1:$A$4000,1,FALSE)),"Keep","Delete")</f>
        <v>Keep</v>
      </c>
      <c r="F3258" t="str">
        <f>IF(ISNUMBER(SEARCH("#",B3258)), LEFT(B3258,FIND("#",B3258)-1), B3258)</f>
        <v xml:space="preserve">Water Ramp </v>
      </c>
      <c r="G3258" s="26">
        <f>IF(ISNUMBER(SEARCH("#",B3258)),VALUE(MID(B3258,FIND("#",B3258)+1,1000)),1)</f>
        <v>1</v>
      </c>
      <c r="H3258" t="str">
        <f>IF(AND(regexMatch(B3258,".*#[0-9]*$"),ISNUMBER(SEARCH("#",B3258))),CONCATENATE(TRIM(F3258)," #",G3258),B3258)</f>
        <v>Water Ramp #1</v>
      </c>
    </row>
    <row r="3259" spans="1:8" ht="15.75" thickBot="1" x14ac:dyDescent="0.3">
      <c r="A3259" s="1" t="s">
        <v>3391</v>
      </c>
      <c r="B3259" s="1" t="s">
        <v>3392</v>
      </c>
      <c r="C3259" s="2" t="s">
        <v>5</v>
      </c>
      <c r="D3259" s="2" t="s">
        <v>1778</v>
      </c>
      <c r="E3259" s="3" t="str">
        <f>IF(ISERROR(VLOOKUP(B3259,Failures!$A$1:$A$4000,1,FALSE)),"Keep","Delete")</f>
        <v>Keep</v>
      </c>
      <c r="F3259" t="str">
        <f>IF(ISNUMBER(SEARCH("#",B3259)), LEFT(B3259,FIND("#",B3259)-1), B3259)</f>
        <v xml:space="preserve">Water Ramp </v>
      </c>
      <c r="G3259" s="26">
        <f>IF(ISNUMBER(SEARCH("#",B3259)),VALUE(MID(B3259,FIND("#",B3259)+1,1000)),1)</f>
        <v>2</v>
      </c>
      <c r="H3259" t="str">
        <f>IF(AND(regexMatch(B3259,".*#[0-9]*$"),ISNUMBER(SEARCH("#",B3259))),CONCATENATE(TRIM(F3259)," #",G3259),B3259)</f>
        <v>Water Ramp #2</v>
      </c>
    </row>
    <row r="3260" spans="1:8" ht="15.75" thickBot="1" x14ac:dyDescent="0.3">
      <c r="A3260" s="1" t="s">
        <v>3393</v>
      </c>
      <c r="B3260" s="1" t="s">
        <v>3394</v>
      </c>
      <c r="C3260" s="2" t="s">
        <v>5</v>
      </c>
      <c r="D3260" s="2" t="s">
        <v>1778</v>
      </c>
      <c r="E3260" s="3" t="str">
        <f>IF(ISERROR(VLOOKUP(B3260,Failures!$A$1:$A$4000,1,FALSE)),"Keep","Delete")</f>
        <v>Keep</v>
      </c>
      <c r="F3260" t="str">
        <f>IF(ISNUMBER(SEARCH("#",B3260)), LEFT(B3260,FIND("#",B3260)-1), B3260)</f>
        <v xml:space="preserve">Water Ramp </v>
      </c>
      <c r="G3260" s="26">
        <f>IF(ISNUMBER(SEARCH("#",B3260)),VALUE(MID(B3260,FIND("#",B3260)+1,1000)),1)</f>
        <v>3</v>
      </c>
      <c r="H3260" t="str">
        <f>IF(AND(regexMatch(B3260,".*#[0-9]*$"),ISNUMBER(SEARCH("#",B3260))),CONCATENATE(TRIM(F3260)," #",G3260),B3260)</f>
        <v>Water Ramp #3</v>
      </c>
    </row>
    <row r="3261" spans="1:8" ht="15.75" thickBot="1" x14ac:dyDescent="0.3">
      <c r="A3261" s="1" t="s">
        <v>5788</v>
      </c>
      <c r="B3261" s="1" t="s">
        <v>10151</v>
      </c>
      <c r="C3261" s="1"/>
      <c r="D3261" s="2" t="s">
        <v>751</v>
      </c>
      <c r="E3261" s="3" t="str">
        <f>IF(ISERROR(VLOOKUP(B3261,Failures!$A$1:$A$4000,1,FALSE)),"Keep","Delete")</f>
        <v>Keep</v>
      </c>
      <c r="F3261" t="str">
        <f>IF(ISNUMBER(SEARCH("#",B3261)), LEFT(B3261,FIND("#",B3261)-1), B3261)</f>
        <v>Airport Parking Sign</v>
      </c>
      <c r="G3261" s="26">
        <f>IF(ISNUMBER(SEARCH("#",B3261)),VALUE(MID(B3261,FIND("#",B3261)+1,1000)),1)</f>
        <v>1</v>
      </c>
      <c r="H3261" t="str">
        <f>IF(AND(regexMatch(B3261,".*#[0-9]*$"),ISNUMBER(SEARCH("#",B3261))),CONCATENATE(TRIM(F3261)," #",G3261),B3261)</f>
        <v>Airport Parking Sign</v>
      </c>
    </row>
    <row r="3262" spans="1:8" ht="15.75" thickBot="1" x14ac:dyDescent="0.3">
      <c r="A3262" s="1" t="s">
        <v>240</v>
      </c>
      <c r="B3262" s="1" t="s">
        <v>4635</v>
      </c>
      <c r="C3262" s="2" t="s">
        <v>5</v>
      </c>
      <c r="D3262" s="2" t="s">
        <v>751</v>
      </c>
      <c r="E3262" s="3" t="str">
        <f>IF(ISERROR(VLOOKUP(B3262,Failures!$A$1:$A$4000,1,FALSE)),"Keep","Delete")</f>
        <v>Keep</v>
      </c>
      <c r="F3262" t="str">
        <f>IF(ISNUMBER(SEARCH("#",B3262)), LEFT(B3262,FIND("#",B3262)-1), B3262)</f>
        <v xml:space="preserve">Barrier Water Barrel </v>
      </c>
      <c r="G3262" s="26">
        <f>IF(ISNUMBER(SEARCH("#",B3262)),VALUE(MID(B3262,FIND("#",B3262)+1,1000)),1)</f>
        <v>1</v>
      </c>
      <c r="H3262" t="str">
        <f>IF(AND(regexMatch(B3262,".*#[0-9]*$"),ISNUMBER(SEARCH("#",B3262))),CONCATENATE(TRIM(F3262)," #",G3262),B3262)</f>
        <v>Barrier Water Barrel #1</v>
      </c>
    </row>
    <row r="3263" spans="1:8" ht="15.75" thickBot="1" x14ac:dyDescent="0.3">
      <c r="A3263" s="7" t="s">
        <v>4317</v>
      </c>
      <c r="B3263" s="1" t="s">
        <v>4634</v>
      </c>
      <c r="C3263" s="9"/>
      <c r="D3263" s="2" t="s">
        <v>751</v>
      </c>
      <c r="E3263" s="3" t="str">
        <f>IF(ISERROR(VLOOKUP(B3263,Failures!$A$1:$A$4000,1,FALSE)),"Keep","Delete")</f>
        <v>Keep</v>
      </c>
      <c r="F3263" t="str">
        <f>IF(ISNUMBER(SEARCH("#",B3263)), LEFT(B3263,FIND("#",B3263)-1), B3263)</f>
        <v xml:space="preserve">Barrier Water Barrel </v>
      </c>
      <c r="G3263" s="26">
        <f>IF(ISNUMBER(SEARCH("#",B3263)),VALUE(MID(B3263,FIND("#",B3263)+1,1000)),1)</f>
        <v>2</v>
      </c>
      <c r="H3263" t="str">
        <f>IF(AND(regexMatch(B3263,".*#[0-9]*$"),ISNUMBER(SEARCH("#",B3263))),CONCATENATE(TRIM(F3263)," #",G3263),B3263)</f>
        <v>Barrier Water Barrel #2</v>
      </c>
    </row>
    <row r="3264" spans="1:8" ht="15.75" thickBot="1" x14ac:dyDescent="0.3">
      <c r="A3264" s="1" t="s">
        <v>5606</v>
      </c>
      <c r="B3264" s="1" t="s">
        <v>9797</v>
      </c>
      <c r="C3264" s="1"/>
      <c r="D3264" s="2" t="s">
        <v>751</v>
      </c>
      <c r="E3264" s="3" t="str">
        <f>IF(ISERROR(VLOOKUP(B3264,Failures!$A$1:$A$4000,1,FALSE)),"Keep","Delete")</f>
        <v>Keep</v>
      </c>
      <c r="F3264" t="str">
        <f>IF(ISNUMBER(SEARCH("#",B3264)), LEFT(B3264,FIND("#",B3264)-1), B3264)</f>
        <v xml:space="preserve">Barrier Water Barrel </v>
      </c>
      <c r="G3264" s="26">
        <f>IF(ISNUMBER(SEARCH("#",B3264)),VALUE(MID(B3264,FIND("#",B3264)+1,1000)),1)</f>
        <v>3</v>
      </c>
      <c r="H3264" t="str">
        <f>IF(AND(regexMatch(B3264,".*#[0-9]*$"),ISNUMBER(SEARCH("#",B3264))),CONCATENATE(TRIM(F3264)," #",G3264),B3264)</f>
        <v>Barrier Water Barrel #3</v>
      </c>
    </row>
    <row r="3265" spans="1:8" ht="15.75" thickBot="1" x14ac:dyDescent="0.3">
      <c r="A3265" s="1" t="s">
        <v>5605</v>
      </c>
      <c r="B3265" s="1" t="s">
        <v>9798</v>
      </c>
      <c r="C3265" s="1"/>
      <c r="D3265" s="2" t="s">
        <v>751</v>
      </c>
      <c r="E3265" s="3" t="str">
        <f>IF(ISERROR(VLOOKUP(B3265,Failures!$A$1:$A$4000,1,FALSE)),"Keep","Delete")</f>
        <v>Keep</v>
      </c>
      <c r="F3265" t="str">
        <f>IF(ISNUMBER(SEARCH("#",B3265)), LEFT(B3265,FIND("#",B3265)-1), B3265)</f>
        <v xml:space="preserve">Barrier Water Barrel </v>
      </c>
      <c r="G3265" s="26">
        <f>IF(ISNUMBER(SEARCH("#",B3265)),VALUE(MID(B3265,FIND("#",B3265)+1,1000)),1)</f>
        <v>4</v>
      </c>
      <c r="H3265" t="str">
        <f>IF(AND(regexMatch(B3265,".*#[0-9]*$"),ISNUMBER(SEARCH("#",B3265))),CONCATENATE(TRIM(F3265)," #",G3265),B3265)</f>
        <v>Barrier Water Barrel #4</v>
      </c>
    </row>
    <row r="3266" spans="1:8" ht="15.75" thickBot="1" x14ac:dyDescent="0.3">
      <c r="A3266" s="1" t="s">
        <v>5604</v>
      </c>
      <c r="B3266" s="1" t="s">
        <v>9799</v>
      </c>
      <c r="C3266" s="1"/>
      <c r="D3266" s="2" t="s">
        <v>751</v>
      </c>
      <c r="E3266" s="3" t="str">
        <f>IF(ISERROR(VLOOKUP(B3266,Failures!$A$1:$A$4000,1,FALSE)),"Keep","Delete")</f>
        <v>Keep</v>
      </c>
      <c r="F3266" t="str">
        <f>IF(ISNUMBER(SEARCH("#",B3266)), LEFT(B3266,FIND("#",B3266)-1), B3266)</f>
        <v xml:space="preserve">Barrier Water Barrel </v>
      </c>
      <c r="G3266" s="26">
        <f>IF(ISNUMBER(SEARCH("#",B3266)),VALUE(MID(B3266,FIND("#",B3266)+1,1000)),1)</f>
        <v>5</v>
      </c>
      <c r="H3266" t="str">
        <f>IF(AND(regexMatch(B3266,".*#[0-9]*$"),ISNUMBER(SEARCH("#",B3266))),CONCATENATE(TRIM(F3266)," #",G3266),B3266)</f>
        <v>Barrier Water Barrel #5</v>
      </c>
    </row>
    <row r="3267" spans="1:8" ht="15.75" thickBot="1" x14ac:dyDescent="0.3">
      <c r="A3267" s="1" t="s">
        <v>6084</v>
      </c>
      <c r="B3267" s="9" t="s">
        <v>10518</v>
      </c>
      <c r="C3267" s="1"/>
      <c r="D3267" s="2" t="s">
        <v>751</v>
      </c>
      <c r="E3267" s="3" t="str">
        <f>IF(ISERROR(VLOOKUP(B3267,Failures!$A$1:$A$4000,1,FALSE)),"Keep","Delete")</f>
        <v>Keep</v>
      </c>
      <c r="F3267" t="str">
        <f>IF(ISNUMBER(SEARCH("#",B3267)), LEFT(B3267,FIND("#",B3267)-1), B3267)</f>
        <v xml:space="preserve">Bollard </v>
      </c>
      <c r="G3267" s="26">
        <v>2</v>
      </c>
      <c r="H3267" t="str">
        <f>IF(AND(regexMatch(B3267,".*#[0-9]*$"),ISNUMBER(SEARCH("#",B3267))),CONCATENATE(TRIM(F3267)," #",G3267),B3267)</f>
        <v>Bollard #2</v>
      </c>
    </row>
    <row r="3268" spans="1:8" ht="15.75" thickBot="1" x14ac:dyDescent="0.3">
      <c r="A3268" s="1" t="s">
        <v>6083</v>
      </c>
      <c r="B3268" s="9" t="s">
        <v>10518</v>
      </c>
      <c r="C3268" s="1"/>
      <c r="D3268" s="2" t="s">
        <v>751</v>
      </c>
      <c r="E3268" s="3" t="str">
        <f>IF(ISERROR(VLOOKUP(B3268,Failures!$A$1:$A$4000,1,FALSE)),"Keep","Delete")</f>
        <v>Keep</v>
      </c>
      <c r="F3268" t="str">
        <f>IF(ISNUMBER(SEARCH("#",B3268)), LEFT(B3268,FIND("#",B3268)-1), B3268)</f>
        <v xml:space="preserve">Bollard </v>
      </c>
      <c r="G3268" s="26">
        <v>3</v>
      </c>
      <c r="H3268" t="str">
        <f>IF(AND(regexMatch(B3268,".*#[0-9]*$"),ISNUMBER(SEARCH("#",B3268))),CONCATENATE(TRIM(F3268)," #",G3268),B3268)</f>
        <v>Bollard #3</v>
      </c>
    </row>
    <row r="3269" spans="1:8" ht="15.75" thickBot="1" x14ac:dyDescent="0.3">
      <c r="A3269" s="1" t="s">
        <v>6086</v>
      </c>
      <c r="B3269" s="9" t="s">
        <v>10518</v>
      </c>
      <c r="C3269" s="1"/>
      <c r="D3269" s="2" t="s">
        <v>751</v>
      </c>
      <c r="E3269" s="3" t="str">
        <f>IF(ISERROR(VLOOKUP(B3269,Failures!$A$1:$A$4000,1,FALSE)),"Keep","Delete")</f>
        <v>Keep</v>
      </c>
      <c r="F3269" t="str">
        <f>IF(ISNUMBER(SEARCH("#",B3269)), LEFT(B3269,FIND("#",B3269)-1), B3269)</f>
        <v xml:space="preserve">Bollard </v>
      </c>
      <c r="G3269" s="26">
        <v>4</v>
      </c>
      <c r="H3269" t="str">
        <f>IF(AND(regexMatch(B3269,".*#[0-9]*$"),ISNUMBER(SEARCH("#",B3269))),CONCATENATE(TRIM(F3269)," #",G3269),B3269)</f>
        <v>Bollard #4</v>
      </c>
    </row>
    <row r="3270" spans="1:8" ht="15.75" thickBot="1" x14ac:dyDescent="0.3">
      <c r="A3270" s="1" t="s">
        <v>6085</v>
      </c>
      <c r="B3270" s="9" t="s">
        <v>10518</v>
      </c>
      <c r="C3270" s="1"/>
      <c r="D3270" s="2" t="s">
        <v>751</v>
      </c>
      <c r="E3270" s="3" t="str">
        <f>IF(ISERROR(VLOOKUP(B3270,Failures!$A$1:$A$4000,1,FALSE)),"Keep","Delete")</f>
        <v>Keep</v>
      </c>
      <c r="F3270" t="str">
        <f>IF(ISNUMBER(SEARCH("#",B3270)), LEFT(B3270,FIND("#",B3270)-1), B3270)</f>
        <v xml:space="preserve">Bollard </v>
      </c>
      <c r="G3270" s="26">
        <v>5</v>
      </c>
      <c r="H3270" t="str">
        <f>IF(AND(regexMatch(B3270,".*#[0-9]*$"),ISNUMBER(SEARCH("#",B3270))),CONCATENATE(TRIM(F3270)," #",G3270),B3270)</f>
        <v>Bollard #5</v>
      </c>
    </row>
    <row r="3271" spans="1:8" ht="15.75" thickBot="1" x14ac:dyDescent="0.3">
      <c r="A3271" s="7" t="s">
        <v>4125</v>
      </c>
      <c r="B3271" s="9" t="s">
        <v>10518</v>
      </c>
      <c r="C3271" s="9"/>
      <c r="D3271" s="14" t="s">
        <v>751</v>
      </c>
      <c r="E3271" s="3" t="str">
        <f>IF(ISERROR(VLOOKUP(B3271,Failures!$A$1:$A$4000,1,FALSE)),"Keep","Delete")</f>
        <v>Keep</v>
      </c>
      <c r="F3271" t="str">
        <f>IF(ISNUMBER(SEARCH("#",B3271)), LEFT(B3271,FIND("#",B3271)-1), B3271)</f>
        <v xml:space="preserve">Bollard </v>
      </c>
      <c r="G3271" s="26">
        <v>6</v>
      </c>
      <c r="H3271" t="str">
        <f>IF(AND(regexMatch(B3271,".*#[0-9]*$"),ISNUMBER(SEARCH("#",B3271))),CONCATENATE(TRIM(F3271)," #",G3271),B3271)</f>
        <v>Bollard #6</v>
      </c>
    </row>
    <row r="3272" spans="1:8" ht="15.75" thickBot="1" x14ac:dyDescent="0.3">
      <c r="A3272" s="1" t="s">
        <v>750</v>
      </c>
      <c r="B3272" s="1" t="s">
        <v>10519</v>
      </c>
      <c r="C3272" s="2" t="s">
        <v>145</v>
      </c>
      <c r="D3272" s="2" t="s">
        <v>751</v>
      </c>
      <c r="E3272" s="3" t="str">
        <f>IF(ISERROR(VLOOKUP(B3272,Failures!$A$1:$A$4000,1,FALSE)),"Keep","Delete")</f>
        <v>Keep</v>
      </c>
      <c r="F3272" t="str">
        <f>IF(ISNUMBER(SEARCH("#",B3272)), LEFT(B3272,FIND("#",B3272)-1), B3272)</f>
        <v>Cone Float</v>
      </c>
      <c r="G3272" s="26">
        <f>IF(ISNUMBER(SEARCH("#",B3272)),VALUE(MID(B3272,FIND("#",B3272)+1,1000)),1)</f>
        <v>1</v>
      </c>
      <c r="H3272" t="str">
        <f>IF(AND(regexMatch(B3272,".*#[0-9]*$"),ISNUMBER(SEARCH("#",B3272))),CONCATENATE(TRIM(F3272)," #",G3272),B3272)</f>
        <v>Cone Float</v>
      </c>
    </row>
    <row r="3273" spans="1:8" ht="15.75" thickBot="1" x14ac:dyDescent="0.3">
      <c r="A3273" s="1" t="s">
        <v>5608</v>
      </c>
      <c r="B3273" s="1" t="s">
        <v>9803</v>
      </c>
      <c r="C3273" s="1"/>
      <c r="D3273" s="2" t="s">
        <v>751</v>
      </c>
      <c r="E3273" s="3" t="str">
        <f>IF(ISERROR(VLOOKUP(B3273,Failures!$A$1:$A$4000,1,FALSE)),"Keep","Delete")</f>
        <v>Keep</v>
      </c>
      <c r="F3273" t="str">
        <f>IF(ISNUMBER(SEARCH("#",B3273)), LEFT(B3273,FIND("#",B3273)-1), B3273)</f>
        <v xml:space="preserve">Crash Barrier </v>
      </c>
      <c r="G3273" s="26">
        <f>IF(ISNUMBER(SEARCH("#",B3273)),VALUE(MID(B3273,FIND("#",B3273)+1,1000)),1)</f>
        <v>1</v>
      </c>
      <c r="H3273" t="str">
        <f>IF(AND(regexMatch(B3273,".*#[0-9]*$"),ISNUMBER(SEARCH("#",B3273))),CONCATENATE(TRIM(F3273)," #",G3273),B3273)</f>
        <v>Crash Barrier #1</v>
      </c>
    </row>
    <row r="3274" spans="1:8" ht="15.75" thickBot="1" x14ac:dyDescent="0.3">
      <c r="A3274" s="1" t="s">
        <v>5607</v>
      </c>
      <c r="B3274" s="1" t="s">
        <v>9804</v>
      </c>
      <c r="C3274" s="1"/>
      <c r="D3274" s="2" t="s">
        <v>751</v>
      </c>
      <c r="E3274" s="3" t="str">
        <f>IF(ISERROR(VLOOKUP(B3274,Failures!$A$1:$A$4000,1,FALSE)),"Keep","Delete")</f>
        <v>Keep</v>
      </c>
      <c r="F3274" t="str">
        <f>IF(ISNUMBER(SEARCH("#",B3274)), LEFT(B3274,FIND("#",B3274)-1), B3274)</f>
        <v xml:space="preserve">Crash Barrier </v>
      </c>
      <c r="G3274" s="26">
        <f>IF(ISNUMBER(SEARCH("#",B3274)),VALUE(MID(B3274,FIND("#",B3274)+1,1000)),1)</f>
        <v>2</v>
      </c>
      <c r="H3274" t="str">
        <f>IF(AND(regexMatch(B3274,".*#[0-9]*$"),ISNUMBER(SEARCH("#",B3274))),CONCATENATE(TRIM(F3274)," #",G3274),B3274)</f>
        <v>Crash Barrier #2</v>
      </c>
    </row>
    <row r="3275" spans="1:8" ht="15.75" thickBot="1" x14ac:dyDescent="0.3">
      <c r="A3275" s="1" t="s">
        <v>5392</v>
      </c>
      <c r="B3275" s="1" t="s">
        <v>10116</v>
      </c>
      <c r="C3275" s="1"/>
      <c r="D3275" s="2" t="s">
        <v>751</v>
      </c>
      <c r="E3275" s="3" t="str">
        <f>IF(ISERROR(VLOOKUP(B3275,Failures!$A$1:$A$4000,1,FALSE)),"Keep","Delete")</f>
        <v>Keep</v>
      </c>
      <c r="F3275" t="str">
        <f>IF(ISNUMBER(SEARCH("#",B3275)), LEFT(B3275,FIND("#",B3275)-1), B3275)</f>
        <v xml:space="preserve">Crash Barrier </v>
      </c>
      <c r="G3275" s="26">
        <f>IF(ISNUMBER(SEARCH("#",B3275)),VALUE(MID(B3275,FIND("#",B3275)+1,1000)),1)</f>
        <v>3</v>
      </c>
      <c r="H3275" t="str">
        <f>IF(AND(regexMatch(B3275,".*#[0-9]*$"),ISNUMBER(SEARCH("#",B3275))),CONCATENATE(TRIM(F3275)," #",G3275),B3275)</f>
        <v>Crash Barrier #3</v>
      </c>
    </row>
    <row r="3276" spans="1:8" ht="15.75" thickBot="1" x14ac:dyDescent="0.3">
      <c r="A3276" s="1" t="s">
        <v>1223</v>
      </c>
      <c r="B3276" s="1" t="s">
        <v>1224</v>
      </c>
      <c r="C3276" s="2" t="s">
        <v>5</v>
      </c>
      <c r="D3276" s="2" t="s">
        <v>751</v>
      </c>
      <c r="E3276" s="3" t="str">
        <f>IF(ISERROR(VLOOKUP(B3276,Failures!$A$1:$A$4000,1,FALSE)),"Keep","Delete")</f>
        <v>Keep</v>
      </c>
      <c r="F3276" t="str">
        <f>IF(ISNUMBER(SEARCH("#",B3276)), LEFT(B3276,FIND("#",B3276)-1), B3276)</f>
        <v>Distant Car Day</v>
      </c>
      <c r="G3276" s="26">
        <f>IF(ISNUMBER(SEARCH("#",B3276)),VALUE(MID(B3276,FIND("#",B3276)+1,1000)),1)</f>
        <v>1</v>
      </c>
      <c r="H3276" t="str">
        <f>IF(AND(regexMatch(B3276,".*#[0-9]*$"),ISNUMBER(SEARCH("#",B3276))),CONCATENATE(TRIM(F3276)," #",G3276),B3276)</f>
        <v>Distant Car Day</v>
      </c>
    </row>
    <row r="3277" spans="1:8" ht="15.75" thickBot="1" x14ac:dyDescent="0.3">
      <c r="A3277" s="1" t="s">
        <v>1225</v>
      </c>
      <c r="B3277" s="1" t="s">
        <v>1226</v>
      </c>
      <c r="C3277" s="2" t="s">
        <v>5</v>
      </c>
      <c r="D3277" s="2" t="s">
        <v>751</v>
      </c>
      <c r="E3277" s="3" t="str">
        <f>IF(ISERROR(VLOOKUP(B3277,Failures!$A$1:$A$4000,1,FALSE)),"Keep","Delete")</f>
        <v>Keep</v>
      </c>
      <c r="F3277" t="str">
        <f>IF(ISNUMBER(SEARCH("#",B3277)), LEFT(B3277,FIND("#",B3277)-1), B3277)</f>
        <v>Distant Car Night</v>
      </c>
      <c r="G3277" s="26">
        <f>IF(ISNUMBER(SEARCH("#",B3277)),VALUE(MID(B3277,FIND("#",B3277)+1,1000)),1)</f>
        <v>1</v>
      </c>
      <c r="H3277" t="str">
        <f>IF(AND(regexMatch(B3277,".*#[0-9]*$"),ISNUMBER(SEARCH("#",B3277))),CONCATENATE(TRIM(F3277)," #",G3277),B3277)</f>
        <v>Distant Car Night</v>
      </c>
    </row>
    <row r="3278" spans="1:8" ht="15.75" thickBot="1" x14ac:dyDescent="0.3">
      <c r="A3278" s="1" t="s">
        <v>1227</v>
      </c>
      <c r="B3278" s="1" t="s">
        <v>1228</v>
      </c>
      <c r="C3278" s="2" t="s">
        <v>5</v>
      </c>
      <c r="D3278" s="2" t="s">
        <v>751</v>
      </c>
      <c r="E3278" s="3" t="str">
        <f>IF(ISERROR(VLOOKUP(B3278,Failures!$A$1:$A$4000,1,FALSE)),"Keep","Delete")</f>
        <v>Keep</v>
      </c>
      <c r="F3278" t="str">
        <f>IF(ISNUMBER(SEARCH("#",B3278)), LEFT(B3278,FIND("#",B3278)-1), B3278)</f>
        <v>Distant Car Truck</v>
      </c>
      <c r="G3278" s="26">
        <f>IF(ISNUMBER(SEARCH("#",B3278)),VALUE(MID(B3278,FIND("#",B3278)+1,1000)),1)</f>
        <v>1</v>
      </c>
      <c r="H3278" t="str">
        <f>IF(AND(regexMatch(B3278,".*#[0-9]*$"),ISNUMBER(SEARCH("#",B3278))),CONCATENATE(TRIM(F3278)," #",G3278),B3278)</f>
        <v>Distant Car Truck</v>
      </c>
    </row>
    <row r="3279" spans="1:8" ht="15.75" thickBot="1" x14ac:dyDescent="0.3">
      <c r="A3279" s="1" t="s">
        <v>5640</v>
      </c>
      <c r="B3279" s="1" t="s">
        <v>10308</v>
      </c>
      <c r="C3279" s="1"/>
      <c r="D3279" s="2" t="s">
        <v>751</v>
      </c>
      <c r="E3279" s="3" t="str">
        <f>IF(ISERROR(VLOOKUP(B3279,Failures!$A$1:$A$4000,1,FALSE)),"Keep","Delete")</f>
        <v>Keep</v>
      </c>
      <c r="F3279" t="str">
        <f>IF(ISNUMBER(SEARCH("#",B3279)), LEFT(B3279,FIND("#",B3279)-1), B3279)</f>
        <v>Emergency Phone</v>
      </c>
      <c r="G3279" s="26">
        <f>IF(ISNUMBER(SEARCH("#",B3279)),VALUE(MID(B3279,FIND("#",B3279)+1,1000)),1)</f>
        <v>1</v>
      </c>
      <c r="H3279" t="str">
        <f>IF(AND(regexMatch(B3279,".*#[0-9]*$"),ISNUMBER(SEARCH("#",B3279))),CONCATENATE(TRIM(F3279)," #",G3279),B3279)</f>
        <v>Emergency Phone</v>
      </c>
    </row>
    <row r="3280" spans="1:8" ht="15.75" thickBot="1" x14ac:dyDescent="0.3">
      <c r="A3280" s="1" t="s">
        <v>6045</v>
      </c>
      <c r="B3280" s="1" t="s">
        <v>10018</v>
      </c>
      <c r="C3280" s="1"/>
      <c r="D3280" s="2" t="s">
        <v>751</v>
      </c>
      <c r="E3280" s="3" t="str">
        <f>IF(ISERROR(VLOOKUP(B3280,Failures!$A$1:$A$4000,1,FALSE)),"Keep","Delete")</f>
        <v>Keep</v>
      </c>
      <c r="F3280" t="str">
        <f>IF(ISNUMBER(SEARCH("#",B3280)), LEFT(B3280,FIND("#",B3280)-1), B3280)</f>
        <v>Gas Pump Global</v>
      </c>
      <c r="G3280" s="26">
        <f>IF(ISNUMBER(SEARCH("#",B3280)),VALUE(MID(B3280,FIND("#",B3280)+1,1000)),1)</f>
        <v>1</v>
      </c>
      <c r="H3280" t="str">
        <f>IF(AND(regexMatch(B3280,".*#[0-9]*$"),ISNUMBER(SEARCH("#",B3280))),CONCATENATE(TRIM(F3280)," #",G3280),B3280)</f>
        <v>Gas Pump Global</v>
      </c>
    </row>
    <row r="3281" spans="1:8" ht="15.75" thickBot="1" x14ac:dyDescent="0.3">
      <c r="A3281" s="1" t="s">
        <v>6044</v>
      </c>
      <c r="B3281" s="1" t="s">
        <v>10019</v>
      </c>
      <c r="C3281" s="1"/>
      <c r="D3281" s="2" t="s">
        <v>751</v>
      </c>
      <c r="E3281" s="3" t="str">
        <f>IF(ISERROR(VLOOKUP(B3281,Failures!$A$1:$A$4000,1,FALSE)),"Keep","Delete")</f>
        <v>Keep</v>
      </c>
      <c r="F3281" t="str">
        <f>IF(ISNUMBER(SEARCH("#",B3281)), LEFT(B3281,FIND("#",B3281)-1), B3281)</f>
        <v>Gas Pump LTD</v>
      </c>
      <c r="G3281" s="26">
        <f>IF(ISNUMBER(SEARCH("#",B3281)),VALUE(MID(B3281,FIND("#",B3281)+1,1000)),1)</f>
        <v>1</v>
      </c>
      <c r="H3281" t="str">
        <f>IF(AND(regexMatch(B3281,".*#[0-9]*$"),ISNUMBER(SEARCH("#",B3281))),CONCATENATE(TRIM(F3281)," #",G3281),B3281)</f>
        <v>Gas Pump LTD</v>
      </c>
    </row>
    <row r="3282" spans="1:8" ht="15.75" thickBot="1" x14ac:dyDescent="0.3">
      <c r="A3282" s="1" t="s">
        <v>6041</v>
      </c>
      <c r="B3282" s="1" t="s">
        <v>10022</v>
      </c>
      <c r="C3282" s="1"/>
      <c r="D3282" s="2" t="s">
        <v>751</v>
      </c>
      <c r="E3282" s="3" t="str">
        <f>IF(ISERROR(VLOOKUP(B3282,Failures!$A$1:$A$4000,1,FALSE)),"Keep","Delete")</f>
        <v>Keep</v>
      </c>
      <c r="F3282" t="str">
        <f>IF(ISNUMBER(SEARCH("#",B3282)), LEFT(B3282,FIND("#",B3282)-1), B3282)</f>
        <v>Gas Pump LTD Old</v>
      </c>
      <c r="G3282" s="26">
        <f>IF(ISNUMBER(SEARCH("#",B3282)),VALUE(MID(B3282,FIND("#",B3282)+1,1000)),1)</f>
        <v>1</v>
      </c>
      <c r="H3282" t="str">
        <f>IF(AND(regexMatch(B3282,".*#[0-9]*$"),ISNUMBER(SEARCH("#",B3282))),CONCATENATE(TRIM(F3282)," #",G3282),B3282)</f>
        <v>Gas Pump LTD Old</v>
      </c>
    </row>
    <row r="3283" spans="1:8" ht="15.75" thickBot="1" x14ac:dyDescent="0.3">
      <c r="A3283" s="1" t="s">
        <v>6046</v>
      </c>
      <c r="B3283" s="1" t="s">
        <v>10017</v>
      </c>
      <c r="C3283" s="1"/>
      <c r="D3283" s="2" t="s">
        <v>751</v>
      </c>
      <c r="E3283" s="3" t="str">
        <f>IF(ISERROR(VLOOKUP(B3283,Failures!$A$1:$A$4000,1,FALSE)),"Keep","Delete")</f>
        <v>Keep</v>
      </c>
      <c r="F3283" t="str">
        <f>IF(ISNUMBER(SEARCH("#",B3283)), LEFT(B3283,FIND("#",B3283)-1), B3283)</f>
        <v>Gas Pump Ron</v>
      </c>
      <c r="G3283" s="26">
        <f>IF(ISNUMBER(SEARCH("#",B3283)),VALUE(MID(B3283,FIND("#",B3283)+1,1000)),1)</f>
        <v>1</v>
      </c>
      <c r="H3283" t="str">
        <f>IF(AND(regexMatch(B3283,".*#[0-9]*$"),ISNUMBER(SEARCH("#",B3283))),CONCATENATE(TRIM(F3283)," #",G3283),B3283)</f>
        <v>Gas Pump Ron</v>
      </c>
    </row>
    <row r="3284" spans="1:8" ht="15.75" thickBot="1" x14ac:dyDescent="0.3">
      <c r="A3284" s="1" t="s">
        <v>6043</v>
      </c>
      <c r="B3284" s="1" t="s">
        <v>10020</v>
      </c>
      <c r="C3284" s="1"/>
      <c r="D3284" s="2" t="s">
        <v>751</v>
      </c>
      <c r="E3284" s="3" t="str">
        <f>IF(ISERROR(VLOOKUP(B3284,Failures!$A$1:$A$4000,1,FALSE)),"Keep","Delete")</f>
        <v>Keep</v>
      </c>
      <c r="F3284" t="str">
        <f>IF(ISNUMBER(SEARCH("#",B3284)), LEFT(B3284,FIND("#",B3284)-1), B3284)</f>
        <v>Gas Pump Xero</v>
      </c>
      <c r="G3284" s="26">
        <f>IF(ISNUMBER(SEARCH("#",B3284)),VALUE(MID(B3284,FIND("#",B3284)+1,1000)),1)</f>
        <v>1</v>
      </c>
      <c r="H3284" t="str">
        <f>IF(AND(regexMatch(B3284,".*#[0-9]*$"),ISNUMBER(SEARCH("#",B3284))),CONCATENATE(TRIM(F3284)," #",G3284),B3284)</f>
        <v>Gas Pump Xero</v>
      </c>
    </row>
    <row r="3285" spans="1:8" ht="15.75" thickBot="1" x14ac:dyDescent="0.3">
      <c r="A3285" s="1" t="s">
        <v>6042</v>
      </c>
      <c r="B3285" s="1" t="s">
        <v>10021</v>
      </c>
      <c r="C3285" s="1"/>
      <c r="D3285" s="2" t="s">
        <v>751</v>
      </c>
      <c r="E3285" s="3" t="str">
        <f>IF(ISERROR(VLOOKUP(B3285,Failures!$A$1:$A$4000,1,FALSE)),"Keep","Delete")</f>
        <v>Keep</v>
      </c>
      <c r="F3285" t="str">
        <f>IF(ISNUMBER(SEARCH("#",B3285)), LEFT(B3285,FIND("#",B3285)-1), B3285)</f>
        <v>Gas Pump Xero Old</v>
      </c>
      <c r="G3285" s="26">
        <f>IF(ISNUMBER(SEARCH("#",B3285)),VALUE(MID(B3285,FIND("#",B3285)+1,1000)),1)</f>
        <v>1</v>
      </c>
      <c r="H3285" t="str">
        <f>IF(AND(regexMatch(B3285,".*#[0-9]*$"),ISNUMBER(SEARCH("#",B3285))),CONCATENATE(TRIM(F3285)," #",G3285),B3285)</f>
        <v>Gas Pump Xero Old</v>
      </c>
    </row>
    <row r="3286" spans="1:8" ht="15.75" thickBot="1" x14ac:dyDescent="0.3">
      <c r="A3286" s="1" t="s">
        <v>6048</v>
      </c>
      <c r="B3286" s="1" t="s">
        <v>10015</v>
      </c>
      <c r="C3286" s="1"/>
      <c r="D3286" s="2" t="s">
        <v>751</v>
      </c>
      <c r="E3286" s="3" t="str">
        <f>IF(ISERROR(VLOOKUP(B3286,Failures!$A$1:$A$4000,1,FALSE)),"Keep","Delete")</f>
        <v>Keep</v>
      </c>
      <c r="F3286" t="str">
        <f>IF(ISNUMBER(SEARCH("#",B3286)), LEFT(B3286,FIND("#",B3286)-1), B3286)</f>
        <v>Gas Station Air &amp; Water</v>
      </c>
      <c r="G3286" s="26">
        <f>IF(ISNUMBER(SEARCH("#",B3286)),VALUE(MID(B3286,FIND("#",B3286)+1,1000)),1)</f>
        <v>1</v>
      </c>
      <c r="H3286" t="str">
        <f>IF(AND(regexMatch(B3286,".*#[0-9]*$"),ISNUMBER(SEARCH("#",B3286))),CONCATENATE(TRIM(F3286)," #",G3286),B3286)</f>
        <v>Gas Station Air &amp; Water</v>
      </c>
    </row>
    <row r="3287" spans="1:8" ht="15.75" thickBot="1" x14ac:dyDescent="0.3">
      <c r="A3287" s="1" t="s">
        <v>6047</v>
      </c>
      <c r="B3287" s="1" t="s">
        <v>10016</v>
      </c>
      <c r="C3287" s="1"/>
      <c r="D3287" s="2" t="s">
        <v>751</v>
      </c>
      <c r="E3287" s="3" t="str">
        <f>IF(ISERROR(VLOOKUP(B3287,Failures!$A$1:$A$4000,1,FALSE)),"Keep","Delete")</f>
        <v>Keep</v>
      </c>
      <c r="F3287" t="str">
        <f>IF(ISNUMBER(SEARCH("#",B3287)), LEFT(B3287,FIND("#",B3287)-1), B3287)</f>
        <v>Gas Station Bin</v>
      </c>
      <c r="G3287" s="26">
        <f>IF(ISNUMBER(SEARCH("#",B3287)),VALUE(MID(B3287,FIND("#",B3287)+1,1000)),1)</f>
        <v>1</v>
      </c>
      <c r="H3287" t="str">
        <f>IF(AND(regexMatch(B3287,".*#[0-9]*$"),ISNUMBER(SEARCH("#",B3287))),CONCATENATE(TRIM(F3287)," #",G3287),B3287)</f>
        <v>Gas Station Bin</v>
      </c>
    </row>
    <row r="3288" spans="1:8" ht="15.75" thickBot="1" x14ac:dyDescent="0.3">
      <c r="A3288" s="1" t="s">
        <v>6039</v>
      </c>
      <c r="B3288" s="1" t="s">
        <v>10024</v>
      </c>
      <c r="C3288" s="1"/>
      <c r="D3288" s="2" t="s">
        <v>751</v>
      </c>
      <c r="E3288" s="3" t="str">
        <f>IF(ISERROR(VLOOKUP(B3288,Failures!$A$1:$A$4000,1,FALSE)),"Keep","Delete")</f>
        <v>Keep</v>
      </c>
      <c r="F3288" t="str">
        <f>IF(ISNUMBER(SEARCH("#",B3288)), LEFT(B3288,FIND("#",B3288)-1), B3288)</f>
        <v>Gas Station Bin Small</v>
      </c>
      <c r="G3288" s="26">
        <f>IF(ISNUMBER(SEARCH("#",B3288)),VALUE(MID(B3288,FIND("#",B3288)+1,1000)),1)</f>
        <v>1</v>
      </c>
      <c r="H3288" t="str">
        <f>IF(AND(regexMatch(B3288,".*#[0-9]*$"),ISNUMBER(SEARCH("#",B3288))),CONCATENATE(TRIM(F3288)," #",G3288),B3288)</f>
        <v>Gas Station Bin Small</v>
      </c>
    </row>
    <row r="3289" spans="1:8" ht="15.75" thickBot="1" x14ac:dyDescent="0.3">
      <c r="A3289" s="1" t="s">
        <v>5754</v>
      </c>
      <c r="B3289" s="1" t="s">
        <v>10198</v>
      </c>
      <c r="C3289" s="1"/>
      <c r="D3289" s="2" t="s">
        <v>751</v>
      </c>
      <c r="E3289" s="3" t="str">
        <f>IF(ISERROR(VLOOKUP(B3289,Failures!$A$1:$A$4000,1,FALSE)),"Keep","Delete")</f>
        <v>Keep</v>
      </c>
      <c r="F3289" t="str">
        <f>IF(ISNUMBER(SEARCH("#",B3289)), LEFT(B3289,FIND("#",B3289)-1), B3289)</f>
        <v>Gas Station Open Sign</v>
      </c>
      <c r="G3289" s="26">
        <f>IF(ISNUMBER(SEARCH("#",B3289)),VALUE(MID(B3289,FIND("#",B3289)+1,1000)),1)</f>
        <v>1</v>
      </c>
      <c r="H3289" t="str">
        <f>IF(AND(regexMatch(B3289,".*#[0-9]*$"),ISNUMBER(SEARCH("#",B3289))),CONCATENATE(TRIM(F3289)," #",G3289),B3289)</f>
        <v>Gas Station Open Sign</v>
      </c>
    </row>
    <row r="3290" spans="1:8" ht="15.75" thickBot="1" x14ac:dyDescent="0.3">
      <c r="A3290" s="1" t="s">
        <v>5755</v>
      </c>
      <c r="B3290" s="1" t="s">
        <v>10197</v>
      </c>
      <c r="C3290" s="1"/>
      <c r="D3290" s="2" t="s">
        <v>751</v>
      </c>
      <c r="E3290" s="3" t="str">
        <f>IF(ISERROR(VLOOKUP(B3290,Failures!$A$1:$A$4000,1,FALSE)),"Keep","Delete")</f>
        <v>Keep</v>
      </c>
      <c r="F3290" t="str">
        <f>IF(ISNUMBER(SEARCH("#",B3290)), LEFT(B3290,FIND("#",B3290)-1), B3290)</f>
        <v>Gas Station Prices Sign</v>
      </c>
      <c r="G3290" s="26">
        <f>IF(ISNUMBER(SEARCH("#",B3290)),VALUE(MID(B3290,FIND("#",B3290)+1,1000)),1)</f>
        <v>1</v>
      </c>
      <c r="H3290" t="str">
        <f>IF(AND(regexMatch(B3290,".*#[0-9]*$"),ISNUMBER(SEARCH("#",B3290))),CONCATENATE(TRIM(F3290)," #",G3290),B3290)</f>
        <v>Gas Station Prices Sign</v>
      </c>
    </row>
    <row r="3291" spans="1:8" ht="15.75" thickBot="1" x14ac:dyDescent="0.3">
      <c r="A3291" s="1" t="s">
        <v>6040</v>
      </c>
      <c r="B3291" s="1" t="s">
        <v>10023</v>
      </c>
      <c r="C3291" s="1"/>
      <c r="D3291" s="2" t="s">
        <v>751</v>
      </c>
      <c r="E3291" s="3" t="str">
        <f>IF(ISERROR(VLOOKUP(B3291,Failures!$A$1:$A$4000,1,FALSE)),"Keep","Delete")</f>
        <v>Keep</v>
      </c>
      <c r="F3291" t="str">
        <f>IF(ISNUMBER(SEARCH("#",B3291)), LEFT(B3291,FIND("#",B3291)-1), B3291)</f>
        <v>Gas Station Products</v>
      </c>
      <c r="G3291" s="26">
        <f>IF(ISNUMBER(SEARCH("#",B3291)),VALUE(MID(B3291,FIND("#",B3291)+1,1000)),1)</f>
        <v>1</v>
      </c>
      <c r="H3291" t="str">
        <f>IF(AND(regexMatch(B3291,".*#[0-9]*$"),ISNUMBER(SEARCH("#",B3291))),CONCATENATE(TRIM(F3291)," #",G3291),B3291)</f>
        <v>Gas Station Products</v>
      </c>
    </row>
    <row r="3292" spans="1:8" ht="15.75" thickBot="1" x14ac:dyDescent="0.3">
      <c r="A3292" s="1" t="s">
        <v>5753</v>
      </c>
      <c r="B3292" s="1" t="s">
        <v>10199</v>
      </c>
      <c r="C3292" s="1"/>
      <c r="D3292" s="2" t="s">
        <v>751</v>
      </c>
      <c r="E3292" s="3" t="str">
        <f>IF(ISERROR(VLOOKUP(B3292,Failures!$A$1:$A$4000,1,FALSE)),"Keep","Delete")</f>
        <v>Keep</v>
      </c>
      <c r="F3292" t="str">
        <f>IF(ISNUMBER(SEARCH("#",B3292)), LEFT(B3292,FIND("#",B3292)-1), B3292)</f>
        <v>Gas Station Pull Forward Sign</v>
      </c>
      <c r="G3292" s="26">
        <f>IF(ISNUMBER(SEARCH("#",B3292)),VALUE(MID(B3292,FIND("#",B3292)+1,1000)),1)</f>
        <v>1</v>
      </c>
      <c r="H3292" t="str">
        <f>IF(AND(regexMatch(B3292,".*#[0-9]*$"),ISNUMBER(SEARCH("#",B3292))),CONCATENATE(TRIM(F3292)," #",G3292),B3292)</f>
        <v>Gas Station Pull Forward Sign</v>
      </c>
    </row>
    <row r="3293" spans="1:8" ht="15.75" thickBot="1" x14ac:dyDescent="0.3">
      <c r="A3293" s="1" t="s">
        <v>5366</v>
      </c>
      <c r="B3293" s="1" t="s">
        <v>10042</v>
      </c>
      <c r="C3293" s="1"/>
      <c r="D3293" s="2" t="s">
        <v>751</v>
      </c>
      <c r="E3293" s="3" t="str">
        <f>IF(ISERROR(VLOOKUP(B3293,Failures!$A$1:$A$4000,1,FALSE)),"Keep","Delete")</f>
        <v>Keep</v>
      </c>
      <c r="F3293" t="str">
        <f>IF(ISNUMBER(SEARCH("#",B3293)), LEFT(B3293,FIND("#",B3293)-1), B3293)</f>
        <v>Gas Station Sign</v>
      </c>
      <c r="G3293" s="26">
        <f>IF(ISNUMBER(SEARCH("#",B3293)),VALUE(MID(B3293,FIND("#",B3293)+1,1000)),1)</f>
        <v>1</v>
      </c>
      <c r="H3293" t="str">
        <f>IF(AND(regexMatch(B3293,".*#[0-9]*$"),ISNUMBER(SEARCH("#",B3293))),CONCATENATE(TRIM(F3293)," #",G3293),B3293)</f>
        <v>Gas Station Sign</v>
      </c>
    </row>
    <row r="3294" spans="1:8" ht="15.75" thickBot="1" x14ac:dyDescent="0.3">
      <c r="A3294" s="1" t="s">
        <v>5367</v>
      </c>
      <c r="B3294" s="1" t="s">
        <v>10041</v>
      </c>
      <c r="C3294" s="1"/>
      <c r="D3294" s="2" t="s">
        <v>751</v>
      </c>
      <c r="E3294" s="3" t="str">
        <f>IF(ISERROR(VLOOKUP(B3294,Failures!$A$1:$A$4000,1,FALSE)),"Keep","Delete")</f>
        <v>Keep</v>
      </c>
      <c r="F3294" t="str">
        <f>IF(ISNUMBER(SEARCH("#",B3294)), LEFT(B3294,FIND("#",B3294)-1), B3294)</f>
        <v>Gas Station Sign Pole</v>
      </c>
      <c r="G3294" s="26">
        <f>IF(ISNUMBER(SEARCH("#",B3294)),VALUE(MID(B3294,FIND("#",B3294)+1,1000)),1)</f>
        <v>1</v>
      </c>
      <c r="H3294" t="str">
        <f>IF(AND(regexMatch(B3294,".*#[0-9]*$"),ISNUMBER(SEARCH("#",B3294))),CONCATENATE(TRIM(F3294)," #",G3294),B3294)</f>
        <v>Gas Station Sign Pole</v>
      </c>
    </row>
    <row r="3295" spans="1:8" ht="15.75" thickBot="1" x14ac:dyDescent="0.3">
      <c r="A3295" s="1" t="s">
        <v>5752</v>
      </c>
      <c r="B3295" s="1" t="s">
        <v>10200</v>
      </c>
      <c r="C3295" s="1"/>
      <c r="D3295" s="2" t="s">
        <v>751</v>
      </c>
      <c r="E3295" s="3" t="str">
        <f>IF(ISERROR(VLOOKUP(B3295,Failures!$A$1:$A$4000,1,FALSE)),"Keep","Delete")</f>
        <v>Keep</v>
      </c>
      <c r="F3295" t="str">
        <f>IF(ISNUMBER(SEARCH("#",B3295)), LEFT(B3295,FIND("#",B3295)-1), B3295)</f>
        <v>Gas Station Use Other Side Sign</v>
      </c>
      <c r="G3295" s="26">
        <f>IF(ISNUMBER(SEARCH("#",B3295)),VALUE(MID(B3295,FIND("#",B3295)+1,1000)),1)</f>
        <v>1</v>
      </c>
      <c r="H3295" t="str">
        <f>IF(AND(regexMatch(B3295,".*#[0-9]*$"),ISNUMBER(SEARCH("#",B3295))),CONCATENATE(TRIM(F3295)," #",G3295),B3295)</f>
        <v>Gas Station Use Other Side Sign</v>
      </c>
    </row>
    <row r="3296" spans="1:8" ht="15.75" thickBot="1" x14ac:dyDescent="0.3">
      <c r="A3296" s="1" t="s">
        <v>6038</v>
      </c>
      <c r="B3296" s="1" t="s">
        <v>6309</v>
      </c>
      <c r="C3296" s="1"/>
      <c r="D3296" s="2" t="s">
        <v>751</v>
      </c>
      <c r="E3296" s="3" t="str">
        <f>IF(ISERROR(VLOOKUP(B3296,Failures!$A$1:$A$4000,1,FALSE)),"Keep","Delete")</f>
        <v>Keep</v>
      </c>
      <c r="F3296" t="str">
        <f>IF(ISNUMBER(SEARCH("#",B3296)), LEFT(B3296,FIND("#",B3296)-1), B3296)</f>
        <v>Highway Paddle</v>
      </c>
      <c r="G3296" s="26">
        <f>IF(ISNUMBER(SEARCH("#",B3296)),VALUE(MID(B3296,FIND("#",B3296)+1,1000)),1)</f>
        <v>1</v>
      </c>
      <c r="H3296" t="str">
        <f>IF(AND(regexMatch(B3296,".*#[0-9]*$"),ISNUMBER(SEARCH("#",B3296))),CONCATENATE(TRIM(F3296)," #",G3296),B3296)</f>
        <v>Highway Paddle</v>
      </c>
    </row>
    <row r="3297" spans="1:8" ht="15.75" thickBot="1" x14ac:dyDescent="0.3">
      <c r="A3297" s="1" t="s">
        <v>6037</v>
      </c>
      <c r="B3297" s="1" t="s">
        <v>10105</v>
      </c>
      <c r="C3297" s="1"/>
      <c r="D3297" s="2" t="s">
        <v>751</v>
      </c>
      <c r="E3297" s="3" t="str">
        <f>IF(ISERROR(VLOOKUP(B3297,Failures!$A$1:$A$4000,1,FALSE)),"Keep","Delete")</f>
        <v>Keep</v>
      </c>
      <c r="F3297" t="str">
        <f>IF(ISNUMBER(SEARCH("#",B3297)), LEFT(B3297,FIND("#",B3297)-1), B3297)</f>
        <v>Max Clearance Sign</v>
      </c>
      <c r="G3297" s="26">
        <f>IF(ISNUMBER(SEARCH("#",B3297)),VALUE(MID(B3297,FIND("#",B3297)+1,1000)),1)</f>
        <v>1</v>
      </c>
      <c r="H3297" t="str">
        <f>IF(AND(regexMatch(B3297,".*#[0-9]*$"),ISNUMBER(SEARCH("#",B3297))),CONCATENATE(TRIM(F3297)," #",G3297),B3297)</f>
        <v>Max Clearance Sign</v>
      </c>
    </row>
    <row r="3298" spans="1:8" ht="15.75" thickBot="1" x14ac:dyDescent="0.3">
      <c r="A3298" s="1" t="s">
        <v>5639</v>
      </c>
      <c r="B3298" s="1" t="s">
        <v>10309</v>
      </c>
      <c r="C3298" s="1"/>
      <c r="D3298" s="2" t="s">
        <v>751</v>
      </c>
      <c r="E3298" s="3" t="str">
        <f>IF(ISERROR(VLOOKUP(B3298,Failures!$A$1:$A$4000,1,FALSE)),"Keep","Delete")</f>
        <v>Keep</v>
      </c>
      <c r="F3298" t="str">
        <f>IF(ISNUMBER(SEARCH("#",B3298)), LEFT(B3298,FIND("#",B3298)-1), B3298)</f>
        <v>No Trespassing Sign</v>
      </c>
      <c r="G3298" s="26">
        <f>IF(ISNUMBER(SEARCH("#",B3298)),VALUE(MID(B3298,FIND("#",B3298)+1,1000)),1)</f>
        <v>1</v>
      </c>
      <c r="H3298" t="str">
        <f>IF(AND(regexMatch(B3298,".*#[0-9]*$"),ISNUMBER(SEARCH("#",B3298))),CONCATENATE(TRIM(F3298)," #",G3298),B3298)</f>
        <v>No Trespassing Sign</v>
      </c>
    </row>
    <row r="3299" spans="1:8" ht="15.75" thickBot="1" x14ac:dyDescent="0.3">
      <c r="A3299" s="1" t="s">
        <v>2250</v>
      </c>
      <c r="B3299" s="1" t="s">
        <v>4536</v>
      </c>
      <c r="C3299" s="2" t="s">
        <v>5</v>
      </c>
      <c r="D3299" s="2" t="s">
        <v>751</v>
      </c>
      <c r="E3299" s="3" t="str">
        <f>IF(ISERROR(VLOOKUP(B3299,Failures!$A$1:$A$4000,1,FALSE)),"Keep","Delete")</f>
        <v>Keep</v>
      </c>
      <c r="F3299" t="str">
        <f>IF(ISNUMBER(SEARCH("#",B3299)), LEFT(B3299,FIND("#",B3299)-1), B3299)</f>
        <v xml:space="preserve">Offroad Race Bale </v>
      </c>
      <c r="G3299" s="26">
        <f>IF(ISNUMBER(SEARCH("#",B3299)),VALUE(MID(B3299,FIND("#",B3299)+1,1000)),1)</f>
        <v>1</v>
      </c>
      <c r="H3299" t="str">
        <f>IF(AND(regexMatch(B3299,".*#[0-9]*$"),ISNUMBER(SEARCH("#",B3299))),CONCATENATE(TRIM(F3299)," #",G3299),B3299)</f>
        <v>Offroad Race Bale #1</v>
      </c>
    </row>
    <row r="3300" spans="1:8" ht="15.75" thickBot="1" x14ac:dyDescent="0.3">
      <c r="A3300" s="7" t="s">
        <v>4136</v>
      </c>
      <c r="B3300" s="1" t="s">
        <v>4538</v>
      </c>
      <c r="C3300" s="9"/>
      <c r="D3300" s="2" t="s">
        <v>751</v>
      </c>
      <c r="E3300" s="3" t="str">
        <f>IF(ISERROR(VLOOKUP(B3300,Failures!$A$1:$A$4000,1,FALSE)),"Keep","Delete")</f>
        <v>Keep</v>
      </c>
      <c r="F3300" t="str">
        <f>IF(ISNUMBER(SEARCH("#",B3300)), LEFT(B3300,FIND("#",B3300)-1), B3300)</f>
        <v xml:space="preserve">Offroad Race Bale </v>
      </c>
      <c r="G3300" s="26">
        <f>IF(ISNUMBER(SEARCH("#",B3300)),VALUE(MID(B3300,FIND("#",B3300)+1,1000)),1)</f>
        <v>2</v>
      </c>
      <c r="H3300" t="str">
        <f>IF(AND(regexMatch(B3300,".*#[0-9]*$"),ISNUMBER(SEARCH("#",B3300))),CONCATENATE(TRIM(F3300)," #",G3300),B3300)</f>
        <v>Offroad Race Bale #2</v>
      </c>
    </row>
    <row r="3301" spans="1:8" ht="15.75" thickBot="1" x14ac:dyDescent="0.3">
      <c r="A3301" s="7" t="s">
        <v>4135</v>
      </c>
      <c r="B3301" s="1" t="s">
        <v>4537</v>
      </c>
      <c r="C3301" s="9"/>
      <c r="D3301" s="2" t="s">
        <v>751</v>
      </c>
      <c r="E3301" s="3" t="str">
        <f>IF(ISERROR(VLOOKUP(B3301,Failures!$A$1:$A$4000,1,FALSE)),"Keep","Delete")</f>
        <v>Keep</v>
      </c>
      <c r="F3301" t="str">
        <f>IF(ISNUMBER(SEARCH("#",B3301)), LEFT(B3301,FIND("#",B3301)-1), B3301)</f>
        <v xml:space="preserve">Offroad Race Bale </v>
      </c>
      <c r="G3301" s="26">
        <f>IF(ISNUMBER(SEARCH("#",B3301)),VALUE(MID(B3301,FIND("#",B3301)+1,1000)),1)</f>
        <v>3</v>
      </c>
      <c r="H3301" t="str">
        <f>IF(AND(regexMatch(B3301,".*#[0-9]*$"),ISNUMBER(SEARCH("#",B3301))),CONCATENATE(TRIM(F3301)," #",G3301),B3301)</f>
        <v>Offroad Race Bale #3</v>
      </c>
    </row>
    <row r="3302" spans="1:8" ht="15.75" thickBot="1" x14ac:dyDescent="0.3">
      <c r="A3302" s="1" t="s">
        <v>2251</v>
      </c>
      <c r="B3302" s="1" t="s">
        <v>4534</v>
      </c>
      <c r="C3302" s="2" t="s">
        <v>5</v>
      </c>
      <c r="D3302" s="2" t="s">
        <v>751</v>
      </c>
      <c r="E3302" s="3" t="str">
        <f>IF(ISERROR(VLOOKUP(B3302,Failures!$A$1:$A$4000,1,FALSE)),"Keep","Delete")</f>
        <v>Keep</v>
      </c>
      <c r="F3302" t="str">
        <f>IF(ISNUMBER(SEARCH("#",B3302)), LEFT(B3302,FIND("#",B3302)-1), B3302)</f>
        <v xml:space="preserve">Offroad Race Barrel </v>
      </c>
      <c r="G3302" s="26">
        <f>IF(ISNUMBER(SEARCH("#",B3302)),VALUE(MID(B3302,FIND("#",B3302)+1,1000)),1)</f>
        <v>1</v>
      </c>
      <c r="H3302" t="str">
        <f>IF(AND(regexMatch(B3302,".*#[0-9]*$"),ISNUMBER(SEARCH("#",B3302))),CONCATENATE(TRIM(F3302)," #",G3302),B3302)</f>
        <v>Offroad Race Barrel #1</v>
      </c>
    </row>
    <row r="3303" spans="1:8" ht="15.75" thickBot="1" x14ac:dyDescent="0.3">
      <c r="A3303" s="7" t="s">
        <v>4235</v>
      </c>
      <c r="B3303" s="1" t="s">
        <v>4535</v>
      </c>
      <c r="C3303" s="9"/>
      <c r="D3303" s="2" t="s">
        <v>751</v>
      </c>
      <c r="E3303" s="3" t="str">
        <f>IF(ISERROR(VLOOKUP(B3303,Failures!$A$1:$A$4000,1,FALSE)),"Keep","Delete")</f>
        <v>Keep</v>
      </c>
      <c r="F3303" t="str">
        <f>IF(ISNUMBER(SEARCH("#",B3303)), LEFT(B3303,FIND("#",B3303)-1), B3303)</f>
        <v xml:space="preserve">Offroad Race Barrel </v>
      </c>
      <c r="G3303" s="26">
        <f>IF(ISNUMBER(SEARCH("#",B3303)),VALUE(MID(B3303,FIND("#",B3303)+1,1000)),1)</f>
        <v>2</v>
      </c>
      <c r="H3303" t="str">
        <f>IF(AND(regexMatch(B3303,".*#[0-9]*$"),ISNUMBER(SEARCH("#",B3303))),CONCATENATE(TRIM(F3303)," #",G3303),B3303)</f>
        <v>Offroad Race Barrel #2</v>
      </c>
    </row>
    <row r="3304" spans="1:8" ht="15.75" thickBot="1" x14ac:dyDescent="0.3">
      <c r="A3304" s="1" t="s">
        <v>2252</v>
      </c>
      <c r="B3304" s="1" t="s">
        <v>4532</v>
      </c>
      <c r="C3304" s="2" t="s">
        <v>5</v>
      </c>
      <c r="D3304" s="2" t="s">
        <v>751</v>
      </c>
      <c r="E3304" s="3" t="str">
        <f>IF(ISERROR(VLOOKUP(B3304,Failures!$A$1:$A$4000,1,FALSE)),"Keep","Delete")</f>
        <v>Keep</v>
      </c>
      <c r="F3304" t="str">
        <f>IF(ISNUMBER(SEARCH("#",B3304)), LEFT(B3304,FIND("#",B3304)-1), B3304)</f>
        <v xml:space="preserve">Offroad Race Tyres </v>
      </c>
      <c r="G3304" s="26">
        <f>IF(ISNUMBER(SEARCH("#",B3304)),VALUE(MID(B3304,FIND("#",B3304)+1,1000)),1)</f>
        <v>1</v>
      </c>
      <c r="H3304" t="str">
        <f>IF(AND(regexMatch(B3304,".*#[0-9]*$"),ISNUMBER(SEARCH("#",B3304))),CONCATENATE(TRIM(F3304)," #",G3304),B3304)</f>
        <v>Offroad Race Tyres #1</v>
      </c>
    </row>
    <row r="3305" spans="1:8" ht="15.75" thickBot="1" x14ac:dyDescent="0.3">
      <c r="A3305" s="7" t="s">
        <v>4137</v>
      </c>
      <c r="B3305" s="1" t="s">
        <v>4533</v>
      </c>
      <c r="C3305" s="9"/>
      <c r="D3305" s="2" t="s">
        <v>751</v>
      </c>
      <c r="E3305" s="3" t="str">
        <f>IF(ISERROR(VLOOKUP(B3305,Failures!$A$1:$A$4000,1,FALSE)),"Keep","Delete")</f>
        <v>Keep</v>
      </c>
      <c r="F3305" t="str">
        <f>IF(ISNUMBER(SEARCH("#",B3305)), LEFT(B3305,FIND("#",B3305)-1), B3305)</f>
        <v xml:space="preserve">Offroad Race Tyres </v>
      </c>
      <c r="G3305" s="26">
        <f>IF(ISNUMBER(SEARCH("#",B3305)),VALUE(MID(B3305,FIND("#",B3305)+1,1000)),1)</f>
        <v>2</v>
      </c>
      <c r="H3305" t="str">
        <f>IF(AND(regexMatch(B3305,".*#[0-9]*$"),ISNUMBER(SEARCH("#",B3305))),CONCATENATE(TRIM(F3305)," #",G3305),B3305)</f>
        <v>Offroad Race Tyres #2</v>
      </c>
    </row>
    <row r="3306" spans="1:8" ht="15.75" thickBot="1" x14ac:dyDescent="0.3">
      <c r="A3306" s="7" t="s">
        <v>4186</v>
      </c>
      <c r="B3306" s="9" t="s">
        <v>4526</v>
      </c>
      <c r="C3306" s="9"/>
      <c r="D3306" s="14" t="s">
        <v>751</v>
      </c>
      <c r="E3306" s="3" t="str">
        <f>IF(ISERROR(VLOOKUP(B3306,Failures!$A$1:$A$4000,1,FALSE)),"Keep","Delete")</f>
        <v>Keep</v>
      </c>
      <c r="F3306" t="str">
        <f>IF(ISNUMBER(SEARCH("#",B3306)), LEFT(B3306,FIND("#",B3306)-1), B3306)</f>
        <v>Parking Hut</v>
      </c>
      <c r="G3306" s="26">
        <f>IF(ISNUMBER(SEARCH("#",B3306)),VALUE(MID(B3306,FIND("#",B3306)+1,1000)),1)</f>
        <v>1</v>
      </c>
      <c r="H3306" t="str">
        <f>IF(AND(regexMatch(B3306,".*#[0-9]*$"),ISNUMBER(SEARCH("#",B3306))),CONCATENATE(TRIM(F3306)," #",G3306),B3306)</f>
        <v>Parking Hut</v>
      </c>
    </row>
    <row r="3307" spans="1:8" ht="15.75" thickBot="1" x14ac:dyDescent="0.3">
      <c r="A3307" s="1" t="s">
        <v>2463</v>
      </c>
      <c r="B3307" s="1" t="s">
        <v>3829</v>
      </c>
      <c r="C3307" s="4" t="s">
        <v>5</v>
      </c>
      <c r="D3307" s="2" t="s">
        <v>751</v>
      </c>
      <c r="E3307" s="3" t="str">
        <f>IF(ISERROR(VLOOKUP(B3307,Failures!$A$1:$A$4000,1,FALSE)),"Keep","Delete")</f>
        <v>Keep</v>
      </c>
      <c r="F3307" t="str">
        <f>IF(ISNUMBER(SEARCH("#",B3307)), LEFT(B3307,FIND("#",B3307)-1), B3307)</f>
        <v>Plastic Barrier</v>
      </c>
      <c r="G3307" s="26">
        <f>IF(ISNUMBER(SEARCH("#",B3307)),VALUE(MID(B3307,FIND("#",B3307)+1,1000)),1)</f>
        <v>1</v>
      </c>
      <c r="H3307" t="str">
        <f>IF(AND(regexMatch(B3307,".*#[0-9]*$"),ISNUMBER(SEARCH("#",B3307))),CONCATENATE(TRIM(F3307)," #",G3307),B3307)</f>
        <v>Plastic Barrier</v>
      </c>
    </row>
    <row r="3308" spans="1:8" ht="15.75" thickBot="1" x14ac:dyDescent="0.3">
      <c r="A3308" s="1" t="s">
        <v>2152</v>
      </c>
      <c r="B3308" s="1" t="s">
        <v>3855</v>
      </c>
      <c r="C3308" s="2" t="s">
        <v>145</v>
      </c>
      <c r="D3308" s="2" t="s">
        <v>751</v>
      </c>
      <c r="E3308" s="3" t="str">
        <f>IF(ISERROR(VLOOKUP(B3308,Failures!$A$1:$A$4000,1,FALSE)),"Keep","Delete")</f>
        <v>Keep</v>
      </c>
      <c r="F3308" t="str">
        <f>IF(ISNUMBER(SEARCH("#",B3308)), LEFT(B3308,FIND("#",B3308)-1), B3308)</f>
        <v>Road Arrow Barrier</v>
      </c>
      <c r="G3308" s="26">
        <f>IF(ISNUMBER(SEARCH("#",B3308)),VALUE(MID(B3308,FIND("#",B3308)+1,1000)),1)</f>
        <v>1</v>
      </c>
      <c r="H3308" t="str">
        <f>IF(AND(regexMatch(B3308,".*#[0-9]*$"),ISNUMBER(SEARCH("#",B3308))),CONCATENATE(TRIM(F3308)," #",G3308),B3308)</f>
        <v>Road Arrow Barrier</v>
      </c>
    </row>
    <row r="3309" spans="1:8" ht="15.75" thickBot="1" x14ac:dyDescent="0.3">
      <c r="A3309" s="1" t="s">
        <v>2153</v>
      </c>
      <c r="B3309" s="1" t="s">
        <v>2154</v>
      </c>
      <c r="C3309" s="2" t="s">
        <v>145</v>
      </c>
      <c r="D3309" s="2" t="s">
        <v>751</v>
      </c>
      <c r="E3309" s="3" t="str">
        <f>IF(ISERROR(VLOOKUP(B3309,Failures!$A$1:$A$4000,1,FALSE)),"Keep","Delete")</f>
        <v>Keep</v>
      </c>
      <c r="F3309" t="str">
        <f>IF(ISNUMBER(SEARCH("#",B3309)), LEFT(B3309,FIND("#",B3309)-1), B3309)</f>
        <v xml:space="preserve">Road Barrier </v>
      </c>
      <c r="G3309" s="26">
        <f>IF(ISNUMBER(SEARCH("#",B3309)),VALUE(MID(B3309,FIND("#",B3309)+1,1000)),1)</f>
        <v>1</v>
      </c>
      <c r="H3309" t="str">
        <f>IF(AND(regexMatch(B3309,".*#[0-9]*$"),ISNUMBER(SEARCH("#",B3309))),CONCATENATE(TRIM(F3309)," #",G3309),B3309)</f>
        <v>Road Barrier #1</v>
      </c>
    </row>
    <row r="3310" spans="1:8" ht="15.75" thickBot="1" x14ac:dyDescent="0.3">
      <c r="A3310" s="1" t="s">
        <v>2155</v>
      </c>
      <c r="B3310" s="1" t="s">
        <v>3856</v>
      </c>
      <c r="C3310" s="2" t="s">
        <v>145</v>
      </c>
      <c r="D3310" s="2" t="s">
        <v>751</v>
      </c>
      <c r="E3310" s="3" t="str">
        <f>IF(ISERROR(VLOOKUP(B3310,Failures!$A$1:$A$4000,1,FALSE)),"Keep","Delete")</f>
        <v>Keep</v>
      </c>
      <c r="F3310" t="str">
        <f>IF(ISNUMBER(SEARCH("#",B3310)), LEFT(B3310,FIND("#",B3310)-1), B3310)</f>
        <v xml:space="preserve">Road Barrier </v>
      </c>
      <c r="G3310" s="26">
        <f>IF(ISNUMBER(SEARCH("#",B3310)),VALUE(MID(B3310,FIND("#",B3310)+1,1000)),1)</f>
        <v>2</v>
      </c>
      <c r="H3310" t="str">
        <f>IF(AND(regexMatch(B3310,".*#[0-9]*$"),ISNUMBER(SEARCH("#",B3310))),CONCATENATE(TRIM(F3310)," #",G3310),B3310)</f>
        <v>Road Barrier #2</v>
      </c>
    </row>
    <row r="3311" spans="1:8" ht="15.75" thickBot="1" x14ac:dyDescent="0.3">
      <c r="A3311" s="1" t="s">
        <v>2158</v>
      </c>
      <c r="B3311" s="1" t="s">
        <v>3857</v>
      </c>
      <c r="C3311" s="2" t="s">
        <v>145</v>
      </c>
      <c r="D3311" s="2" t="s">
        <v>751</v>
      </c>
      <c r="E3311" s="3" t="str">
        <f>IF(ISERROR(VLOOKUP(B3311,Failures!$A$1:$A$4000,1,FALSE)),"Keep","Delete")</f>
        <v>Keep</v>
      </c>
      <c r="F3311" t="str">
        <f>IF(ISNUMBER(SEARCH("#",B3311)), LEFT(B3311,FIND("#",B3311)-1), B3311)</f>
        <v xml:space="preserve">Road Barrier </v>
      </c>
      <c r="G3311" s="26">
        <f>IF(ISNUMBER(SEARCH("#",B3311)),VALUE(MID(B3311,FIND("#",B3311)+1,1000)),1)</f>
        <v>3</v>
      </c>
      <c r="H3311" t="str">
        <f>IF(AND(regexMatch(B3311,".*#[0-9]*$"),ISNUMBER(SEARCH("#",B3311))),CONCATENATE(TRIM(F3311)," #",G3311),B3311)</f>
        <v>Road Barrier #3</v>
      </c>
    </row>
    <row r="3312" spans="1:8" ht="15.75" thickBot="1" x14ac:dyDescent="0.3">
      <c r="A3312" s="1" t="s">
        <v>2156</v>
      </c>
      <c r="B3312" s="1" t="s">
        <v>2157</v>
      </c>
      <c r="C3312" s="2" t="s">
        <v>145</v>
      </c>
      <c r="D3312" s="2" t="s">
        <v>751</v>
      </c>
      <c r="E3312" s="3" t="str">
        <f>IF(ISERROR(VLOOKUP(B3312,Failures!$A$1:$A$4000,1,FALSE)),"Keep","Delete")</f>
        <v>Keep</v>
      </c>
      <c r="F3312" t="str">
        <f>IF(ISNUMBER(SEARCH("#",B3312)), LEFT(B3312,FIND("#",B3312)-1), B3312)</f>
        <v>Road Barrier: Work Ahead</v>
      </c>
      <c r="G3312" s="26">
        <f>IF(ISNUMBER(SEARCH("#",B3312)),VALUE(MID(B3312,FIND("#",B3312)+1,1000)),1)</f>
        <v>1</v>
      </c>
      <c r="H3312" t="str">
        <f>IF(AND(regexMatch(B3312,".*#[0-9]*$"),ISNUMBER(SEARCH("#",B3312))),CONCATENATE(TRIM(F3312)," #",G3312),B3312)</f>
        <v>Road Barrier: Work Ahead</v>
      </c>
    </row>
    <row r="3313" spans="1:8" ht="15.75" thickBot="1" x14ac:dyDescent="0.3">
      <c r="A3313" s="1" t="s">
        <v>2164</v>
      </c>
      <c r="B3313" s="1" t="s">
        <v>2165</v>
      </c>
      <c r="C3313" s="2" t="s">
        <v>5</v>
      </c>
      <c r="D3313" s="2" t="s">
        <v>751</v>
      </c>
      <c r="E3313" s="3" t="str">
        <f>IF(ISERROR(VLOOKUP(B3313,Failures!$A$1:$A$4000,1,FALSE)),"Keep","Delete")</f>
        <v>Keep</v>
      </c>
      <c r="F3313" t="str">
        <f>IF(ISNUMBER(SEARCH("#",B3313)), LEFT(B3313,FIND("#",B3313)-1), B3313)</f>
        <v xml:space="preserve">Road Cone </v>
      </c>
      <c r="G3313" s="26">
        <f>IF(ISNUMBER(SEARCH("#",B3313)),VALUE(MID(B3313,FIND("#",B3313)+1,1000)),1)</f>
        <v>1</v>
      </c>
      <c r="H3313" t="str">
        <f>IF(AND(regexMatch(B3313,".*#[0-9]*$"),ISNUMBER(SEARCH("#",B3313))),CONCATENATE(TRIM(F3313)," #",G3313),B3313)</f>
        <v>Road Cone #1</v>
      </c>
    </row>
    <row r="3314" spans="1:8" ht="15.75" thickBot="1" x14ac:dyDescent="0.3">
      <c r="A3314" s="1" t="s">
        <v>2166</v>
      </c>
      <c r="B3314" s="1" t="s">
        <v>2167</v>
      </c>
      <c r="C3314" s="2" t="s">
        <v>5</v>
      </c>
      <c r="D3314" s="2" t="s">
        <v>751</v>
      </c>
      <c r="E3314" s="3" t="str">
        <f>IF(ISERROR(VLOOKUP(B3314,Failures!$A$1:$A$4000,1,FALSE)),"Keep","Delete")</f>
        <v>Keep</v>
      </c>
      <c r="F3314" t="str">
        <f>IF(ISNUMBER(SEARCH("#",B3314)), LEFT(B3314,FIND("#",B3314)-1), B3314)</f>
        <v xml:space="preserve">Road Cone </v>
      </c>
      <c r="G3314" s="26">
        <f>IF(ISNUMBER(SEARCH("#",B3314)),VALUE(MID(B3314,FIND("#",B3314)+1,1000)),1)</f>
        <v>2</v>
      </c>
      <c r="H3314" t="str">
        <f>IF(AND(regexMatch(B3314,".*#[0-9]*$"),ISNUMBER(SEARCH("#",B3314))),CONCATENATE(TRIM(F3314)," #",G3314),B3314)</f>
        <v>Road Cone #2</v>
      </c>
    </row>
    <row r="3315" spans="1:8" ht="15.75" thickBot="1" x14ac:dyDescent="0.3">
      <c r="A3315" s="1" t="s">
        <v>2168</v>
      </c>
      <c r="B3315" s="1" t="s">
        <v>2169</v>
      </c>
      <c r="C3315" s="2" t="s">
        <v>5</v>
      </c>
      <c r="D3315" s="2" t="s">
        <v>751</v>
      </c>
      <c r="E3315" s="3" t="str">
        <f>IF(ISERROR(VLOOKUP(B3315,Failures!$A$1:$A$4000,1,FALSE)),"Keep","Delete")</f>
        <v>Keep</v>
      </c>
      <c r="F3315" t="str">
        <f>IF(ISNUMBER(SEARCH("#",B3315)), LEFT(B3315,FIND("#",B3315)-1), B3315)</f>
        <v xml:space="preserve">Road Cone </v>
      </c>
      <c r="G3315" s="26">
        <f>IF(ISNUMBER(SEARCH("#",B3315)),VALUE(MID(B3315,FIND("#",B3315)+1,1000)),1)</f>
        <v>3</v>
      </c>
      <c r="H3315" t="str">
        <f>IF(AND(regexMatch(B3315,".*#[0-9]*$"),ISNUMBER(SEARCH("#",B3315))),CONCATENATE(TRIM(F3315)," #",G3315),B3315)</f>
        <v>Road Cone #3</v>
      </c>
    </row>
    <row r="3316" spans="1:8" ht="15.75" thickBot="1" x14ac:dyDescent="0.3">
      <c r="A3316" s="1" t="s">
        <v>2170</v>
      </c>
      <c r="B3316" s="1" t="s">
        <v>2171</v>
      </c>
      <c r="C3316" s="2" t="s">
        <v>5</v>
      </c>
      <c r="D3316" s="2" t="s">
        <v>751</v>
      </c>
      <c r="E3316" s="3" t="str">
        <f>IF(ISERROR(VLOOKUP(B3316,Failures!$A$1:$A$4000,1,FALSE)),"Keep","Delete")</f>
        <v>Keep</v>
      </c>
      <c r="F3316" t="str">
        <f>IF(ISNUMBER(SEARCH("#",B3316)), LEFT(B3316,FIND("#",B3316)-1), B3316)</f>
        <v xml:space="preserve">Road Cone </v>
      </c>
      <c r="G3316" s="26">
        <f>IF(ISNUMBER(SEARCH("#",B3316)),VALUE(MID(B3316,FIND("#",B3316)+1,1000)),1)</f>
        <v>4</v>
      </c>
      <c r="H3316" t="str">
        <f>IF(AND(regexMatch(B3316,".*#[0-9]*$"),ISNUMBER(SEARCH("#",B3316))),CONCATENATE(TRIM(F3316)," #",G3316),B3316)</f>
        <v>Road Cone #4</v>
      </c>
    </row>
    <row r="3317" spans="1:8" ht="15.75" thickBot="1" x14ac:dyDescent="0.3">
      <c r="A3317" s="1" t="s">
        <v>2658</v>
      </c>
      <c r="B3317" s="1" t="s">
        <v>3858</v>
      </c>
      <c r="C3317" s="2" t="s">
        <v>145</v>
      </c>
      <c r="D3317" s="2" t="s">
        <v>751</v>
      </c>
      <c r="E3317" s="3" t="str">
        <f>IF(ISERROR(VLOOKUP(B3317,Failures!$A$1:$A$4000,1,FALSE)),"Keep","Delete")</f>
        <v>Keep</v>
      </c>
      <c r="F3317" t="str">
        <f>IF(ISNUMBER(SEARCH("#",B3317)), LEFT(B3317,FIND("#",B3317)-1), B3317)</f>
        <v xml:space="preserve">Road Cone </v>
      </c>
      <c r="G3317" s="26">
        <f>IF(ISNUMBER(SEARCH("#",B3317)),VALUE(MID(B3317,FIND("#",B3317)+1,1000)),1)</f>
        <v>5</v>
      </c>
      <c r="H3317" t="str">
        <f>IF(AND(regexMatch(B3317,".*#[0-9]*$"),ISNUMBER(SEARCH("#",B3317))),CONCATENATE(TRIM(F3317)," #",G3317),B3317)</f>
        <v>Road Cone #5</v>
      </c>
    </row>
    <row r="3318" spans="1:8" ht="15.75" thickBot="1" x14ac:dyDescent="0.3">
      <c r="A3318" s="1" t="s">
        <v>2659</v>
      </c>
      <c r="B3318" s="1" t="s">
        <v>3859</v>
      </c>
      <c r="C3318" s="2" t="s">
        <v>145</v>
      </c>
      <c r="D3318" s="2" t="s">
        <v>751</v>
      </c>
      <c r="E3318" s="3" t="str">
        <f>IF(ISERROR(VLOOKUP(B3318,Failures!$A$1:$A$4000,1,FALSE)),"Keep","Delete")</f>
        <v>Keep</v>
      </c>
      <c r="F3318" t="str">
        <f>IF(ISNUMBER(SEARCH("#",B3318)), LEFT(B3318,FIND("#",B3318)-1), B3318)</f>
        <v xml:space="preserve">Road Cone </v>
      </c>
      <c r="G3318" s="26">
        <f>IF(ISNUMBER(SEARCH("#",B3318)),VALUE(MID(B3318,FIND("#",B3318)+1,1000)),1)</f>
        <v>6</v>
      </c>
      <c r="H3318" t="str">
        <f>IF(AND(regexMatch(B3318,".*#[0-9]*$"),ISNUMBER(SEARCH("#",B3318))),CONCATENATE(TRIM(F3318)," #",G3318),B3318)</f>
        <v>Road Cone #6</v>
      </c>
    </row>
    <row r="3319" spans="1:8" ht="15.75" thickBot="1" x14ac:dyDescent="0.3">
      <c r="A3319" s="1" t="s">
        <v>2660</v>
      </c>
      <c r="B3319" s="1" t="s">
        <v>3860</v>
      </c>
      <c r="C3319" s="2" t="s">
        <v>145</v>
      </c>
      <c r="D3319" s="2" t="s">
        <v>751</v>
      </c>
      <c r="E3319" s="3" t="str">
        <f>IF(ISERROR(VLOOKUP(B3319,Failures!$A$1:$A$4000,1,FALSE)),"Keep","Delete")</f>
        <v>Keep</v>
      </c>
      <c r="F3319" t="str">
        <f>IF(ISNUMBER(SEARCH("#",B3319)), LEFT(B3319,FIND("#",B3319)-1), B3319)</f>
        <v xml:space="preserve">Road Cone </v>
      </c>
      <c r="G3319" s="26">
        <f>IF(ISNUMBER(SEARCH("#",B3319)),VALUE(MID(B3319,FIND("#",B3319)+1,1000)),1)</f>
        <v>7</v>
      </c>
      <c r="H3319" t="str">
        <f>IF(AND(regexMatch(B3319,".*#[0-9]*$"),ISNUMBER(SEARCH("#",B3319))),CONCATENATE(TRIM(F3319)," #",G3319),B3319)</f>
        <v>Road Cone #7</v>
      </c>
    </row>
    <row r="3320" spans="1:8" ht="15.75" thickBot="1" x14ac:dyDescent="0.3">
      <c r="A3320" s="1" t="s">
        <v>2661</v>
      </c>
      <c r="B3320" s="1" t="s">
        <v>3861</v>
      </c>
      <c r="C3320" s="2" t="s">
        <v>145</v>
      </c>
      <c r="D3320" s="2" t="s">
        <v>751</v>
      </c>
      <c r="E3320" s="3" t="str">
        <f>IF(ISERROR(VLOOKUP(B3320,Failures!$A$1:$A$4000,1,FALSE)),"Keep","Delete")</f>
        <v>Keep</v>
      </c>
      <c r="F3320" t="str">
        <f>IF(ISNUMBER(SEARCH("#",B3320)), LEFT(B3320,FIND("#",B3320)-1), B3320)</f>
        <v xml:space="preserve">Road Cone </v>
      </c>
      <c r="G3320" s="26">
        <f>IF(ISNUMBER(SEARCH("#",B3320)),VALUE(MID(B3320,FIND("#",B3320)+1,1000)),1)</f>
        <v>8</v>
      </c>
      <c r="H3320" t="str">
        <f>IF(AND(regexMatch(B3320,".*#[0-9]*$"),ISNUMBER(SEARCH("#",B3320))),CONCATENATE(TRIM(F3320)," #",G3320),B3320)</f>
        <v>Road Cone #8</v>
      </c>
    </row>
    <row r="3321" spans="1:8" ht="15.75" thickBot="1" x14ac:dyDescent="0.3">
      <c r="A3321" s="1" t="s">
        <v>2662</v>
      </c>
      <c r="B3321" s="1" t="s">
        <v>3862</v>
      </c>
      <c r="C3321" s="2" t="s">
        <v>145</v>
      </c>
      <c r="D3321" s="2" t="s">
        <v>751</v>
      </c>
      <c r="E3321" s="3" t="str">
        <f>IF(ISERROR(VLOOKUP(B3321,Failures!$A$1:$A$4000,1,FALSE)),"Keep","Delete")</f>
        <v>Keep</v>
      </c>
      <c r="F3321" t="str">
        <f>IF(ISNUMBER(SEARCH("#",B3321)), LEFT(B3321,FIND("#",B3321)-1), B3321)</f>
        <v xml:space="preserve">Road Cone </v>
      </c>
      <c r="G3321" s="26">
        <f>IF(ISNUMBER(SEARCH("#",B3321)),VALUE(MID(B3321,FIND("#",B3321)+1,1000)),1)</f>
        <v>9</v>
      </c>
      <c r="H3321" t="str">
        <f>IF(AND(regexMatch(B3321,".*#[0-9]*$"),ISNUMBER(SEARCH("#",B3321))),CONCATENATE(TRIM(F3321)," #",G3321),B3321)</f>
        <v>Road Cone #9</v>
      </c>
    </row>
    <row r="3322" spans="1:8" ht="15.75" thickBot="1" x14ac:dyDescent="0.3">
      <c r="A3322" s="1" t="s">
        <v>2663</v>
      </c>
      <c r="B3322" s="1" t="s">
        <v>3863</v>
      </c>
      <c r="C3322" s="2" t="s">
        <v>145</v>
      </c>
      <c r="D3322" s="2" t="s">
        <v>751</v>
      </c>
      <c r="E3322" s="3" t="str">
        <f>IF(ISERROR(VLOOKUP(B3322,Failures!$A$1:$A$4000,1,FALSE)),"Keep","Delete")</f>
        <v>Keep</v>
      </c>
      <c r="F3322" t="str">
        <f>IF(ISNUMBER(SEARCH("#",B3322)), LEFT(B3322,FIND("#",B3322)-1), B3322)</f>
        <v xml:space="preserve">Road Cone </v>
      </c>
      <c r="G3322" s="26">
        <f>IF(ISNUMBER(SEARCH("#",B3322)),VALUE(MID(B3322,FIND("#",B3322)+1,1000)),1)</f>
        <v>10</v>
      </c>
      <c r="H3322" t="str">
        <f>IF(AND(regexMatch(B3322,".*#[0-9]*$"),ISNUMBER(SEARCH("#",B3322))),CONCATENATE(TRIM(F3322)," #",G3322),B3322)</f>
        <v>Road Cone #10</v>
      </c>
    </row>
    <row r="3323" spans="1:8" ht="15.75" thickBot="1" x14ac:dyDescent="0.3">
      <c r="A3323" s="1" t="s">
        <v>5404</v>
      </c>
      <c r="B3323" s="1" t="s">
        <v>6218</v>
      </c>
      <c r="C3323" s="1"/>
      <c r="D3323" s="2" t="s">
        <v>751</v>
      </c>
      <c r="E3323" s="3" t="str">
        <f>IF(ISERROR(VLOOKUP(B3323,Failures!$A$1:$A$4000,1,FALSE)),"Keep","Delete")</f>
        <v>Keep</v>
      </c>
      <c r="F3323" t="str">
        <f>IF(ISNUMBER(SEARCH("#",B3323)), LEFT(B3323,FIND("#",B3323)-1), B3323)</f>
        <v xml:space="preserve">Road Memorial </v>
      </c>
      <c r="G3323" s="26">
        <f>IF(ISNUMBER(SEARCH("#",B3323)),VALUE(MID(B3323,FIND("#",B3323)+1,1000)),1)</f>
        <v>1</v>
      </c>
      <c r="H3323" t="str">
        <f>IF(AND(regexMatch(B3323,".*#[0-9]*$"),ISNUMBER(SEARCH("#",B3323))),CONCATENATE(TRIM(F3323)," #",G3323),B3323)</f>
        <v>Road Memorial #1</v>
      </c>
    </row>
    <row r="3324" spans="1:8" ht="15.75" thickBot="1" x14ac:dyDescent="0.3">
      <c r="A3324" s="1" t="s">
        <v>5403</v>
      </c>
      <c r="B3324" s="1" t="s">
        <v>6217</v>
      </c>
      <c r="C3324" s="1"/>
      <c r="D3324" s="2" t="s">
        <v>751</v>
      </c>
      <c r="E3324" s="3" t="str">
        <f>IF(ISERROR(VLOOKUP(B3324,Failures!$A$1:$A$4000,1,FALSE)),"Keep","Delete")</f>
        <v>Keep</v>
      </c>
      <c r="F3324" t="str">
        <f>IF(ISNUMBER(SEARCH("#",B3324)), LEFT(B3324,FIND("#",B3324)-1), B3324)</f>
        <v xml:space="preserve">Road Memorial </v>
      </c>
      <c r="G3324" s="26">
        <f>IF(ISNUMBER(SEARCH("#",B3324)),VALUE(MID(B3324,FIND("#",B3324)+1,1000)),1)</f>
        <v>2</v>
      </c>
      <c r="H3324" t="str">
        <f>IF(AND(regexMatch(B3324,".*#[0-9]*$"),ISNUMBER(SEARCH("#",B3324))),CONCATENATE(TRIM(F3324)," #",G3324),B3324)</f>
        <v>Road Memorial #2</v>
      </c>
    </row>
    <row r="3325" spans="1:8" ht="15.75" thickBot="1" x14ac:dyDescent="0.3">
      <c r="A3325" s="1" t="s">
        <v>5663</v>
      </c>
      <c r="B3325" s="1" t="s">
        <v>10285</v>
      </c>
      <c r="C3325" s="1"/>
      <c r="D3325" s="2" t="s">
        <v>751</v>
      </c>
      <c r="E3325" s="3" t="str">
        <f>IF(ISERROR(VLOOKUP(B3325,Failures!$A$1:$A$4000,1,FALSE)),"Keep","Delete")</f>
        <v>Keep</v>
      </c>
      <c r="F3325" t="str">
        <f>IF(ISNUMBER(SEARCH("#",B3325)), LEFT(B3325,FIND("#",B3325)-1), B3325)</f>
        <v xml:space="preserve">Road Sign: 15MPH </v>
      </c>
      <c r="G3325" s="26">
        <f>IF(ISNUMBER(SEARCH("#",B3325)),VALUE(MID(B3325,FIND("#",B3325)+1,1000)),1)</f>
        <v>1</v>
      </c>
      <c r="H3325" t="str">
        <f>IF(AND(regexMatch(B3325,".*#[0-9]*$"),ISNUMBER(SEARCH("#",B3325))),CONCATENATE(TRIM(F3325)," #",G3325),B3325)</f>
        <v>Road Sign: 15MPH #1</v>
      </c>
    </row>
    <row r="3326" spans="1:8" ht="15.75" thickBot="1" x14ac:dyDescent="0.3">
      <c r="A3326" s="1" t="s">
        <v>5661</v>
      </c>
      <c r="B3326" s="1" t="s">
        <v>10287</v>
      </c>
      <c r="C3326" s="1"/>
      <c r="D3326" s="2" t="s">
        <v>751</v>
      </c>
      <c r="E3326" s="3" t="str">
        <f>IF(ISERROR(VLOOKUP(B3326,Failures!$A$1:$A$4000,1,FALSE)),"Keep","Delete")</f>
        <v>Keep</v>
      </c>
      <c r="F3326" t="str">
        <f>IF(ISNUMBER(SEARCH("#",B3326)), LEFT(B3326,FIND("#",B3326)-1), B3326)</f>
        <v xml:space="preserve">Road Sign: 15MPH </v>
      </c>
      <c r="G3326" s="26">
        <f>IF(ISNUMBER(SEARCH("#",B3326)),VALUE(MID(B3326,FIND("#",B3326)+1,1000)),1)</f>
        <v>2</v>
      </c>
      <c r="H3326" t="str">
        <f>IF(AND(regexMatch(B3326,".*#[0-9]*$"),ISNUMBER(SEARCH("#",B3326))),CONCATENATE(TRIM(F3326)," #",G3326),B3326)</f>
        <v>Road Sign: 15MPH #2</v>
      </c>
    </row>
    <row r="3327" spans="1:8" ht="15.75" thickBot="1" x14ac:dyDescent="0.3">
      <c r="A3327" s="1" t="s">
        <v>5660</v>
      </c>
      <c r="B3327" s="1" t="s">
        <v>10288</v>
      </c>
      <c r="C3327" s="1"/>
      <c r="D3327" s="2" t="s">
        <v>751</v>
      </c>
      <c r="E3327" s="3" t="str">
        <f>IF(ISERROR(VLOOKUP(B3327,Failures!$A$1:$A$4000,1,FALSE)),"Keep","Delete")</f>
        <v>Keep</v>
      </c>
      <c r="F3327" t="str">
        <f>IF(ISNUMBER(SEARCH("#",B3327)), LEFT(B3327,FIND("#",B3327)-1), B3327)</f>
        <v>Road Sign: 25MPH</v>
      </c>
      <c r="G3327" s="26">
        <f>IF(ISNUMBER(SEARCH("#",B3327)),VALUE(MID(B3327,FIND("#",B3327)+1,1000)),1)</f>
        <v>1</v>
      </c>
      <c r="H3327" t="str">
        <f>IF(AND(regexMatch(B3327,".*#[0-9]*$"),ISNUMBER(SEARCH("#",B3327))),CONCATENATE(TRIM(F3327)," #",G3327),B3327)</f>
        <v>Road Sign: 25MPH</v>
      </c>
    </row>
    <row r="3328" spans="1:8" ht="15.75" thickBot="1" x14ac:dyDescent="0.3">
      <c r="A3328" s="1" t="s">
        <v>5659</v>
      </c>
      <c r="B3328" s="1" t="s">
        <v>10289</v>
      </c>
      <c r="C3328" s="1"/>
      <c r="D3328" s="2" t="s">
        <v>751</v>
      </c>
      <c r="E3328" s="3" t="str">
        <f>IF(ISERROR(VLOOKUP(B3328,Failures!$A$1:$A$4000,1,FALSE)),"Keep","Delete")</f>
        <v>Keep</v>
      </c>
      <c r="F3328" t="str">
        <f>IF(ISNUMBER(SEARCH("#",B3328)), LEFT(B3328,FIND("#",B3328)-1), B3328)</f>
        <v>Road Sign: 35MPH</v>
      </c>
      <c r="G3328" s="26">
        <f>IF(ISNUMBER(SEARCH("#",B3328)),VALUE(MID(B3328,FIND("#",B3328)+1,1000)),1)</f>
        <v>1</v>
      </c>
      <c r="H3328" t="str">
        <f>IF(AND(regexMatch(B3328,".*#[0-9]*$"),ISNUMBER(SEARCH("#",B3328))),CONCATENATE(TRIM(F3328)," #",G3328),B3328)</f>
        <v>Road Sign: 35MPH</v>
      </c>
    </row>
    <row r="3329" spans="1:8" ht="15.75" thickBot="1" x14ac:dyDescent="0.3">
      <c r="A3329" s="1" t="s">
        <v>5743</v>
      </c>
      <c r="B3329" s="1" t="s">
        <v>10209</v>
      </c>
      <c r="C3329" s="1"/>
      <c r="D3329" s="2" t="s">
        <v>751</v>
      </c>
      <c r="E3329" s="3" t="str">
        <f>IF(ISERROR(VLOOKUP(B3329,Failures!$A$1:$A$4000,1,FALSE)),"Keep","Delete")</f>
        <v>Keep</v>
      </c>
      <c r="F3329" t="str">
        <f>IF(ISNUMBER(SEARCH("#",B3329)), LEFT(B3329,FIND("#",B3329)-1), B3329)</f>
        <v>Road Sign: 35MPH (Snowy)</v>
      </c>
      <c r="G3329" s="26">
        <f>IF(ISNUMBER(SEARCH("#",B3329)),VALUE(MID(B3329,FIND("#",B3329)+1,1000)),1)</f>
        <v>1</v>
      </c>
      <c r="H3329" t="str">
        <f>IF(AND(regexMatch(B3329,".*#[0-9]*$"),ISNUMBER(SEARCH("#",B3329))),CONCATENATE(TRIM(F3329)," #",G3329),B3329)</f>
        <v>Road Sign: 35MPH (Snowy)</v>
      </c>
    </row>
    <row r="3330" spans="1:8" ht="15.75" thickBot="1" x14ac:dyDescent="0.3">
      <c r="A3330" s="1" t="s">
        <v>5658</v>
      </c>
      <c r="B3330" s="1" t="s">
        <v>10290</v>
      </c>
      <c r="C3330" s="1"/>
      <c r="D3330" s="2" t="s">
        <v>751</v>
      </c>
      <c r="E3330" s="3" t="str">
        <f>IF(ISERROR(VLOOKUP(B3330,Failures!$A$1:$A$4000,1,FALSE)),"Keep","Delete")</f>
        <v>Keep</v>
      </c>
      <c r="F3330" t="str">
        <f>IF(ISNUMBER(SEARCH("#",B3330)), LEFT(B3330,FIND("#",B3330)-1), B3330)</f>
        <v>Road Sign: 50MPH</v>
      </c>
      <c r="G3330" s="26">
        <f>IF(ISNUMBER(SEARCH("#",B3330)),VALUE(MID(B3330,FIND("#",B3330)+1,1000)),1)</f>
        <v>1</v>
      </c>
      <c r="H3330" t="str">
        <f>IF(AND(regexMatch(B3330,".*#[0-9]*$"),ISNUMBER(SEARCH("#",B3330))),CONCATENATE(TRIM(F3330)," #",G3330),B3330)</f>
        <v>Road Sign: 50MPH</v>
      </c>
    </row>
    <row r="3331" spans="1:8" ht="15.75" thickBot="1" x14ac:dyDescent="0.3">
      <c r="A3331" s="1" t="s">
        <v>5662</v>
      </c>
      <c r="B3331" s="1" t="s">
        <v>10286</v>
      </c>
      <c r="C3331" s="1"/>
      <c r="D3331" s="2" t="s">
        <v>751</v>
      </c>
      <c r="E3331" s="3" t="str">
        <f>IF(ISERROR(VLOOKUP(B3331,Failures!$A$1:$A$4000,1,FALSE)),"Keep","Delete")</f>
        <v>Keep</v>
      </c>
      <c r="F3331" t="str">
        <f>IF(ISNUMBER(SEARCH("#",B3331)), LEFT(B3331,FIND("#",B3331)-1), B3331)</f>
        <v>Road Sign: 5MPH</v>
      </c>
      <c r="G3331" s="26">
        <f>IF(ISNUMBER(SEARCH("#",B3331)),VALUE(MID(B3331,FIND("#",B3331)+1,1000)),1)</f>
        <v>1</v>
      </c>
      <c r="H3331" t="str">
        <f>IF(AND(regexMatch(B3331,".*#[0-9]*$"),ISNUMBER(SEARCH("#",B3331))),CONCATENATE(TRIM(F3331)," #",G3331),B3331)</f>
        <v>Road Sign: 5MPH</v>
      </c>
    </row>
    <row r="3332" spans="1:8" ht="15.75" thickBot="1" x14ac:dyDescent="0.3">
      <c r="A3332" s="1" t="s">
        <v>5657</v>
      </c>
      <c r="B3332" s="1" t="s">
        <v>10291</v>
      </c>
      <c r="C3332" s="1"/>
      <c r="D3332" s="2" t="s">
        <v>751</v>
      </c>
      <c r="E3332" s="3" t="str">
        <f>IF(ISERROR(VLOOKUP(B3332,Failures!$A$1:$A$4000,1,FALSE)),"Keep","Delete")</f>
        <v>Keep</v>
      </c>
      <c r="F3332" t="str">
        <f>IF(ISNUMBER(SEARCH("#",B3332)), LEFT(B3332,FIND("#",B3332)-1), B3332)</f>
        <v>Road Sign: 60MPH</v>
      </c>
      <c r="G3332" s="26">
        <f>IF(ISNUMBER(SEARCH("#",B3332)),VALUE(MID(B3332,FIND("#",B3332)+1,1000)),1)</f>
        <v>1</v>
      </c>
      <c r="H3332" t="str">
        <f>IF(AND(regexMatch(B3332,".*#[0-9]*$"),ISNUMBER(SEARCH("#",B3332))),CONCATENATE(TRIM(F3332)," #",G3332),B3332)</f>
        <v>Road Sign: 60MPH</v>
      </c>
    </row>
    <row r="3333" spans="1:8" ht="15.75" thickBot="1" x14ac:dyDescent="0.3">
      <c r="A3333" s="1" t="s">
        <v>5742</v>
      </c>
      <c r="B3333" s="1" t="s">
        <v>10210</v>
      </c>
      <c r="C3333" s="1"/>
      <c r="D3333" s="2" t="s">
        <v>751</v>
      </c>
      <c r="E3333" s="3" t="str">
        <f>IF(ISERROR(VLOOKUP(B3333,Failures!$A$1:$A$4000,1,FALSE)),"Keep","Delete")</f>
        <v>Keep</v>
      </c>
      <c r="F3333" t="str">
        <f>IF(ISNUMBER(SEARCH("#",B3333)), LEFT(B3333,FIND("#",B3333)-1), B3333)</f>
        <v>Road Sign: 60MPH (Snowy)</v>
      </c>
      <c r="G3333" s="26">
        <f>IF(ISNUMBER(SEARCH("#",B3333)),VALUE(MID(B3333,FIND("#",B3333)+1,1000)),1)</f>
        <v>1</v>
      </c>
      <c r="H3333" t="str">
        <f>IF(AND(regexMatch(B3333,".*#[0-9]*$"),ISNUMBER(SEARCH("#",B3333))),CONCATENATE(TRIM(F3333)," #",G3333),B3333)</f>
        <v>Road Sign: 60MPH (Snowy)</v>
      </c>
    </row>
    <row r="3334" spans="1:8" ht="15.75" thickBot="1" x14ac:dyDescent="0.3">
      <c r="A3334" s="1" t="s">
        <v>5674</v>
      </c>
      <c r="B3334" s="1" t="s">
        <v>10274</v>
      </c>
      <c r="C3334" s="1"/>
      <c r="D3334" s="2" t="s">
        <v>751</v>
      </c>
      <c r="E3334" s="3" t="str">
        <f>IF(ISERROR(VLOOKUP(B3334,Failures!$A$1:$A$4000,1,FALSE)),"Keep","Delete")</f>
        <v>Keep</v>
      </c>
      <c r="F3334" t="str">
        <f>IF(ISNUMBER(SEARCH("#",B3334)), LEFT(B3334,FIND("#",B3334)-1), B3334)</f>
        <v>Road Sign: Aircraft</v>
      </c>
      <c r="G3334" s="26">
        <f>IF(ISNUMBER(SEARCH("#",B3334)),VALUE(MID(B3334,FIND("#",B3334)+1,1000)),1)</f>
        <v>1</v>
      </c>
      <c r="H3334" t="str">
        <f>IF(AND(regexMatch(B3334,".*#[0-9]*$"),ISNUMBER(SEARCH("#",B3334))),CONCATENATE(TRIM(F3334)," #",G3334),B3334)</f>
        <v>Road Sign: Aircraft</v>
      </c>
    </row>
    <row r="3335" spans="1:8" ht="15.75" thickBot="1" x14ac:dyDescent="0.3">
      <c r="A3335" s="1" t="s">
        <v>5656</v>
      </c>
      <c r="B3335" s="1" t="s">
        <v>10292</v>
      </c>
      <c r="C3335" s="1"/>
      <c r="D3335" s="2" t="s">
        <v>751</v>
      </c>
      <c r="E3335" s="3" t="str">
        <f>IF(ISERROR(VLOOKUP(B3335,Failures!$A$1:$A$4000,1,FALSE)),"Keep","Delete")</f>
        <v>Keep</v>
      </c>
      <c r="F3335" t="str">
        <f>IF(ISNUMBER(SEARCH("#",B3335)), LEFT(B3335,FIND("#",B3335)-1), B3335)</f>
        <v>Road Sign: Aircraft Enforcement</v>
      </c>
      <c r="G3335" s="26">
        <f>IF(ISNUMBER(SEARCH("#",B3335)),VALUE(MID(B3335,FIND("#",B3335)+1,1000)),1)</f>
        <v>1</v>
      </c>
      <c r="H3335" t="str">
        <f>IF(AND(regexMatch(B3335,".*#[0-9]*$"),ISNUMBER(SEARCH("#",B3335))),CONCATENATE(TRIM(F3335)," #",G3335),B3335)</f>
        <v>Road Sign: Aircraft Enforcement</v>
      </c>
    </row>
    <row r="3336" spans="1:8" ht="15.75" thickBot="1" x14ac:dyDescent="0.3">
      <c r="A3336" s="1" t="s">
        <v>5736</v>
      </c>
      <c r="B3336" s="1" t="s">
        <v>10216</v>
      </c>
      <c r="C3336" s="1"/>
      <c r="D3336" s="2" t="s">
        <v>751</v>
      </c>
      <c r="E3336" s="3" t="str">
        <f>IF(ISERROR(VLOOKUP(B3336,Failures!$A$1:$A$4000,1,FALSE)),"Keep","Delete")</f>
        <v>Keep</v>
      </c>
      <c r="F3336" t="str">
        <f>IF(ISNUMBER(SEARCH("#",B3336)), LEFT(B3336,FIND("#",B3336)-1), B3336)</f>
        <v>Road Sign: All Traffic</v>
      </c>
      <c r="G3336" s="26">
        <f>IF(ISNUMBER(SEARCH("#",B3336)),VALUE(MID(B3336,FIND("#",B3336)+1,1000)),1)</f>
        <v>1</v>
      </c>
      <c r="H3336" t="str">
        <f>IF(AND(regexMatch(B3336,".*#[0-9]*$"),ISNUMBER(SEARCH("#",B3336))),CONCATENATE(TRIM(F3336)," #",G3336),B3336)</f>
        <v>Road Sign: All Traffic</v>
      </c>
    </row>
    <row r="3337" spans="1:8" ht="15.75" thickBot="1" x14ac:dyDescent="0.3">
      <c r="A3337" s="1" t="s">
        <v>5712</v>
      </c>
      <c r="B3337" s="1" t="s">
        <v>10239</v>
      </c>
      <c r="C3337" s="1"/>
      <c r="D3337" s="2" t="s">
        <v>751</v>
      </c>
      <c r="E3337" s="3" t="str">
        <f>IF(ISERROR(VLOOKUP(B3337,Failures!$A$1:$A$4000,1,FALSE)),"Keep","Delete")</f>
        <v>Keep</v>
      </c>
      <c r="F3337" t="str">
        <f>IF(ISNUMBER(SEARCH("#",B3337)), LEFT(B3337,FIND("#",B3337)-1), B3337)</f>
        <v xml:space="preserve">Road Sign: Beach Danger </v>
      </c>
      <c r="G3337" s="26">
        <f>IF(ISNUMBER(SEARCH("#",B3337)),VALUE(MID(B3337,FIND("#",B3337)+1,1000)),1)</f>
        <v>1</v>
      </c>
      <c r="H3337" t="str">
        <f>IF(AND(regexMatch(B3337,".*#[0-9]*$"),ISNUMBER(SEARCH("#",B3337))),CONCATENATE(TRIM(F3337)," #",G3337),B3337)</f>
        <v>Road Sign: Beach Danger #1</v>
      </c>
    </row>
    <row r="3338" spans="1:8" ht="15.75" thickBot="1" x14ac:dyDescent="0.3">
      <c r="A3338" s="1" t="s">
        <v>5709</v>
      </c>
      <c r="B3338" s="1" t="s">
        <v>10242</v>
      </c>
      <c r="C3338" s="1"/>
      <c r="D3338" s="2" t="s">
        <v>751</v>
      </c>
      <c r="E3338" s="3" t="str">
        <f>IF(ISERROR(VLOOKUP(B3338,Failures!$A$1:$A$4000,1,FALSE)),"Keep","Delete")</f>
        <v>Keep</v>
      </c>
      <c r="F3338" t="str">
        <f>IF(ISNUMBER(SEARCH("#",B3338)), LEFT(B3338,FIND("#",B3338)-1), B3338)</f>
        <v xml:space="preserve">Road Sign: Beach Danger </v>
      </c>
      <c r="G3338" s="26">
        <f>IF(ISNUMBER(SEARCH("#",B3338)),VALUE(MID(B3338,FIND("#",B3338)+1,1000)),1)</f>
        <v>2</v>
      </c>
      <c r="H3338" t="str">
        <f>IF(AND(regexMatch(B3338,".*#[0-9]*$"),ISNUMBER(SEARCH("#",B3338))),CONCATENATE(TRIM(F3338)," #",G3338),B3338)</f>
        <v>Road Sign: Beach Danger #2</v>
      </c>
    </row>
    <row r="3339" spans="1:8" ht="15.75" thickBot="1" x14ac:dyDescent="0.3">
      <c r="A3339" s="1" t="s">
        <v>5711</v>
      </c>
      <c r="B3339" s="1" t="s">
        <v>10240</v>
      </c>
      <c r="C3339" s="1"/>
      <c r="D3339" s="2" t="s">
        <v>751</v>
      </c>
      <c r="E3339" s="3" t="str">
        <f>IF(ISERROR(VLOOKUP(B3339,Failures!$A$1:$A$4000,1,FALSE)),"Keep","Delete")</f>
        <v>Keep</v>
      </c>
      <c r="F3339" t="str">
        <f>IF(ISNUMBER(SEARCH("#",B3339)), LEFT(B3339,FIND("#",B3339)-1), B3339)</f>
        <v xml:space="preserve">Road Sign: Beach Rules </v>
      </c>
      <c r="G3339" s="26">
        <f>IF(ISNUMBER(SEARCH("#",B3339)),VALUE(MID(B3339,FIND("#",B3339)+1,1000)),1)</f>
        <v>1</v>
      </c>
      <c r="H3339" t="str">
        <f>IF(AND(regexMatch(B3339,".*#[0-9]*$"),ISNUMBER(SEARCH("#",B3339))),CONCATENATE(TRIM(F3339)," #",G3339),B3339)</f>
        <v>Road Sign: Beach Rules #1</v>
      </c>
    </row>
    <row r="3340" spans="1:8" ht="15.75" thickBot="1" x14ac:dyDescent="0.3">
      <c r="A3340" s="1" t="s">
        <v>5710</v>
      </c>
      <c r="B3340" s="1" t="s">
        <v>10241</v>
      </c>
      <c r="C3340" s="1"/>
      <c r="D3340" s="2" t="s">
        <v>751</v>
      </c>
      <c r="E3340" s="3" t="str">
        <f>IF(ISERROR(VLOOKUP(B3340,Failures!$A$1:$A$4000,1,FALSE)),"Keep","Delete")</f>
        <v>Keep</v>
      </c>
      <c r="F3340" t="str">
        <f>IF(ISNUMBER(SEARCH("#",B3340)), LEFT(B3340,FIND("#",B3340)-1), B3340)</f>
        <v xml:space="preserve">Road Sign: Beach Rules </v>
      </c>
      <c r="G3340" s="26">
        <f>IF(ISNUMBER(SEARCH("#",B3340)),VALUE(MID(B3340,FIND("#",B3340)+1,1000)),1)</f>
        <v>2</v>
      </c>
      <c r="H3340" t="str">
        <f>IF(AND(regexMatch(B3340,".*#[0-9]*$"),ISNUMBER(SEARCH("#",B3340))),CONCATENATE(TRIM(F3340)," #",G3340),B3340)</f>
        <v>Road Sign: Beach Rules #2</v>
      </c>
    </row>
    <row r="3341" spans="1:8" ht="15.75" thickBot="1" x14ac:dyDescent="0.3">
      <c r="A3341" s="1" t="s">
        <v>5667</v>
      </c>
      <c r="B3341" s="1" t="s">
        <v>10281</v>
      </c>
      <c r="C3341" s="1"/>
      <c r="D3341" s="2" t="s">
        <v>751</v>
      </c>
      <c r="E3341" s="3" t="str">
        <f>IF(ISERROR(VLOOKUP(B3341,Failures!$A$1:$A$4000,1,FALSE)),"Keep","Delete")</f>
        <v>Keep</v>
      </c>
      <c r="F3341" t="str">
        <f>IF(ISNUMBER(SEARCH("#",B3341)), LEFT(B3341,FIND("#",B3341)-1), B3341)</f>
        <v>Road Sign: Bend</v>
      </c>
      <c r="G3341" s="26">
        <f>IF(ISNUMBER(SEARCH("#",B3341)),VALUE(MID(B3341,FIND("#",B3341)+1,1000)),1)</f>
        <v>1</v>
      </c>
      <c r="H3341" t="str">
        <f>IF(AND(regexMatch(B3341,".*#[0-9]*$"),ISNUMBER(SEARCH("#",B3341))),CONCATENATE(TRIM(F3341)," #",G3341),B3341)</f>
        <v>Road Sign: Bend</v>
      </c>
    </row>
    <row r="3342" spans="1:8" ht="15.75" thickBot="1" x14ac:dyDescent="0.3">
      <c r="A3342" s="1" t="s">
        <v>5666</v>
      </c>
      <c r="B3342" s="1" t="s">
        <v>10282</v>
      </c>
      <c r="C3342" s="1"/>
      <c r="D3342" s="2" t="s">
        <v>751</v>
      </c>
      <c r="E3342" s="3" t="str">
        <f>IF(ISERROR(VLOOKUP(B3342,Failures!$A$1:$A$4000,1,FALSE)),"Keep","Delete")</f>
        <v>Keep</v>
      </c>
      <c r="F3342" t="str">
        <f>IF(ISNUMBER(SEARCH("#",B3342)), LEFT(B3342,FIND("#",B3342)-1), B3342)</f>
        <v>Road Sign: Bends</v>
      </c>
      <c r="G3342" s="26">
        <f>IF(ISNUMBER(SEARCH("#",B3342)),VALUE(MID(B3342,FIND("#",B3342)+1,1000)),1)</f>
        <v>1</v>
      </c>
      <c r="H3342" t="str">
        <f>IF(AND(regexMatch(B3342,".*#[0-9]*$"),ISNUMBER(SEARCH("#",B3342))),CONCATENATE(TRIM(F3342)," #",G3342),B3342)</f>
        <v>Road Sign: Bends</v>
      </c>
    </row>
    <row r="3343" spans="1:8" ht="15.75" thickBot="1" x14ac:dyDescent="0.3">
      <c r="A3343" s="1" t="s">
        <v>5705</v>
      </c>
      <c r="B3343" s="1" t="s">
        <v>10246</v>
      </c>
      <c r="C3343" s="1"/>
      <c r="D3343" s="2" t="s">
        <v>751</v>
      </c>
      <c r="E3343" s="3" t="str">
        <f>IF(ISERROR(VLOOKUP(B3343,Failures!$A$1:$A$4000,1,FALSE)),"Keep","Delete")</f>
        <v>Keep</v>
      </c>
      <c r="F3343" t="str">
        <f>IF(ISNUMBER(SEARCH("#",B3343)), LEFT(B3343,FIND("#",B3343)-1), B3343)</f>
        <v>Road Sign: Bike Lane</v>
      </c>
      <c r="G3343" s="26">
        <f>IF(ISNUMBER(SEARCH("#",B3343)),VALUE(MID(B3343,FIND("#",B3343)+1,1000)),1)</f>
        <v>1</v>
      </c>
      <c r="H3343" t="str">
        <f>IF(AND(regexMatch(B3343,".*#[0-9]*$"),ISNUMBER(SEARCH("#",B3343))),CONCATENATE(TRIM(F3343)," #",G3343),B3343)</f>
        <v>Road Sign: Bike Lane</v>
      </c>
    </row>
    <row r="3344" spans="1:8" ht="15.75" thickBot="1" x14ac:dyDescent="0.3">
      <c r="A3344" s="1" t="s">
        <v>5707</v>
      </c>
      <c r="B3344" s="1" t="s">
        <v>10244</v>
      </c>
      <c r="C3344" s="1"/>
      <c r="D3344" s="2" t="s">
        <v>751</v>
      </c>
      <c r="E3344" s="3" t="str">
        <f>IF(ISERROR(VLOOKUP(B3344,Failures!$A$1:$A$4000,1,FALSE)),"Keep","Delete")</f>
        <v>Keep</v>
      </c>
      <c r="F3344" t="str">
        <f>IF(ISNUMBER(SEARCH("#",B3344)), LEFT(B3344,FIND("#",B3344)-1), B3344)</f>
        <v>Road Sign: Bike Route</v>
      </c>
      <c r="G3344" s="26">
        <f>IF(ISNUMBER(SEARCH("#",B3344)),VALUE(MID(B3344,FIND("#",B3344)+1,1000)),1)</f>
        <v>1</v>
      </c>
      <c r="H3344" t="str">
        <f>IF(AND(regexMatch(B3344,".*#[0-9]*$"),ISNUMBER(SEARCH("#",B3344))),CONCATENATE(TRIM(F3344)," #",G3344),B3344)</f>
        <v>Road Sign: Bike Route</v>
      </c>
    </row>
    <row r="3345" spans="1:8" ht="15.75" thickBot="1" x14ac:dyDescent="0.3">
      <c r="A3345" s="1" t="s">
        <v>5704</v>
      </c>
      <c r="B3345" s="1" t="s">
        <v>10247</v>
      </c>
      <c r="C3345" s="1"/>
      <c r="D3345" s="2" t="s">
        <v>751</v>
      </c>
      <c r="E3345" s="3" t="str">
        <f>IF(ISERROR(VLOOKUP(B3345,Failures!$A$1:$A$4000,1,FALSE)),"Keep","Delete")</f>
        <v>Keep</v>
      </c>
      <c r="F3345" t="str">
        <f>IF(ISNUMBER(SEARCH("#",B3345)), LEFT(B3345,FIND("#",B3345)-1), B3345)</f>
        <v>Road Sign: Bikes Only</v>
      </c>
      <c r="G3345" s="26">
        <f>IF(ISNUMBER(SEARCH("#",B3345)),VALUE(MID(B3345,FIND("#",B3345)+1,1000)),1)</f>
        <v>1</v>
      </c>
      <c r="H3345" t="str">
        <f>IF(AND(regexMatch(B3345,".*#[0-9]*$"),ISNUMBER(SEARCH("#",B3345))),CONCATENATE(TRIM(F3345)," #",G3345),B3345)</f>
        <v>Road Sign: Bikes Only</v>
      </c>
    </row>
    <row r="3346" spans="1:8" ht="15.75" thickBot="1" x14ac:dyDescent="0.3">
      <c r="A3346" s="1" t="s">
        <v>5684</v>
      </c>
      <c r="B3346" s="1" t="s">
        <v>10264</v>
      </c>
      <c r="C3346" s="1"/>
      <c r="D3346" s="2" t="s">
        <v>751</v>
      </c>
      <c r="E3346" s="3" t="str">
        <f>IF(ISERROR(VLOOKUP(B3346,Failures!$A$1:$A$4000,1,FALSE)),"Keep","Delete")</f>
        <v>Keep</v>
      </c>
      <c r="F3346" t="str">
        <f>IF(ISNUMBER(SEARCH("#",B3346)), LEFT(B3346,FIND("#",B3346)-1), B3346)</f>
        <v>Road Sign: Bumps</v>
      </c>
      <c r="G3346" s="26">
        <f>IF(ISNUMBER(SEARCH("#",B3346)),VALUE(MID(B3346,FIND("#",B3346)+1,1000)),1)</f>
        <v>1</v>
      </c>
      <c r="H3346" t="str">
        <f>IF(AND(regexMatch(B3346,".*#[0-9]*$"),ISNUMBER(SEARCH("#",B3346))),CONCATENATE(TRIM(F3346)," #",G3346),B3346)</f>
        <v>Road Sign: Bumps</v>
      </c>
    </row>
    <row r="3347" spans="1:8" ht="15.75" thickBot="1" x14ac:dyDescent="0.3">
      <c r="A3347" s="1" t="s">
        <v>5703</v>
      </c>
      <c r="B3347" s="1" t="s">
        <v>10248</v>
      </c>
      <c r="C3347" s="1"/>
      <c r="D3347" s="2" t="s">
        <v>751</v>
      </c>
      <c r="E3347" s="3" t="str">
        <f>IF(ISERROR(VLOOKUP(B3347,Failures!$A$1:$A$4000,1,FALSE)),"Keep","Delete")</f>
        <v>Keep</v>
      </c>
      <c r="F3347" t="str">
        <f>IF(ISNUMBER(SEARCH("#",B3347)), LEFT(B3347,FIND("#",B3347)-1), B3347)</f>
        <v>Road Sign: Car Pool</v>
      </c>
      <c r="G3347" s="26">
        <f>IF(ISNUMBER(SEARCH("#",B3347)),VALUE(MID(B3347,FIND("#",B3347)+1,1000)),1)</f>
        <v>1</v>
      </c>
      <c r="H3347" t="str">
        <f>IF(AND(regexMatch(B3347,".*#[0-9]*$"),ISNUMBER(SEARCH("#",B3347))),CONCATENATE(TRIM(F3347)," #",G3347),B3347)</f>
        <v>Road Sign: Car Pool</v>
      </c>
    </row>
    <row r="3348" spans="1:8" ht="15.75" thickBot="1" x14ac:dyDescent="0.3">
      <c r="A3348" s="7" t="s">
        <v>4208</v>
      </c>
      <c r="B3348" s="9" t="s">
        <v>4439</v>
      </c>
      <c r="C3348" s="9"/>
      <c r="D3348" s="14" t="s">
        <v>751</v>
      </c>
      <c r="E3348" s="3" t="str">
        <f>IF(ISERROR(VLOOKUP(B3348,Failures!$A$1:$A$4000,1,FALSE)),"Keep","Delete")</f>
        <v>Keep</v>
      </c>
      <c r="F3348" t="str">
        <f>IF(ISNUMBER(SEARCH("#",B3348)), LEFT(B3348,FIND("#",B3348)-1), B3348)</f>
        <v>Road Sign: Chevron Left</v>
      </c>
      <c r="G3348" s="26">
        <f>IF(ISNUMBER(SEARCH("#",B3348)),VALUE(MID(B3348,FIND("#",B3348)+1,1000)),1)</f>
        <v>1</v>
      </c>
      <c r="H3348" t="str">
        <f>IF(AND(regexMatch(B3348,".*#[0-9]*$"),ISNUMBER(SEARCH("#",B3348))),CONCATENATE(TRIM(F3348)," #",G3348),B3348)</f>
        <v>Road Sign: Chevron Left</v>
      </c>
    </row>
    <row r="3349" spans="1:8" ht="15.75" thickBot="1" x14ac:dyDescent="0.3">
      <c r="A3349" s="7" t="s">
        <v>4207</v>
      </c>
      <c r="B3349" s="9" t="s">
        <v>4438</v>
      </c>
      <c r="C3349" s="9"/>
      <c r="D3349" s="14" t="s">
        <v>751</v>
      </c>
      <c r="E3349" s="3" t="str">
        <f>IF(ISERROR(VLOOKUP(B3349,Failures!$A$1:$A$4000,1,FALSE)),"Keep","Delete")</f>
        <v>Keep</v>
      </c>
      <c r="F3349" t="str">
        <f>IF(ISNUMBER(SEARCH("#",B3349)), LEFT(B3349,FIND("#",B3349)-1), B3349)</f>
        <v>Road Sign: Chevron Right</v>
      </c>
      <c r="G3349" s="26">
        <f>IF(ISNUMBER(SEARCH("#",B3349)),VALUE(MID(B3349,FIND("#",B3349)+1,1000)),1)</f>
        <v>1</v>
      </c>
      <c r="H3349" t="str">
        <f>IF(AND(regexMatch(B3349,".*#[0-9]*$"),ISNUMBER(SEARCH("#",B3349))),CONCATENATE(TRIM(F3349)," #",G3349),B3349)</f>
        <v>Road Sign: Chevron Right</v>
      </c>
    </row>
    <row r="3350" spans="1:8" ht="15.75" thickBot="1" x14ac:dyDescent="0.3">
      <c r="A3350" s="1" t="s">
        <v>5685</v>
      </c>
      <c r="B3350" s="1" t="s">
        <v>10263</v>
      </c>
      <c r="C3350" s="1"/>
      <c r="D3350" s="2" t="s">
        <v>751</v>
      </c>
      <c r="E3350" s="3" t="str">
        <f>IF(ISERROR(VLOOKUP(B3350,Failures!$A$1:$A$4000,1,FALSE)),"Keep","Delete")</f>
        <v>Keep</v>
      </c>
      <c r="F3350" t="str">
        <f>IF(ISNUMBER(SEARCH("#",B3350)), LEFT(B3350,FIND("#",B3350)-1), B3350)</f>
        <v>Road Sign: Children</v>
      </c>
      <c r="G3350" s="26">
        <f>IF(ISNUMBER(SEARCH("#",B3350)),VALUE(MID(B3350,FIND("#",B3350)+1,1000)),1)</f>
        <v>1</v>
      </c>
      <c r="H3350" t="str">
        <f>IF(AND(regexMatch(B3350,".*#[0-9]*$"),ISNUMBER(SEARCH("#",B3350))),CONCATENATE(TRIM(F3350)," #",G3350),B3350)</f>
        <v>Road Sign: Children</v>
      </c>
    </row>
    <row r="3351" spans="1:8" ht="15.75" thickBot="1" x14ac:dyDescent="0.3">
      <c r="A3351" s="1" t="s">
        <v>5683</v>
      </c>
      <c r="B3351" s="1" t="s">
        <v>10265</v>
      </c>
      <c r="C3351" s="1"/>
      <c r="D3351" s="2" t="s">
        <v>751</v>
      </c>
      <c r="E3351" s="3" t="str">
        <f>IF(ISERROR(VLOOKUP(B3351,Failures!$A$1:$A$4000,1,FALSE)),"Keep","Delete")</f>
        <v>Keep</v>
      </c>
      <c r="F3351" t="str">
        <f>IF(ISNUMBER(SEARCH("#",B3351)), LEFT(B3351,FIND("#",B3351)-1), B3351)</f>
        <v>Road Sign: Cows</v>
      </c>
      <c r="G3351" s="26">
        <f>IF(ISNUMBER(SEARCH("#",B3351)),VALUE(MID(B3351,FIND("#",B3351)+1,1000)),1)</f>
        <v>1</v>
      </c>
      <c r="H3351" t="str">
        <f>IF(AND(regexMatch(B3351,".*#[0-9]*$"),ISNUMBER(SEARCH("#",B3351))),CONCATENATE(TRIM(F3351)," #",G3351),B3351)</f>
        <v>Road Sign: Cows</v>
      </c>
    </row>
    <row r="3352" spans="1:8" ht="15.75" thickBot="1" x14ac:dyDescent="0.3">
      <c r="A3352" s="1" t="s">
        <v>5686</v>
      </c>
      <c r="B3352" s="1" t="s">
        <v>10262</v>
      </c>
      <c r="C3352" s="1"/>
      <c r="D3352" s="2" t="s">
        <v>751</v>
      </c>
      <c r="E3352" s="3" t="str">
        <f>IF(ISERROR(VLOOKUP(B3352,Failures!$A$1:$A$4000,1,FALSE)),"Keep","Delete")</f>
        <v>Keep</v>
      </c>
      <c r="F3352" t="str">
        <f>IF(ISNUMBER(SEARCH("#",B3352)), LEFT(B3352,FIND("#",B3352)-1), B3352)</f>
        <v>Road Sign: Crossing</v>
      </c>
      <c r="G3352" s="26">
        <f>IF(ISNUMBER(SEARCH("#",B3352)),VALUE(MID(B3352,FIND("#",B3352)+1,1000)),1)</f>
        <v>1</v>
      </c>
      <c r="H3352" t="str">
        <f>IF(AND(regexMatch(B3352,".*#[0-9]*$"),ISNUMBER(SEARCH("#",B3352))),CONCATENATE(TRIM(F3352)," #",G3352),B3352)</f>
        <v>Road Sign: Crossing</v>
      </c>
    </row>
    <row r="3353" spans="1:8" ht="15.75" thickBot="1" x14ac:dyDescent="0.3">
      <c r="A3353" s="1" t="s">
        <v>5682</v>
      </c>
      <c r="B3353" s="1" t="s">
        <v>10266</v>
      </c>
      <c r="C3353" s="1"/>
      <c r="D3353" s="2" t="s">
        <v>751</v>
      </c>
      <c r="E3353" s="3" t="str">
        <f>IF(ISERROR(VLOOKUP(B3353,Failures!$A$1:$A$4000,1,FALSE)),"Keep","Delete")</f>
        <v>Keep</v>
      </c>
      <c r="F3353" t="str">
        <f>IF(ISNUMBER(SEARCH("#",B3353)), LEFT(B3353,FIND("#",B3353)-1), B3353)</f>
        <v>Road Sign: Deer</v>
      </c>
      <c r="G3353" s="26">
        <f>IF(ISNUMBER(SEARCH("#",B3353)),VALUE(MID(B3353,FIND("#",B3353)+1,1000)),1)</f>
        <v>1</v>
      </c>
      <c r="H3353" t="str">
        <f>IF(AND(regexMatch(B3353,".*#[0-9]*$"),ISNUMBER(SEARCH("#",B3353))),CONCATENATE(TRIM(F3353)," #",G3353),B3353)</f>
        <v>Road Sign: Deer</v>
      </c>
    </row>
    <row r="3354" spans="1:8" ht="15.75" thickBot="1" x14ac:dyDescent="0.3">
      <c r="A3354" s="1" t="s">
        <v>5784</v>
      </c>
      <c r="B3354" s="1" t="s">
        <v>10387</v>
      </c>
      <c r="C3354" s="1"/>
      <c r="D3354" s="2" t="s">
        <v>751</v>
      </c>
      <c r="E3354" s="3" t="str">
        <f>IF(ISERROR(VLOOKUP(B3354,Failures!$A$1:$A$4000,1,FALSE)),"Keep","Delete")</f>
        <v>Keep</v>
      </c>
      <c r="F3354" t="str">
        <f>IF(ISNUMBER(SEARCH("#",B3354)), LEFT(B3354,FIND("#",B3354)-1), B3354)</f>
        <v>Road Sign: Directions</v>
      </c>
      <c r="G3354" s="26">
        <f>IF(ISNUMBER(SEARCH("#",B3354)),VALUE(MID(B3354,FIND("#",B3354)+1,1000)),1)</f>
        <v>1</v>
      </c>
      <c r="H3354" t="str">
        <f>IF(AND(regexMatch(B3354,".*#[0-9]*$"),ISNUMBER(SEARCH("#",B3354))),CONCATENATE(TRIM(F3354)," #",G3354),B3354)</f>
        <v>Road Sign: Directions</v>
      </c>
    </row>
    <row r="3355" spans="1:8" ht="15.75" thickBot="1" x14ac:dyDescent="0.3">
      <c r="A3355" s="1" t="s">
        <v>5700</v>
      </c>
      <c r="B3355" s="1" t="s">
        <v>10251</v>
      </c>
      <c r="C3355" s="1"/>
      <c r="D3355" s="2" t="s">
        <v>751</v>
      </c>
      <c r="E3355" s="3" t="str">
        <f>IF(ISERROR(VLOOKUP(B3355,Failures!$A$1:$A$4000,1,FALSE)),"Keep","Delete")</f>
        <v>Keep</v>
      </c>
      <c r="F3355" t="str">
        <f>IF(ISNUMBER(SEARCH("#",B3355)), LEFT(B3355,FIND("#",B3355)-1), B3355)</f>
        <v>Road Sign: Dog Defecation</v>
      </c>
      <c r="G3355" s="26">
        <f>IF(ISNUMBER(SEARCH("#",B3355)),VALUE(MID(B3355,FIND("#",B3355)+1,1000)),1)</f>
        <v>1</v>
      </c>
      <c r="H3355" t="str">
        <f>IF(AND(regexMatch(B3355,".*#[0-9]*$"),ISNUMBER(SEARCH("#",B3355))),CONCATENATE(TRIM(F3355)," #",G3355),B3355)</f>
        <v>Road Sign: Dog Defecation</v>
      </c>
    </row>
    <row r="3356" spans="1:8" ht="15.75" thickBot="1" x14ac:dyDescent="0.3">
      <c r="A3356" s="1" t="s">
        <v>5734</v>
      </c>
      <c r="B3356" s="1" t="s">
        <v>10218</v>
      </c>
      <c r="C3356" s="1"/>
      <c r="D3356" s="2" t="s">
        <v>751</v>
      </c>
      <c r="E3356" s="3" t="str">
        <f>IF(ISERROR(VLOOKUP(B3356,Failures!$A$1:$A$4000,1,FALSE)),"Keep","Delete")</f>
        <v>Keep</v>
      </c>
      <c r="F3356" t="str">
        <f>IF(ISNUMBER(SEARCH("#",B3356)), LEFT(B3356,FIND("#",B3356)-1), B3356)</f>
        <v>Road Sign: Don't Block Intersection</v>
      </c>
      <c r="G3356" s="26">
        <f>IF(ISNUMBER(SEARCH("#",B3356)),VALUE(MID(B3356,FIND("#",B3356)+1,1000)),1)</f>
        <v>1</v>
      </c>
      <c r="H3356" t="str">
        <f>IF(AND(regexMatch(B3356,".*#[0-9]*$"),ISNUMBER(SEARCH("#",B3356))),CONCATENATE(TRIM(F3356)," #",G3356),B3356)</f>
        <v>Road Sign: Don't Block Intersection</v>
      </c>
    </row>
    <row r="3357" spans="1:8" ht="15.75" thickBot="1" x14ac:dyDescent="0.3">
      <c r="A3357" s="1" t="s">
        <v>5681</v>
      </c>
      <c r="B3357" s="1" t="s">
        <v>10267</v>
      </c>
      <c r="C3357" s="1"/>
      <c r="D3357" s="2" t="s">
        <v>751</v>
      </c>
      <c r="E3357" s="3" t="str">
        <f>IF(ISERROR(VLOOKUP(B3357,Failures!$A$1:$A$4000,1,FALSE)),"Keep","Delete")</f>
        <v>Keep</v>
      </c>
      <c r="F3357" t="str">
        <f>IF(ISNUMBER(SEARCH("#",B3357)), LEFT(B3357,FIND("#",B3357)-1), B3357)</f>
        <v>Road Sign: Ducks</v>
      </c>
      <c r="G3357" s="26">
        <f>IF(ISNUMBER(SEARCH("#",B3357)),VALUE(MID(B3357,FIND("#",B3357)+1,1000)),1)</f>
        <v>1</v>
      </c>
      <c r="H3357" t="str">
        <f>IF(AND(regexMatch(B3357,".*#[0-9]*$"),ISNUMBER(SEARCH("#",B3357))),CONCATENATE(TRIM(F3357)," #",G3357),B3357)</f>
        <v>Road Sign: Ducks</v>
      </c>
    </row>
    <row r="3358" spans="1:8" ht="15.75" thickBot="1" x14ac:dyDescent="0.3">
      <c r="A3358" s="1" t="s">
        <v>5655</v>
      </c>
      <c r="B3358" s="1" t="s">
        <v>10293</v>
      </c>
      <c r="C3358" s="1"/>
      <c r="D3358" s="2" t="s">
        <v>751</v>
      </c>
      <c r="E3358" s="3" t="str">
        <f>IF(ISERROR(VLOOKUP(B3358,Failures!$A$1:$A$4000,1,FALSE)),"Keep","Delete")</f>
        <v>Keep</v>
      </c>
      <c r="F3358" t="str">
        <f>IF(ISNUMBER(SEARCH("#",B3358)), LEFT(B3358,FIND("#",B3358)-1), B3358)</f>
        <v>Road Sign: Exit 25MPH</v>
      </c>
      <c r="G3358" s="26">
        <f>IF(ISNUMBER(SEARCH("#",B3358)),VALUE(MID(B3358,FIND("#",B3358)+1,1000)),1)</f>
        <v>1</v>
      </c>
      <c r="H3358" t="str">
        <f>IF(AND(regexMatch(B3358,".*#[0-9]*$"),ISNUMBER(SEARCH("#",B3358))),CONCATENATE(TRIM(F3358)," #",G3358),B3358)</f>
        <v>Road Sign: Exit 25MPH</v>
      </c>
    </row>
    <row r="3359" spans="1:8" ht="15.75" thickBot="1" x14ac:dyDescent="0.3">
      <c r="A3359" s="1" t="s">
        <v>5654</v>
      </c>
      <c r="B3359" s="1" t="s">
        <v>10294</v>
      </c>
      <c r="C3359" s="1"/>
      <c r="D3359" s="2" t="s">
        <v>751</v>
      </c>
      <c r="E3359" s="3" t="str">
        <f>IF(ISERROR(VLOOKUP(B3359,Failures!$A$1:$A$4000,1,FALSE)),"Keep","Delete")</f>
        <v>Keep</v>
      </c>
      <c r="F3359" t="str">
        <f>IF(ISNUMBER(SEARCH("#",B3359)), LEFT(B3359,FIND("#",B3359)-1), B3359)</f>
        <v>Road Sign: Exit 55MPH</v>
      </c>
      <c r="G3359" s="26">
        <f>IF(ISNUMBER(SEARCH("#",B3359)),VALUE(MID(B3359,FIND("#",B3359)+1,1000)),1)</f>
        <v>1</v>
      </c>
      <c r="H3359" t="str">
        <f>IF(AND(regexMatch(B3359,".*#[0-9]*$"),ISNUMBER(SEARCH("#",B3359))),CONCATENATE(TRIM(F3359)," #",G3359),B3359)</f>
        <v>Road Sign: Exit 55MPH</v>
      </c>
    </row>
    <row r="3360" spans="1:8" ht="15.75" thickBot="1" x14ac:dyDescent="0.3">
      <c r="A3360" s="1" t="s">
        <v>5782</v>
      </c>
      <c r="B3360" s="1" t="s">
        <v>10385</v>
      </c>
      <c r="C3360" s="1"/>
      <c r="D3360" s="2" t="s">
        <v>751</v>
      </c>
      <c r="E3360" s="3" t="str">
        <f>IF(ISERROR(VLOOKUP(B3360,Failures!$A$1:$A$4000,1,FALSE)),"Keep","Delete")</f>
        <v>Keep</v>
      </c>
      <c r="F3360" t="str">
        <f>IF(ISNUMBER(SEARCH("#",B3360)), LEFT(B3360,FIND("#",B3360)-1), B3360)</f>
        <v>Road Sign: Exit Direction</v>
      </c>
      <c r="G3360" s="26">
        <f>IF(ISNUMBER(SEARCH("#",B3360)),VALUE(MID(B3360,FIND("#",B3360)+1,1000)),1)</f>
        <v>1</v>
      </c>
      <c r="H3360" t="str">
        <f>IF(AND(regexMatch(B3360,".*#[0-9]*$"),ISNUMBER(SEARCH("#",B3360))),CONCATENATE(TRIM(F3360)," #",G3360),B3360)</f>
        <v>Road Sign: Exit Direction</v>
      </c>
    </row>
    <row r="3361" spans="1:8" ht="15.75" thickBot="1" x14ac:dyDescent="0.3">
      <c r="A3361" s="1" t="s">
        <v>5716</v>
      </c>
      <c r="B3361" s="1" t="s">
        <v>10235</v>
      </c>
      <c r="C3361" s="1"/>
      <c r="D3361" s="2" t="s">
        <v>751</v>
      </c>
      <c r="E3361" s="3" t="str">
        <f>IF(ISERROR(VLOOKUP(B3361,Failures!$A$1:$A$4000,1,FALSE)),"Keep","Delete")</f>
        <v>Keep</v>
      </c>
      <c r="F3361" t="str">
        <f>IF(ISNUMBER(SEARCH("#",B3361)), LEFT(B3361,FIND("#",B3361)-1), B3361)</f>
        <v>Road Sign: Exit Only</v>
      </c>
      <c r="G3361" s="26">
        <f>IF(ISNUMBER(SEARCH("#",B3361)),VALUE(MID(B3361,FIND("#",B3361)+1,1000)),1)</f>
        <v>1</v>
      </c>
      <c r="H3361" t="str">
        <f>IF(AND(regexMatch(B3361,".*#[0-9]*$"),ISNUMBER(SEARCH("#",B3361))),CONCATENATE(TRIM(F3361)," #",G3361),B3361)</f>
        <v>Road Sign: Exit Only</v>
      </c>
    </row>
    <row r="3362" spans="1:8" ht="15.75" thickBot="1" x14ac:dyDescent="0.3">
      <c r="A3362" s="1" t="s">
        <v>5680</v>
      </c>
      <c r="B3362" s="1" t="s">
        <v>10268</v>
      </c>
      <c r="C3362" s="1"/>
      <c r="D3362" s="2" t="s">
        <v>751</v>
      </c>
      <c r="E3362" s="3" t="str">
        <f>IF(ISERROR(VLOOKUP(B3362,Failures!$A$1:$A$4000,1,FALSE)),"Keep","Delete")</f>
        <v>Keep</v>
      </c>
      <c r="F3362" t="str">
        <f>IF(ISNUMBER(SEARCH("#",B3362)), LEFT(B3362,FIND("#",B3362)-1), B3362)</f>
        <v>Road Sign: Falling Rocks</v>
      </c>
      <c r="G3362" s="26">
        <f>IF(ISNUMBER(SEARCH("#",B3362)),VALUE(MID(B3362,FIND("#",B3362)+1,1000)),1)</f>
        <v>1</v>
      </c>
      <c r="H3362" t="str">
        <f>IF(AND(regexMatch(B3362,".*#[0-9]*$"),ISNUMBER(SEARCH("#",B3362))),CONCATENATE(TRIM(F3362)," #",G3362),B3362)</f>
        <v>Road Sign: Falling Rocks</v>
      </c>
    </row>
    <row r="3363" spans="1:8" ht="15.75" thickBot="1" x14ac:dyDescent="0.3">
      <c r="A3363" s="1" t="s">
        <v>5679</v>
      </c>
      <c r="B3363" s="1" t="s">
        <v>10269</v>
      </c>
      <c r="C3363" s="1"/>
      <c r="D3363" s="2" t="s">
        <v>751</v>
      </c>
      <c r="E3363" s="3" t="str">
        <f>IF(ISERROR(VLOOKUP(B3363,Failures!$A$1:$A$4000,1,FALSE)),"Keep","Delete")</f>
        <v>Keep</v>
      </c>
      <c r="F3363" t="str">
        <f>IF(ISNUMBER(SEARCH("#",B3363)), LEFT(B3363,FIND("#",B3363)-1), B3363)</f>
        <v>Road Sign: Floods</v>
      </c>
      <c r="G3363" s="26">
        <f>IF(ISNUMBER(SEARCH("#",B3363)),VALUE(MID(B3363,FIND("#",B3363)+1,1000)),1)</f>
        <v>1</v>
      </c>
      <c r="H3363" t="str">
        <f>IF(AND(regexMatch(B3363,".*#[0-9]*$"),ISNUMBER(SEARCH("#",B3363))),CONCATENATE(TRIM(F3363)," #",G3363),B3363)</f>
        <v>Road Sign: Floods</v>
      </c>
    </row>
    <row r="3364" spans="1:8" ht="15.75" thickBot="1" x14ac:dyDescent="0.3">
      <c r="A3364" s="1" t="s">
        <v>5756</v>
      </c>
      <c r="B3364" s="1" t="s">
        <v>10196</v>
      </c>
      <c r="C3364" s="1"/>
      <c r="D3364" s="2" t="s">
        <v>751</v>
      </c>
      <c r="E3364" s="3" t="str">
        <f>IF(ISERROR(VLOOKUP(B3364,Failures!$A$1:$A$4000,1,FALSE)),"Keep","Delete")</f>
        <v>Keep</v>
      </c>
      <c r="F3364" t="str">
        <f>IF(ISNUMBER(SEARCH("#",B3364)), LEFT(B3364,FIND("#",B3364)-1), B3364)</f>
        <v>Road Sign: Freeway Entrance</v>
      </c>
      <c r="G3364" s="26">
        <f>IF(ISNUMBER(SEARCH("#",B3364)),VALUE(MID(B3364,FIND("#",B3364)+1,1000)),1)</f>
        <v>1</v>
      </c>
      <c r="H3364" t="str">
        <f>IF(AND(regexMatch(B3364,".*#[0-9]*$"),ISNUMBER(SEARCH("#",B3364))),CONCATENATE(TRIM(F3364)," #",G3364),B3364)</f>
        <v>Road Sign: Freeway Entrance</v>
      </c>
    </row>
    <row r="3365" spans="1:8" ht="15.75" thickBot="1" x14ac:dyDescent="0.3">
      <c r="A3365" s="1" t="s">
        <v>5738</v>
      </c>
      <c r="B3365" s="1" t="s">
        <v>10214</v>
      </c>
      <c r="C3365" s="1"/>
      <c r="D3365" s="2" t="s">
        <v>751</v>
      </c>
      <c r="E3365" s="3" t="str">
        <f>IF(ISERROR(VLOOKUP(B3365,Failures!$A$1:$A$4000,1,FALSE)),"Keep","Delete")</f>
        <v>Keep</v>
      </c>
      <c r="F3365" t="str">
        <f>IF(ISNUMBER(SEARCH("#",B3365)), LEFT(B3365,FIND("#",B3365)-1), B3365)</f>
        <v>Road Sign: Give Way</v>
      </c>
      <c r="G3365" s="26">
        <f>IF(ISNUMBER(SEARCH("#",B3365)),VALUE(MID(B3365,FIND("#",B3365)+1,1000)),1)</f>
        <v>1</v>
      </c>
      <c r="H3365" t="str">
        <f>IF(AND(regexMatch(B3365,".*#[0-9]*$"),ISNUMBER(SEARCH("#",B3365))),CONCATENATE(TRIM(F3365)," #",G3365),B3365)</f>
        <v>Road Sign: Give Way</v>
      </c>
    </row>
    <row r="3366" spans="1:8" ht="15.75" thickBot="1" x14ac:dyDescent="0.3">
      <c r="A3366" s="1" t="s">
        <v>5678</v>
      </c>
      <c r="B3366" s="1" t="s">
        <v>10270</v>
      </c>
      <c r="C3366" s="1"/>
      <c r="D3366" s="2" t="s">
        <v>751</v>
      </c>
      <c r="E3366" s="3" t="str">
        <f>IF(ISERROR(VLOOKUP(B3366,Failures!$A$1:$A$4000,1,FALSE)),"Keep","Delete")</f>
        <v>Keep</v>
      </c>
      <c r="F3366" t="str">
        <f>IF(ISNUMBER(SEARCH("#",B3366)), LEFT(B3366,FIND("#",B3366)-1), B3366)</f>
        <v>Road Sign: Hidden Intersection</v>
      </c>
      <c r="G3366" s="26">
        <f>IF(ISNUMBER(SEARCH("#",B3366)),VALUE(MID(B3366,FIND("#",B3366)+1,1000)),1)</f>
        <v>1</v>
      </c>
      <c r="H3366" t="str">
        <f>IF(AND(regexMatch(B3366,".*#[0-9]*$"),ISNUMBER(SEARCH("#",B3366))),CONCATENATE(TRIM(F3366)," #",G3366),B3366)</f>
        <v>Road Sign: Hidden Intersection</v>
      </c>
    </row>
    <row r="3367" spans="1:8" ht="15.75" thickBot="1" x14ac:dyDescent="0.3">
      <c r="A3367" s="1" t="s">
        <v>5677</v>
      </c>
      <c r="B3367" s="1" t="s">
        <v>10271</v>
      </c>
      <c r="C3367" s="1"/>
      <c r="D3367" s="2" t="s">
        <v>751</v>
      </c>
      <c r="E3367" s="3" t="str">
        <f>IF(ISERROR(VLOOKUP(B3367,Failures!$A$1:$A$4000,1,FALSE)),"Keep","Delete")</f>
        <v>Keep</v>
      </c>
      <c r="F3367" t="str">
        <f>IF(ISNUMBER(SEARCH("#",B3367)), LEFT(B3367,FIND("#",B3367)-1), B3367)</f>
        <v>Road Sign: Horses</v>
      </c>
      <c r="G3367" s="26">
        <f>IF(ISNUMBER(SEARCH("#",B3367)),VALUE(MID(B3367,FIND("#",B3367)+1,1000)),1)</f>
        <v>1</v>
      </c>
      <c r="H3367" t="str">
        <f>IF(AND(regexMatch(B3367,".*#[0-9]*$"),ISNUMBER(SEARCH("#",B3367))),CONCATENATE(TRIM(F3367)," #",G3367),B3367)</f>
        <v>Road Sign: Horses</v>
      </c>
    </row>
    <row r="3368" spans="1:8" ht="15.75" thickBot="1" x14ac:dyDescent="0.3">
      <c r="A3368" s="1" t="s">
        <v>5735</v>
      </c>
      <c r="B3368" s="1" t="s">
        <v>10217</v>
      </c>
      <c r="C3368" s="1"/>
      <c r="D3368" s="2" t="s">
        <v>751</v>
      </c>
      <c r="E3368" s="3" t="str">
        <f>IF(ISERROR(VLOOKUP(B3368,Failures!$A$1:$A$4000,1,FALSE)),"Keep","Delete")</f>
        <v>Keep</v>
      </c>
      <c r="F3368" t="str">
        <f>IF(ISNUMBER(SEARCH("#",B3368)), LEFT(B3368,FIND("#",B3368)-1), B3368)</f>
        <v>Road Sign: Hospital</v>
      </c>
      <c r="G3368" s="26">
        <f>IF(ISNUMBER(SEARCH("#",B3368)),VALUE(MID(B3368,FIND("#",B3368)+1,1000)),1)</f>
        <v>1</v>
      </c>
      <c r="H3368" t="str">
        <f>IF(AND(regexMatch(B3368,".*#[0-9]*$"),ISNUMBER(SEARCH("#",B3368))),CONCATENATE(TRIM(F3368)," #",G3368),B3368)</f>
        <v>Road Sign: Hospital</v>
      </c>
    </row>
    <row r="3369" spans="1:8" ht="15.75" thickBot="1" x14ac:dyDescent="0.3">
      <c r="A3369" s="1" t="s">
        <v>5751</v>
      </c>
      <c r="B3369" s="1" t="s">
        <v>10201</v>
      </c>
      <c r="C3369" s="1"/>
      <c r="D3369" s="2" t="s">
        <v>751</v>
      </c>
      <c r="E3369" s="3" t="str">
        <f>IF(ISERROR(VLOOKUP(B3369,Failures!$A$1:$A$4000,1,FALSE)),"Keep","Delete")</f>
        <v>Keep</v>
      </c>
      <c r="F3369" t="str">
        <f>IF(ISNUMBER(SEARCH("#",B3369)), LEFT(B3369,FIND("#",B3369)-1), B3369)</f>
        <v xml:space="preserve">Road Sign: Interstate </v>
      </c>
      <c r="G3369" s="26">
        <f>IF(ISNUMBER(SEARCH("#",B3369)),VALUE(MID(B3369,FIND("#",B3369)+1,1000)),1)</f>
        <v>1</v>
      </c>
      <c r="H3369" t="str">
        <f>IF(AND(regexMatch(B3369,".*#[0-9]*$"),ISNUMBER(SEARCH("#",B3369))),CONCATENATE(TRIM(F3369)," #",G3369),B3369)</f>
        <v>Road Sign: Interstate #1</v>
      </c>
    </row>
    <row r="3370" spans="1:8" ht="15.75" thickBot="1" x14ac:dyDescent="0.3">
      <c r="A3370" s="1" t="s">
        <v>5750</v>
      </c>
      <c r="B3370" s="1" t="s">
        <v>10202</v>
      </c>
      <c r="C3370" s="1"/>
      <c r="D3370" s="2" t="s">
        <v>751</v>
      </c>
      <c r="E3370" s="3" t="str">
        <f>IF(ISERROR(VLOOKUP(B3370,Failures!$A$1:$A$4000,1,FALSE)),"Keep","Delete")</f>
        <v>Keep</v>
      </c>
      <c r="F3370" t="str">
        <f>IF(ISNUMBER(SEARCH("#",B3370)), LEFT(B3370,FIND("#",B3370)-1), B3370)</f>
        <v xml:space="preserve">Road Sign: Interstate </v>
      </c>
      <c r="G3370" s="26">
        <f>IF(ISNUMBER(SEARCH("#",B3370)),VALUE(MID(B3370,FIND("#",B3370)+1,1000)),1)</f>
        <v>2</v>
      </c>
      <c r="H3370" t="str">
        <f>IF(AND(regexMatch(B3370,".*#[0-9]*$"),ISNUMBER(SEARCH("#",B3370))),CONCATENATE(TRIM(F3370)," #",G3370),B3370)</f>
        <v>Road Sign: Interstate #2</v>
      </c>
    </row>
    <row r="3371" spans="1:8" ht="15.75" thickBot="1" x14ac:dyDescent="0.3">
      <c r="A3371" s="1" t="s">
        <v>5749</v>
      </c>
      <c r="B3371" s="1" t="s">
        <v>10203</v>
      </c>
      <c r="C3371" s="1"/>
      <c r="D3371" s="2" t="s">
        <v>751</v>
      </c>
      <c r="E3371" s="3" t="str">
        <f>IF(ISERROR(VLOOKUP(B3371,Failures!$A$1:$A$4000,1,FALSE)),"Keep","Delete")</f>
        <v>Keep</v>
      </c>
      <c r="F3371" t="str">
        <f>IF(ISNUMBER(SEARCH("#",B3371)), LEFT(B3371,FIND("#",B3371)-1), B3371)</f>
        <v xml:space="preserve">Road Sign: Interstate </v>
      </c>
      <c r="G3371" s="26">
        <f>IF(ISNUMBER(SEARCH("#",B3371)),VALUE(MID(B3371,FIND("#",B3371)+1,1000)),1)</f>
        <v>3</v>
      </c>
      <c r="H3371" t="str">
        <f>IF(AND(regexMatch(B3371,".*#[0-9]*$"),ISNUMBER(SEARCH("#",B3371))),CONCATENATE(TRIM(F3371)," #",G3371),B3371)</f>
        <v>Road Sign: Interstate #3</v>
      </c>
    </row>
    <row r="3372" spans="1:8" ht="15.75" thickBot="1" x14ac:dyDescent="0.3">
      <c r="A3372" s="1" t="s">
        <v>5748</v>
      </c>
      <c r="B3372" s="1" t="s">
        <v>10204</v>
      </c>
      <c r="C3372" s="1"/>
      <c r="D3372" s="2" t="s">
        <v>751</v>
      </c>
      <c r="E3372" s="3" t="str">
        <f>IF(ISERROR(VLOOKUP(B3372,Failures!$A$1:$A$4000,1,FALSE)),"Keep","Delete")</f>
        <v>Keep</v>
      </c>
      <c r="F3372" t="str">
        <f>IF(ISNUMBER(SEARCH("#",B3372)), LEFT(B3372,FIND("#",B3372)-1), B3372)</f>
        <v xml:space="preserve">Road Sign: Interstate </v>
      </c>
      <c r="G3372" s="26">
        <f>IF(ISNUMBER(SEARCH("#",B3372)),VALUE(MID(B3372,FIND("#",B3372)+1,1000)),1)</f>
        <v>4</v>
      </c>
      <c r="H3372" t="str">
        <f>IF(AND(regexMatch(B3372,".*#[0-9]*$"),ISNUMBER(SEARCH("#",B3372))),CONCATENATE(TRIM(F3372)," #",G3372),B3372)</f>
        <v>Road Sign: Interstate #4</v>
      </c>
    </row>
    <row r="3373" spans="1:8" ht="15.75" thickBot="1" x14ac:dyDescent="0.3">
      <c r="A3373" s="1" t="s">
        <v>5747</v>
      </c>
      <c r="B3373" s="1" t="s">
        <v>10205</v>
      </c>
      <c r="C3373" s="1"/>
      <c r="D3373" s="2" t="s">
        <v>751</v>
      </c>
      <c r="E3373" s="3" t="str">
        <f>IF(ISERROR(VLOOKUP(B3373,Failures!$A$1:$A$4000,1,FALSE)),"Keep","Delete")</f>
        <v>Keep</v>
      </c>
      <c r="F3373" t="str">
        <f>IF(ISNUMBER(SEARCH("#",B3373)), LEFT(B3373,FIND("#",B3373)-1), B3373)</f>
        <v xml:space="preserve">Road Sign: Interstate </v>
      </c>
      <c r="G3373" s="26">
        <f>IF(ISNUMBER(SEARCH("#",B3373)),VALUE(MID(B3373,FIND("#",B3373)+1,1000)),1)</f>
        <v>5</v>
      </c>
      <c r="H3373" t="str">
        <f>IF(AND(regexMatch(B3373,".*#[0-9]*$"),ISNUMBER(SEARCH("#",B3373))),CONCATENATE(TRIM(F3373)," #",G3373),B3373)</f>
        <v>Road Sign: Interstate #5</v>
      </c>
    </row>
    <row r="3374" spans="1:8" ht="15.75" thickBot="1" x14ac:dyDescent="0.3">
      <c r="A3374" s="1" t="s">
        <v>5675</v>
      </c>
      <c r="B3374" s="1" t="s">
        <v>10273</v>
      </c>
      <c r="C3374" s="1"/>
      <c r="D3374" s="2" t="s">
        <v>751</v>
      </c>
      <c r="E3374" s="3" t="str">
        <f>IF(ISERROR(VLOOKUP(B3374,Failures!$A$1:$A$4000,1,FALSE)),"Keep","Delete")</f>
        <v>Keep</v>
      </c>
      <c r="F3374" t="str">
        <f>IF(ISNUMBER(SEARCH("#",B3374)), LEFT(B3374,FIND("#",B3374)-1), B3374)</f>
        <v>Road Sign: Joins</v>
      </c>
      <c r="G3374" s="26">
        <f>IF(ISNUMBER(SEARCH("#",B3374)),VALUE(MID(B3374,FIND("#",B3374)+1,1000)),1)</f>
        <v>1</v>
      </c>
      <c r="H3374" t="str">
        <f>IF(AND(regexMatch(B3374,".*#[0-9]*$"),ISNUMBER(SEARCH("#",B3374))),CONCATENATE(TRIM(F3374)," #",G3374),B3374)</f>
        <v>Road Sign: Joins</v>
      </c>
    </row>
    <row r="3375" spans="1:8" ht="15.75" thickBot="1" x14ac:dyDescent="0.3">
      <c r="A3375" s="1" t="s">
        <v>5665</v>
      </c>
      <c r="B3375" s="1" t="s">
        <v>10283</v>
      </c>
      <c r="C3375" s="1"/>
      <c r="D3375" s="2" t="s">
        <v>751</v>
      </c>
      <c r="E3375" s="3" t="str">
        <f>IF(ISERROR(VLOOKUP(B3375,Failures!$A$1:$A$4000,1,FALSE)),"Keep","Delete")</f>
        <v>Keep</v>
      </c>
      <c r="F3375" t="str">
        <f>IF(ISNUMBER(SEARCH("#",B3375)), LEFT(B3375,FIND("#",B3375)-1), B3375)</f>
        <v>Road Sign: Junction</v>
      </c>
      <c r="G3375" s="26">
        <f>IF(ISNUMBER(SEARCH("#",B3375)),VALUE(MID(B3375,FIND("#",B3375)+1,1000)),1)</f>
        <v>1</v>
      </c>
      <c r="H3375" t="str">
        <f>IF(AND(regexMatch(B3375,".*#[0-9]*$"),ISNUMBER(SEARCH("#",B3375))),CONCATENATE(TRIM(F3375)," #",G3375),B3375)</f>
        <v>Road Sign: Junction</v>
      </c>
    </row>
    <row r="3376" spans="1:8" ht="15.75" thickBot="1" x14ac:dyDescent="0.3">
      <c r="A3376" s="1" t="s">
        <v>5702</v>
      </c>
      <c r="B3376" s="1" t="s">
        <v>10249</v>
      </c>
      <c r="C3376" s="1"/>
      <c r="D3376" s="2" t="s">
        <v>751</v>
      </c>
      <c r="E3376" s="3" t="str">
        <f>IF(ISERROR(VLOOKUP(B3376,Failures!$A$1:$A$4000,1,FALSE)),"Keep","Delete")</f>
        <v>Keep</v>
      </c>
      <c r="F3376" t="str">
        <f>IF(ISNUMBER(SEARCH("#",B3376)), LEFT(B3376,FIND("#",B3376)-1), B3376)</f>
        <v>Road Sign: Keep Off Dike</v>
      </c>
      <c r="G3376" s="26">
        <f>IF(ISNUMBER(SEARCH("#",B3376)),VALUE(MID(B3376,FIND("#",B3376)+1,1000)),1)</f>
        <v>1</v>
      </c>
      <c r="H3376" t="str">
        <f>IF(AND(regexMatch(B3376,".*#[0-9]*$"),ISNUMBER(SEARCH("#",B3376))),CONCATENATE(TRIM(F3376)," #",G3376),B3376)</f>
        <v>Road Sign: Keep Off Dike</v>
      </c>
    </row>
    <row r="3377" spans="1:8" ht="15.75" thickBot="1" x14ac:dyDescent="0.3">
      <c r="A3377" s="7" t="s">
        <v>4319</v>
      </c>
      <c r="B3377" s="9" t="s">
        <v>4430</v>
      </c>
      <c r="C3377" s="9"/>
      <c r="D3377" s="14" t="s">
        <v>751</v>
      </c>
      <c r="E3377" s="3" t="str">
        <f>IF(ISERROR(VLOOKUP(B3377,Failures!$A$1:$A$4000,1,FALSE)),"Keep","Delete")</f>
        <v>Keep</v>
      </c>
      <c r="F3377" t="str">
        <f>IF(ISNUMBER(SEARCH("#",B3377)), LEFT(B3377,FIND("#",B3377)-1), B3377)</f>
        <v>Road Sign: Keep Right</v>
      </c>
      <c r="G3377" s="26">
        <f>IF(ISNUMBER(SEARCH("#",B3377)),VALUE(MID(B3377,FIND("#",B3377)+1,1000)),1)</f>
        <v>1</v>
      </c>
      <c r="H3377" t="str">
        <f>IF(AND(regexMatch(B3377,".*#[0-9]*$"),ISNUMBER(SEARCH("#",B3377))),CONCATENATE(TRIM(F3377)," #",G3377),B3377)</f>
        <v>Road Sign: Keep Right</v>
      </c>
    </row>
    <row r="3378" spans="1:8" ht="15.75" thickBot="1" x14ac:dyDescent="0.3">
      <c r="A3378" s="1" t="s">
        <v>5733</v>
      </c>
      <c r="B3378" s="1" t="s">
        <v>4430</v>
      </c>
      <c r="C3378" s="1"/>
      <c r="D3378" s="2" t="s">
        <v>751</v>
      </c>
      <c r="E3378" s="3" t="str">
        <f>IF(ISERROR(VLOOKUP(B3378,Failures!$A$1:$A$4000,1,FALSE)),"Keep","Delete")</f>
        <v>Keep</v>
      </c>
      <c r="F3378" t="str">
        <f>IF(ISNUMBER(SEARCH("#",B3378)), LEFT(B3378,FIND("#",B3378)-1), B3378)</f>
        <v>Road Sign: Keep Right</v>
      </c>
      <c r="G3378" s="26">
        <f>IF(ISNUMBER(SEARCH("#",B3378)),VALUE(MID(B3378,FIND("#",B3378)+1,1000)),1)</f>
        <v>1</v>
      </c>
      <c r="H3378" t="str">
        <f>IF(AND(regexMatch(B3378,".*#[0-9]*$"),ISNUMBER(SEARCH("#",B3378))),CONCATENATE(TRIM(F3378)," #",G3378),B3378)</f>
        <v>Road Sign: Keep Right</v>
      </c>
    </row>
    <row r="3379" spans="1:8" ht="15.75" thickBot="1" x14ac:dyDescent="0.3">
      <c r="A3379" s="7" t="s">
        <v>4209</v>
      </c>
      <c r="B3379" s="9" t="s">
        <v>4440</v>
      </c>
      <c r="C3379" s="9"/>
      <c r="D3379" s="14" t="s">
        <v>751</v>
      </c>
      <c r="E3379" s="3" t="str">
        <f>IF(ISERROR(VLOOKUP(B3379,Failures!$A$1:$A$4000,1,FALSE)),"Keep","Delete")</f>
        <v>Keep</v>
      </c>
      <c r="F3379" t="str">
        <f>IF(ISNUMBER(SEARCH("#",B3379)), LEFT(B3379,FIND("#",B3379)-1), B3379)</f>
        <v>Road Sign: Left Arrow</v>
      </c>
      <c r="G3379" s="26">
        <f>IF(ISNUMBER(SEARCH("#",B3379)),VALUE(MID(B3379,FIND("#",B3379)+1,1000)),1)</f>
        <v>1</v>
      </c>
      <c r="H3379" t="str">
        <f>IF(AND(regexMatch(B3379,".*#[0-9]*$"),ISNUMBER(SEARCH("#",B3379))),CONCATENATE(TRIM(F3379)," #",G3379),B3379)</f>
        <v>Road Sign: Left Arrow</v>
      </c>
    </row>
    <row r="3380" spans="1:8" ht="15.75" thickBot="1" x14ac:dyDescent="0.3">
      <c r="A3380" s="7" t="s">
        <v>4213</v>
      </c>
      <c r="B3380" s="9" t="s">
        <v>4432</v>
      </c>
      <c r="C3380" s="9"/>
      <c r="D3380" s="14" t="s">
        <v>751</v>
      </c>
      <c r="E3380" s="3" t="str">
        <f>IF(ISERROR(VLOOKUP(B3380,Failures!$A$1:$A$4000,1,FALSE)),"Keep","Delete")</f>
        <v>Keep</v>
      </c>
      <c r="F3380" t="str">
        <f>IF(ISNUMBER(SEARCH("#",B3380)), LEFT(B3380,FIND("#",B3380)-1), B3380)</f>
        <v>Road Sign: Left Bend</v>
      </c>
      <c r="G3380" s="26">
        <f>IF(ISNUMBER(SEARCH("#",B3380)),VALUE(MID(B3380,FIND("#",B3380)+1,1000)),1)</f>
        <v>1</v>
      </c>
      <c r="H3380" t="str">
        <f>IF(AND(regexMatch(B3380,".*#[0-9]*$"),ISNUMBER(SEARCH("#",B3380))),CONCATENATE(TRIM(F3380)," #",G3380),B3380)</f>
        <v>Road Sign: Left Bend</v>
      </c>
    </row>
    <row r="3381" spans="1:8" ht="15.75" thickBot="1" x14ac:dyDescent="0.3">
      <c r="A3381" s="7" t="s">
        <v>4211</v>
      </c>
      <c r="B3381" s="9" t="s">
        <v>4436</v>
      </c>
      <c r="C3381" s="9"/>
      <c r="D3381" s="14" t="s">
        <v>751</v>
      </c>
      <c r="E3381" s="3" t="str">
        <f>IF(ISERROR(VLOOKUP(B3381,Failures!$A$1:$A$4000,1,FALSE)),"Keep","Delete")</f>
        <v>Keep</v>
      </c>
      <c r="F3381" t="str">
        <f>IF(ISNUMBER(SEARCH("#",B3381)), LEFT(B3381,FIND("#",B3381)-1), B3381)</f>
        <v>Road Sign: Left Only</v>
      </c>
      <c r="G3381" s="26">
        <f>IF(ISNUMBER(SEARCH("#",B3381)),VALUE(MID(B3381,FIND("#",B3381)+1,1000)),1)</f>
        <v>1</v>
      </c>
      <c r="H3381" t="str">
        <f>IF(AND(regexMatch(B3381,".*#[0-9]*$"),ISNUMBER(SEARCH("#",B3381))),CONCATENATE(TRIM(F3381)," #",G3381),B3381)</f>
        <v>Road Sign: Left Only</v>
      </c>
    </row>
    <row r="3382" spans="1:8" ht="15.75" thickBot="1" x14ac:dyDescent="0.3">
      <c r="A3382" s="7" t="s">
        <v>4215</v>
      </c>
      <c r="B3382" s="9" t="s">
        <v>4434</v>
      </c>
      <c r="C3382" s="9"/>
      <c r="D3382" s="14" t="s">
        <v>751</v>
      </c>
      <c r="E3382" s="3" t="str">
        <f>IF(ISERROR(VLOOKUP(B3382,Failures!$A$1:$A$4000,1,FALSE)),"Keep","Delete")</f>
        <v>Keep</v>
      </c>
      <c r="F3382" t="str">
        <f>IF(ISNUMBER(SEARCH("#",B3382)), LEFT(B3382,FIND("#",B3382)-1), B3382)</f>
        <v>Road Sign: Left Turn</v>
      </c>
      <c r="G3382" s="26">
        <f>IF(ISNUMBER(SEARCH("#",B3382)),VALUE(MID(B3382,FIND("#",B3382)+1,1000)),1)</f>
        <v>1</v>
      </c>
      <c r="H3382" t="str">
        <f>IF(AND(regexMatch(B3382,".*#[0-9]*$"),ISNUMBER(SEARCH("#",B3382))),CONCATENATE(TRIM(F3382)," #",G3382),B3382)</f>
        <v>Road Sign: Left Turn</v>
      </c>
    </row>
    <row r="3383" spans="1:8" ht="15.75" thickBot="1" x14ac:dyDescent="0.3">
      <c r="A3383" s="1" t="s">
        <v>5746</v>
      </c>
      <c r="B3383" s="1" t="s">
        <v>10206</v>
      </c>
      <c r="C3383" s="1"/>
      <c r="D3383" s="2" t="s">
        <v>751</v>
      </c>
      <c r="E3383" s="3" t="str">
        <f>IF(ISERROR(VLOOKUP(B3383,Failures!$A$1:$A$4000,1,FALSE)),"Keep","Delete")</f>
        <v>Keep</v>
      </c>
      <c r="F3383" t="str">
        <f>IF(ISNUMBER(SEARCH("#",B3383)), LEFT(B3383,FIND("#",B3383)-1), B3383)</f>
        <v>Road Sign: Loading Only</v>
      </c>
      <c r="G3383" s="26">
        <f>IF(ISNUMBER(SEARCH("#",B3383)),VALUE(MID(B3383,FIND("#",B3383)+1,1000)),1)</f>
        <v>1</v>
      </c>
      <c r="H3383" t="str">
        <f>IF(AND(regexMatch(B3383,".*#[0-9]*$"),ISNUMBER(SEARCH("#",B3383))),CONCATENATE(TRIM(F3383)," #",G3383),B3383)</f>
        <v>Road Sign: Loading Only</v>
      </c>
    </row>
    <row r="3384" spans="1:8" ht="15.75" thickBot="1" x14ac:dyDescent="0.3">
      <c r="A3384" s="1" t="s">
        <v>5730</v>
      </c>
      <c r="B3384" s="1" t="s">
        <v>10221</v>
      </c>
      <c r="C3384" s="1"/>
      <c r="D3384" s="2" t="s">
        <v>751</v>
      </c>
      <c r="E3384" s="3" t="str">
        <f>IF(ISERROR(VLOOKUP(B3384,Failures!$A$1:$A$4000,1,FALSE)),"Keep","Delete")</f>
        <v>Keep</v>
      </c>
      <c r="F3384" t="str">
        <f>IF(ISNUMBER(SEARCH("#",B3384)), LEFT(B3384,FIND("#",B3384)-1), B3384)</f>
        <v>Road Sign: Local Access</v>
      </c>
      <c r="G3384" s="26">
        <f>IF(ISNUMBER(SEARCH("#",B3384)),VALUE(MID(B3384,FIND("#",B3384)+1,1000)),1)</f>
        <v>1</v>
      </c>
      <c r="H3384" t="str">
        <f>IF(AND(regexMatch(B3384,".*#[0-9]*$"),ISNUMBER(SEARCH("#",B3384))),CONCATENATE(TRIM(F3384)," #",G3384),B3384)</f>
        <v>Road Sign: Local Access</v>
      </c>
    </row>
    <row r="3385" spans="1:8" ht="15.75" thickBot="1" x14ac:dyDescent="0.3">
      <c r="A3385" s="1" t="s">
        <v>5729</v>
      </c>
      <c r="B3385" s="1" t="s">
        <v>10222</v>
      </c>
      <c r="C3385" s="1"/>
      <c r="D3385" s="2" t="s">
        <v>751</v>
      </c>
      <c r="E3385" s="3" t="str">
        <f>IF(ISERROR(VLOOKUP(B3385,Failures!$A$1:$A$4000,1,FALSE)),"Keep","Delete")</f>
        <v>Keep</v>
      </c>
      <c r="F3385" t="str">
        <f>IF(ISNUMBER(SEARCH("#",B3385)), LEFT(B3385,FIND("#",B3385)-1), B3385)</f>
        <v>Road Sign: Look For Trains</v>
      </c>
      <c r="G3385" s="26">
        <f>IF(ISNUMBER(SEARCH("#",B3385)),VALUE(MID(B3385,FIND("#",B3385)+1,1000)),1)</f>
        <v>1</v>
      </c>
      <c r="H3385" t="str">
        <f>IF(AND(regexMatch(B3385,".*#[0-9]*$"),ISNUMBER(SEARCH("#",B3385))),CONCATENATE(TRIM(F3385)," #",G3385),B3385)</f>
        <v>Road Sign: Look For Trains</v>
      </c>
    </row>
    <row r="3386" spans="1:8" ht="15.75" thickBot="1" x14ac:dyDescent="0.3">
      <c r="A3386" s="1" t="s">
        <v>5676</v>
      </c>
      <c r="B3386" s="1" t="s">
        <v>10272</v>
      </c>
      <c r="C3386" s="1"/>
      <c r="D3386" s="2" t="s">
        <v>751</v>
      </c>
      <c r="E3386" s="3" t="str">
        <f>IF(ISERROR(VLOOKUP(B3386,Failures!$A$1:$A$4000,1,FALSE)),"Keep","Delete")</f>
        <v>Keep</v>
      </c>
      <c r="F3386" t="str">
        <f>IF(ISNUMBER(SEARCH("#",B3386)), LEFT(B3386,FIND("#",B3386)-1), B3386)</f>
        <v>Road Sign: Merges</v>
      </c>
      <c r="G3386" s="26">
        <f>IF(ISNUMBER(SEARCH("#",B3386)),VALUE(MID(B3386,FIND("#",B3386)+1,1000)),1)</f>
        <v>1</v>
      </c>
      <c r="H3386" t="str">
        <f>IF(AND(regexMatch(B3386,".*#[0-9]*$"),ISNUMBER(SEARCH("#",B3386))),CONCATENATE(TRIM(F3386)," #",G3386),B3386)</f>
        <v>Road Sign: Merges</v>
      </c>
    </row>
    <row r="3387" spans="1:8" ht="15.75" thickBot="1" x14ac:dyDescent="0.3">
      <c r="A3387" s="1" t="s">
        <v>5706</v>
      </c>
      <c r="B3387" s="1" t="s">
        <v>10245</v>
      </c>
      <c r="C3387" s="1"/>
      <c r="D3387" s="2" t="s">
        <v>751</v>
      </c>
      <c r="E3387" s="3" t="str">
        <f>IF(ISERROR(VLOOKUP(B3387,Failures!$A$1:$A$4000,1,FALSE)),"Keep","Delete")</f>
        <v>Keep</v>
      </c>
      <c r="F3387" t="str">
        <f>IF(ISNUMBER(SEARCH("#",B3387)), LEFT(B3387,FIND("#",B3387)-1), B3387)</f>
        <v>Road Sign: No Bikes</v>
      </c>
      <c r="G3387" s="26">
        <f>IF(ISNUMBER(SEARCH("#",B3387)),VALUE(MID(B3387,FIND("#",B3387)+1,1000)),1)</f>
        <v>1</v>
      </c>
      <c r="H3387" t="str">
        <f>IF(AND(regexMatch(B3387,".*#[0-9]*$"),ISNUMBER(SEARCH("#",B3387))),CONCATENATE(TRIM(F3387)," #",G3387),B3387)</f>
        <v>Road Sign: No Bikes</v>
      </c>
    </row>
    <row r="3388" spans="1:8" ht="15.75" thickBot="1" x14ac:dyDescent="0.3">
      <c r="A3388" s="1" t="s">
        <v>5701</v>
      </c>
      <c r="B3388" s="1" t="s">
        <v>10250</v>
      </c>
      <c r="C3388" s="1"/>
      <c r="D3388" s="2" t="s">
        <v>751</v>
      </c>
      <c r="E3388" s="3" t="str">
        <f>IF(ISERROR(VLOOKUP(B3388,Failures!$A$1:$A$4000,1,FALSE)),"Keep","Delete")</f>
        <v>Keep</v>
      </c>
      <c r="F3388" t="str">
        <f>IF(ISNUMBER(SEARCH("#",B3388)), LEFT(B3388,FIND("#",B3388)-1), B3388)</f>
        <v>Road Sign: No Dogs</v>
      </c>
      <c r="G3388" s="26">
        <f>IF(ISNUMBER(SEARCH("#",B3388)),VALUE(MID(B3388,FIND("#",B3388)+1,1000)),1)</f>
        <v>1</v>
      </c>
      <c r="H3388" t="str">
        <f>IF(AND(regexMatch(B3388,".*#[0-9]*$"),ISNUMBER(SEARCH("#",B3388))),CONCATENATE(TRIM(F3388)," #",G3388),B3388)</f>
        <v>Road Sign: No Dogs</v>
      </c>
    </row>
    <row r="3389" spans="1:8" ht="15.75" thickBot="1" x14ac:dyDescent="0.3">
      <c r="A3389" s="7" t="s">
        <v>4306</v>
      </c>
      <c r="B3389" s="9" t="s">
        <v>4429</v>
      </c>
      <c r="C3389" s="9"/>
      <c r="D3389" s="14" t="s">
        <v>751</v>
      </c>
      <c r="E3389" s="3" t="str">
        <f>IF(ISERROR(VLOOKUP(B3389,Failures!$A$1:$A$4000,1,FALSE)),"Keep","Delete")</f>
        <v>Keep</v>
      </c>
      <c r="F3389" t="str">
        <f>IF(ISNUMBER(SEARCH("#",B3389)), LEFT(B3389,FIND("#",B3389)-1), B3389)</f>
        <v>Road Sign: No Entry</v>
      </c>
      <c r="G3389" s="26">
        <f>IF(ISNUMBER(SEARCH("#",B3389)),VALUE(MID(B3389,FIND("#",B3389)+1,1000)),1)</f>
        <v>1</v>
      </c>
      <c r="H3389" t="str">
        <f>IF(AND(regexMatch(B3389,".*#[0-9]*$"),ISNUMBER(SEARCH("#",B3389))),CONCATENATE(TRIM(F3389)," #",G3389),B3389)</f>
        <v>Road Sign: No Entry</v>
      </c>
    </row>
    <row r="3390" spans="1:8" ht="15.75" thickBot="1" x14ac:dyDescent="0.3">
      <c r="A3390" s="1" t="s">
        <v>5737</v>
      </c>
      <c r="B3390" s="1" t="s">
        <v>10215</v>
      </c>
      <c r="C3390" s="1"/>
      <c r="D3390" s="2" t="s">
        <v>751</v>
      </c>
      <c r="E3390" s="3" t="str">
        <f>IF(ISERROR(VLOOKUP(B3390,Failures!$A$1:$A$4000,1,FALSE)),"Keep","Delete")</f>
        <v>Keep</v>
      </c>
      <c r="F3390" t="str">
        <f>IF(ISNUMBER(SEARCH("#",B3390)), LEFT(B3390,FIND("#",B3390)-1), B3390)</f>
        <v>Road Sign: No Entry Wrong Way</v>
      </c>
      <c r="G3390" s="26">
        <f>IF(ISNUMBER(SEARCH("#",B3390)),VALUE(MID(B3390,FIND("#",B3390)+1,1000)),1)</f>
        <v>1</v>
      </c>
      <c r="H3390" t="str">
        <f>IF(AND(regexMatch(B3390,".*#[0-9]*$"),ISNUMBER(SEARCH("#",B3390))),CONCATENATE(TRIM(F3390)," #",G3390),B3390)</f>
        <v>Road Sign: No Entry Wrong Way</v>
      </c>
    </row>
    <row r="3391" spans="1:8" ht="15.75" thickBot="1" x14ac:dyDescent="0.3">
      <c r="A3391" s="1" t="s">
        <v>5693</v>
      </c>
      <c r="B3391" s="1" t="s">
        <v>10258</v>
      </c>
      <c r="C3391" s="1"/>
      <c r="D3391" s="2" t="s">
        <v>751</v>
      </c>
      <c r="E3391" s="3" t="str">
        <f>IF(ISERROR(VLOOKUP(B3391,Failures!$A$1:$A$4000,1,FALSE)),"Keep","Delete")</f>
        <v>Keep</v>
      </c>
      <c r="F3391" t="str">
        <f>IF(ISNUMBER(SEARCH("#",B3391)), LEFT(B3391,FIND("#",B3391)-1), B3391)</f>
        <v>Road Sign: No Feeding</v>
      </c>
      <c r="G3391" s="26">
        <f>IF(ISNUMBER(SEARCH("#",B3391)),VALUE(MID(B3391,FIND("#",B3391)+1,1000)),1)</f>
        <v>1</v>
      </c>
      <c r="H3391" t="str">
        <f>IF(AND(regexMatch(B3391,".*#[0-9]*$"),ISNUMBER(SEARCH("#",B3391))),CONCATENATE(TRIM(F3391)," #",G3391),B3391)</f>
        <v>Road Sign: No Feeding</v>
      </c>
    </row>
    <row r="3392" spans="1:8" ht="15.75" thickBot="1" x14ac:dyDescent="0.3">
      <c r="A3392" s="1" t="s">
        <v>5708</v>
      </c>
      <c r="B3392" s="1" t="s">
        <v>10243</v>
      </c>
      <c r="C3392" s="1"/>
      <c r="D3392" s="2" t="s">
        <v>751</v>
      </c>
      <c r="E3392" s="3" t="str">
        <f>IF(ISERROR(VLOOKUP(B3392,Failures!$A$1:$A$4000,1,FALSE)),"Keep","Delete")</f>
        <v>Keep</v>
      </c>
      <c r="F3392" t="str">
        <f>IF(ISNUMBER(SEARCH("#",B3392)), LEFT(B3392,FIND("#",B3392)-1), B3392)</f>
        <v>Road Sign: No Fishing</v>
      </c>
      <c r="G3392" s="26">
        <f>IF(ISNUMBER(SEARCH("#",B3392)),VALUE(MID(B3392,FIND("#",B3392)+1,1000)),1)</f>
        <v>1</v>
      </c>
      <c r="H3392" t="str">
        <f>IF(AND(regexMatch(B3392,".*#[0-9]*$"),ISNUMBER(SEARCH("#",B3392))),CONCATENATE(TRIM(F3392)," #",G3392),B3392)</f>
        <v>Road Sign: No Fishing</v>
      </c>
    </row>
    <row r="3393" spans="1:8" ht="15.75" thickBot="1" x14ac:dyDescent="0.3">
      <c r="A3393" s="1" t="s">
        <v>5647</v>
      </c>
      <c r="B3393" s="1" t="s">
        <v>10301</v>
      </c>
      <c r="C3393" s="1"/>
      <c r="D3393" s="2" t="s">
        <v>751</v>
      </c>
      <c r="E3393" s="3" t="str">
        <f>IF(ISERROR(VLOOKUP(B3393,Failures!$A$1:$A$4000,1,FALSE)),"Keep","Delete")</f>
        <v>Keep</v>
      </c>
      <c r="F3393" t="str">
        <f>IF(ISNUMBER(SEARCH("#",B3393)), LEFT(B3393,FIND("#",B3393)-1), B3393)</f>
        <v>Road Sign: No Hitch Hikers</v>
      </c>
      <c r="G3393" s="26">
        <f>IF(ISNUMBER(SEARCH("#",B3393)),VALUE(MID(B3393,FIND("#",B3393)+1,1000)),1)</f>
        <v>1</v>
      </c>
      <c r="H3393" t="str">
        <f>IF(AND(regexMatch(B3393,".*#[0-9]*$"),ISNUMBER(SEARCH("#",B3393))),CONCATENATE(TRIM(F3393)," #",G3393),B3393)</f>
        <v>Road Sign: No Hitch Hikers</v>
      </c>
    </row>
    <row r="3394" spans="1:8" ht="15.75" thickBot="1" x14ac:dyDescent="0.3">
      <c r="A3394" s="1" t="s">
        <v>5726</v>
      </c>
      <c r="B3394" s="1" t="s">
        <v>10225</v>
      </c>
      <c r="C3394" s="1"/>
      <c r="D3394" s="2" t="s">
        <v>751</v>
      </c>
      <c r="E3394" s="3" t="str">
        <f>IF(ISERROR(VLOOKUP(B3394,Failures!$A$1:$A$4000,1,FALSE)),"Keep","Delete")</f>
        <v>Keep</v>
      </c>
      <c r="F3394" t="str">
        <f>IF(ISNUMBER(SEARCH("#",B3394)), LEFT(B3394,FIND("#",B3394)-1), B3394)</f>
        <v>Road Sign: No Horns</v>
      </c>
      <c r="G3394" s="26">
        <f>IF(ISNUMBER(SEARCH("#",B3394)),VALUE(MID(B3394,FIND("#",B3394)+1,1000)),1)</f>
        <v>1</v>
      </c>
      <c r="H3394" t="str">
        <f>IF(AND(regexMatch(B3394,".*#[0-9]*$"),ISNUMBER(SEARCH("#",B3394))),CONCATENATE(TRIM(F3394)," #",G3394),B3394)</f>
        <v>Road Sign: No Horns</v>
      </c>
    </row>
    <row r="3395" spans="1:8" ht="15.75" thickBot="1" x14ac:dyDescent="0.3">
      <c r="A3395" s="1" t="s">
        <v>5727</v>
      </c>
      <c r="B3395" s="1" t="s">
        <v>10224</v>
      </c>
      <c r="C3395" s="1"/>
      <c r="D3395" s="2" t="s">
        <v>751</v>
      </c>
      <c r="E3395" s="3" t="str">
        <f>IF(ISERROR(VLOOKUP(B3395,Failures!$A$1:$A$4000,1,FALSE)),"Keep","Delete")</f>
        <v>Keep</v>
      </c>
      <c r="F3395" t="str">
        <f>IF(ISNUMBER(SEARCH("#",B3395)), LEFT(B3395,FIND("#",B3395)-1), B3395)</f>
        <v>Road Sign: No Idling</v>
      </c>
      <c r="G3395" s="26">
        <f>IF(ISNUMBER(SEARCH("#",B3395)),VALUE(MID(B3395,FIND("#",B3395)+1,1000)),1)</f>
        <v>1</v>
      </c>
      <c r="H3395" t="str">
        <f>IF(AND(regexMatch(B3395,".*#[0-9]*$"),ISNUMBER(SEARCH("#",B3395))),CONCATENATE(TRIM(F3395)," #",G3395),B3395)</f>
        <v>Road Sign: No Idling</v>
      </c>
    </row>
    <row r="3396" spans="1:8" ht="15.75" thickBot="1" x14ac:dyDescent="0.3">
      <c r="A3396" s="1" t="s">
        <v>5728</v>
      </c>
      <c r="B3396" s="1" t="s">
        <v>10223</v>
      </c>
      <c r="C3396" s="1"/>
      <c r="D3396" s="2" t="s">
        <v>751</v>
      </c>
      <c r="E3396" s="3" t="str">
        <f>IF(ISERROR(VLOOKUP(B3396,Failures!$A$1:$A$4000,1,FALSE)),"Keep","Delete")</f>
        <v>Keep</v>
      </c>
      <c r="F3396" t="str">
        <f>IF(ISNUMBER(SEARCH("#",B3396)), LEFT(B3396,FIND("#",B3396)-1), B3396)</f>
        <v>Road Sign: No Left Turn</v>
      </c>
      <c r="G3396" s="26">
        <f>IF(ISNUMBER(SEARCH("#",B3396)),VALUE(MID(B3396,FIND("#",B3396)+1,1000)),1)</f>
        <v>1</v>
      </c>
      <c r="H3396" t="str">
        <f>IF(AND(regexMatch(B3396,".*#[0-9]*$"),ISNUMBER(SEARCH("#",B3396))),CONCATENATE(TRIM(F3396)," #",G3396),B3396)</f>
        <v>Road Sign: No Left Turn</v>
      </c>
    </row>
    <row r="3397" spans="1:8" ht="15.75" thickBot="1" x14ac:dyDescent="0.3">
      <c r="A3397" s="1" t="s">
        <v>5732</v>
      </c>
      <c r="B3397" s="1" t="s">
        <v>10219</v>
      </c>
      <c r="C3397" s="1"/>
      <c r="D3397" s="2" t="s">
        <v>751</v>
      </c>
      <c r="E3397" s="3" t="str">
        <f>IF(ISERROR(VLOOKUP(B3397,Failures!$A$1:$A$4000,1,FALSE)),"Keep","Delete")</f>
        <v>Keep</v>
      </c>
      <c r="F3397" t="str">
        <f>IF(ISNUMBER(SEARCH("#",B3397)), LEFT(B3397,FIND("#",B3397)-1), B3397)</f>
        <v xml:space="preserve">Road Sign: No Littering </v>
      </c>
      <c r="G3397" s="26">
        <f>IF(ISNUMBER(SEARCH("#",B3397)),VALUE(MID(B3397,FIND("#",B3397)+1,1000)),1)</f>
        <v>1</v>
      </c>
      <c r="H3397" t="str">
        <f>IF(AND(regexMatch(B3397,".*#[0-9]*$"),ISNUMBER(SEARCH("#",B3397))),CONCATENATE(TRIM(F3397)," #",G3397),B3397)</f>
        <v>Road Sign: No Littering #1</v>
      </c>
    </row>
    <row r="3398" spans="1:8" ht="15.75" thickBot="1" x14ac:dyDescent="0.3">
      <c r="A3398" s="1" t="s">
        <v>5731</v>
      </c>
      <c r="B3398" s="1" t="s">
        <v>10220</v>
      </c>
      <c r="C3398" s="1"/>
      <c r="D3398" s="2" t="s">
        <v>751</v>
      </c>
      <c r="E3398" s="3" t="str">
        <f>IF(ISERROR(VLOOKUP(B3398,Failures!$A$1:$A$4000,1,FALSE)),"Keep","Delete")</f>
        <v>Keep</v>
      </c>
      <c r="F3398" t="str">
        <f>IF(ISNUMBER(SEARCH("#",B3398)), LEFT(B3398,FIND("#",B3398)-1), B3398)</f>
        <v xml:space="preserve">Road Sign: No Littering </v>
      </c>
      <c r="G3398" s="26">
        <f>IF(ISNUMBER(SEARCH("#",B3398)),VALUE(MID(B3398,FIND("#",B3398)+1,1000)),1)</f>
        <v>2</v>
      </c>
      <c r="H3398" t="str">
        <f>IF(AND(regexMatch(B3398,".*#[0-9]*$"),ISNUMBER(SEARCH("#",B3398))),CONCATENATE(TRIM(F3398)," #",G3398),B3398)</f>
        <v>Road Sign: No Littering #2</v>
      </c>
    </row>
    <row r="3399" spans="1:8" ht="15.75" thickBot="1" x14ac:dyDescent="0.3">
      <c r="A3399" s="1" t="s">
        <v>5697</v>
      </c>
      <c r="B3399" s="1" t="s">
        <v>10254</v>
      </c>
      <c r="C3399" s="1"/>
      <c r="D3399" s="2" t="s">
        <v>751</v>
      </c>
      <c r="E3399" s="3" t="str">
        <f>IF(ISERROR(VLOOKUP(B3399,Failures!$A$1:$A$4000,1,FALSE)),"Keep","Delete")</f>
        <v>Keep</v>
      </c>
      <c r="F3399" t="str">
        <f>IF(ISNUMBER(SEARCH("#",B3399)), LEFT(B3399,FIND("#",B3399)-1), B3399)</f>
        <v>Road Sign: No Loitering</v>
      </c>
      <c r="G3399" s="26">
        <f>IF(ISNUMBER(SEARCH("#",B3399)),VALUE(MID(B3399,FIND("#",B3399)+1,1000)),1)</f>
        <v>1</v>
      </c>
      <c r="H3399" t="str">
        <f>IF(AND(regexMatch(B3399,".*#[0-9]*$"),ISNUMBER(SEARCH("#",B3399))),CONCATENATE(TRIM(F3399)," #",G3399),B3399)</f>
        <v>Road Sign: No Loitering</v>
      </c>
    </row>
    <row r="3400" spans="1:8" ht="15.75" thickBot="1" x14ac:dyDescent="0.3">
      <c r="A3400" s="1" t="s">
        <v>5714</v>
      </c>
      <c r="B3400" s="1" t="s">
        <v>11161</v>
      </c>
      <c r="C3400" s="1"/>
      <c r="D3400" s="2" t="s">
        <v>751</v>
      </c>
      <c r="E3400" s="3" t="str">
        <f>IF(ISERROR(VLOOKUP(B3400,Failures!$A$1:$A$4000,1,FALSE)),"Keep","Delete")</f>
        <v>Keep</v>
      </c>
      <c r="F3400" t="str">
        <f>IF(ISNUMBER(SEARCH("#",B3400)), LEFT(B3400,FIND("#",B3400)-1), B3400)</f>
        <v xml:space="preserve">Road Sign: No Parking </v>
      </c>
      <c r="G3400" s="26">
        <v>1</v>
      </c>
      <c r="H3400" t="str">
        <f>IF(AND(regexMatch(B3400,".*#[0-9]*$"),ISNUMBER(SEARCH("#",B3400))),CONCATENATE(TRIM(F3400)," #",G3400),B3400)</f>
        <v>Road Sign: No Parking #1</v>
      </c>
    </row>
    <row r="3401" spans="1:8" ht="15.75" thickBot="1" x14ac:dyDescent="0.3">
      <c r="A3401" s="1" t="s">
        <v>5692</v>
      </c>
      <c r="B3401" s="1" t="s">
        <v>11161</v>
      </c>
      <c r="C3401" s="1"/>
      <c r="D3401" s="2" t="s">
        <v>751</v>
      </c>
      <c r="E3401" s="3" t="str">
        <f>IF(ISERROR(VLOOKUP(B3401,Failures!$A$1:$A$4000,1,FALSE)),"Keep","Delete")</f>
        <v>Keep</v>
      </c>
      <c r="F3401" t="str">
        <f>IF(ISNUMBER(SEARCH("#",B3401)), LEFT(B3401,FIND("#",B3401)-1), B3401)</f>
        <v xml:space="preserve">Road Sign: No Parking </v>
      </c>
      <c r="G3401" s="26">
        <v>2</v>
      </c>
      <c r="H3401" t="str">
        <f>IF(AND(regexMatch(B3401,".*#[0-9]*$"),ISNUMBER(SEARCH("#",B3401))),CONCATENATE(TRIM(F3401)," #",G3401),B3401)</f>
        <v>Road Sign: No Parking #2</v>
      </c>
    </row>
    <row r="3402" spans="1:8" ht="15.75" thickBot="1" x14ac:dyDescent="0.3">
      <c r="A3402" s="1" t="s">
        <v>5688</v>
      </c>
      <c r="B3402" s="1" t="s">
        <v>11161</v>
      </c>
      <c r="C3402" s="1"/>
      <c r="D3402" s="2" t="s">
        <v>751</v>
      </c>
      <c r="E3402" s="3" t="str">
        <f>IF(ISERROR(VLOOKUP(B3402,Failures!$A$1:$A$4000,1,FALSE)),"Keep","Delete")</f>
        <v>Keep</v>
      </c>
      <c r="F3402" t="str">
        <f>IF(ISNUMBER(SEARCH("#",B3402)), LEFT(B3402,FIND("#",B3402)-1), B3402)</f>
        <v xml:space="preserve">Road Sign: No Parking </v>
      </c>
      <c r="G3402" s="26">
        <v>3</v>
      </c>
      <c r="H3402" t="str">
        <f>IF(AND(regexMatch(B3402,".*#[0-9]*$"),ISNUMBER(SEARCH("#",B3402))),CONCATENATE(TRIM(F3402)," #",G3402),B3402)</f>
        <v>Road Sign: No Parking #3</v>
      </c>
    </row>
    <row r="3403" spans="1:8" ht="15.75" thickBot="1" x14ac:dyDescent="0.3">
      <c r="A3403" s="1" t="s">
        <v>5687</v>
      </c>
      <c r="B3403" s="1" t="s">
        <v>11161</v>
      </c>
      <c r="C3403" s="1"/>
      <c r="D3403" s="2" t="s">
        <v>751</v>
      </c>
      <c r="E3403" s="3" t="str">
        <f>IF(ISERROR(VLOOKUP(B3403,Failures!$A$1:$A$4000,1,FALSE)),"Keep","Delete")</f>
        <v>Keep</v>
      </c>
      <c r="F3403" t="str">
        <f>IF(ISNUMBER(SEARCH("#",B3403)), LEFT(B3403,FIND("#",B3403)-1), B3403)</f>
        <v xml:space="preserve">Road Sign: No Parking </v>
      </c>
      <c r="G3403" s="26">
        <v>4</v>
      </c>
      <c r="H3403" t="str">
        <f>IF(AND(regexMatch(B3403,".*#[0-9]*$"),ISNUMBER(SEARCH("#",B3403))),CONCATENATE(TRIM(F3403)," #",G3403),B3403)</f>
        <v>Road Sign: No Parking #4</v>
      </c>
    </row>
    <row r="3404" spans="1:8" ht="15.75" thickBot="1" x14ac:dyDescent="0.3">
      <c r="A3404" s="1" t="s">
        <v>5652</v>
      </c>
      <c r="B3404" s="1" t="s">
        <v>10296</v>
      </c>
      <c r="C3404" s="1"/>
      <c r="D3404" s="2" t="s">
        <v>751</v>
      </c>
      <c r="E3404" s="3" t="str">
        <f>IF(ISERROR(VLOOKUP(B3404,Failures!$A$1:$A$4000,1,FALSE)),"Keep","Delete")</f>
        <v>Keep</v>
      </c>
      <c r="F3404" t="str">
        <f>IF(ISNUMBER(SEARCH("#",B3404)), LEFT(B3404,FIND("#",B3404)-1), B3404)</f>
        <v>Road Sign: No Passing</v>
      </c>
      <c r="G3404" s="26">
        <f>IF(ISNUMBER(SEARCH("#",B3404)),VALUE(MID(B3404,FIND("#",B3404)+1,1000)),1)</f>
        <v>1</v>
      </c>
      <c r="H3404" t="str">
        <f>IF(AND(regexMatch(B3404,".*#[0-9]*$"),ISNUMBER(SEARCH("#",B3404))),CONCATENATE(TRIM(F3404)," #",G3404),B3404)</f>
        <v>Road Sign: No Passing</v>
      </c>
    </row>
    <row r="3405" spans="1:8" ht="15.75" thickBot="1" x14ac:dyDescent="0.3">
      <c r="A3405" s="1" t="s">
        <v>5725</v>
      </c>
      <c r="B3405" s="1" t="s">
        <v>10226</v>
      </c>
      <c r="C3405" s="1"/>
      <c r="D3405" s="2" t="s">
        <v>751</v>
      </c>
      <c r="E3405" s="3" t="str">
        <f>IF(ISERROR(VLOOKUP(B3405,Failures!$A$1:$A$4000,1,FALSE)),"Keep","Delete")</f>
        <v>Keep</v>
      </c>
      <c r="F3405" t="str">
        <f>IF(ISNUMBER(SEARCH("#",B3405)), LEFT(B3405,FIND("#",B3405)-1), B3405)</f>
        <v>Road Sign: No Stereo</v>
      </c>
      <c r="G3405" s="26">
        <f>IF(ISNUMBER(SEARCH("#",B3405)),VALUE(MID(B3405,FIND("#",B3405)+1,1000)),1)</f>
        <v>1</v>
      </c>
      <c r="H3405" t="str">
        <f>IF(AND(regexMatch(B3405,".*#[0-9]*$"),ISNUMBER(SEARCH("#",B3405))),CONCATENATE(TRIM(F3405)," #",G3405),B3405)</f>
        <v>Road Sign: No Stereo</v>
      </c>
    </row>
    <row r="3406" spans="1:8" ht="15.75" thickBot="1" x14ac:dyDescent="0.3">
      <c r="A3406" s="1" t="s">
        <v>5691</v>
      </c>
      <c r="B3406" s="1" t="s">
        <v>10259</v>
      </c>
      <c r="C3406" s="1"/>
      <c r="D3406" s="2" t="s">
        <v>751</v>
      </c>
      <c r="E3406" s="3" t="str">
        <f>IF(ISERROR(VLOOKUP(B3406,Failures!$A$1:$A$4000,1,FALSE)),"Keep","Delete")</f>
        <v>Keep</v>
      </c>
      <c r="F3406" t="str">
        <f>IF(ISNUMBER(SEARCH("#",B3406)), LEFT(B3406,FIND("#",B3406)-1), B3406)</f>
        <v>Road Sign: No Stopping</v>
      </c>
      <c r="G3406" s="26">
        <f>IF(ISNUMBER(SEARCH("#",B3406)),VALUE(MID(B3406,FIND("#",B3406)+1,1000)),1)</f>
        <v>1</v>
      </c>
      <c r="H3406" t="str">
        <f>IF(AND(regexMatch(B3406,".*#[0-9]*$"),ISNUMBER(SEARCH("#",B3406))),CONCATENATE(TRIM(F3406)," #",G3406),B3406)</f>
        <v>Road Sign: No Stopping</v>
      </c>
    </row>
    <row r="3407" spans="1:8" ht="15.75" thickBot="1" x14ac:dyDescent="0.3">
      <c r="A3407" s="1" t="s">
        <v>5673</v>
      </c>
      <c r="B3407" s="1" t="s">
        <v>10275</v>
      </c>
      <c r="C3407" s="1"/>
      <c r="D3407" s="2" t="s">
        <v>751</v>
      </c>
      <c r="E3407" s="3" t="str">
        <f>IF(ISERROR(VLOOKUP(B3407,Failures!$A$1:$A$4000,1,FALSE)),"Keep","Delete")</f>
        <v>Keep</v>
      </c>
      <c r="F3407" t="str">
        <f>IF(ISNUMBER(SEARCH("#",B3407)), LEFT(B3407,FIND("#",B3407)-1), B3407)</f>
        <v>Road Sign: No Thru Street</v>
      </c>
      <c r="G3407" s="26">
        <f>IF(ISNUMBER(SEARCH("#",B3407)),VALUE(MID(B3407,FIND("#",B3407)+1,1000)),1)</f>
        <v>1</v>
      </c>
      <c r="H3407" t="str">
        <f>IF(AND(regexMatch(B3407,".*#[0-9]*$"),ISNUMBER(SEARCH("#",B3407))),CONCATENATE(TRIM(F3407)," #",G3407),B3407)</f>
        <v>Road Sign: No Thru Street</v>
      </c>
    </row>
    <row r="3408" spans="1:8" ht="15.75" thickBot="1" x14ac:dyDescent="0.3">
      <c r="A3408" s="1" t="s">
        <v>5719</v>
      </c>
      <c r="B3408" s="1" t="s">
        <v>10232</v>
      </c>
      <c r="C3408" s="1"/>
      <c r="D3408" s="2" t="s">
        <v>751</v>
      </c>
      <c r="E3408" s="3" t="str">
        <f>IF(ISERROR(VLOOKUP(B3408,Failures!$A$1:$A$4000,1,FALSE)),"Keep","Delete")</f>
        <v>Keep</v>
      </c>
      <c r="F3408" t="str">
        <f>IF(ISNUMBER(SEARCH("#",B3408)), LEFT(B3408,FIND("#",B3408)-1), B3408)</f>
        <v>Road Sign: No Thru Trucking</v>
      </c>
      <c r="G3408" s="26">
        <f>IF(ISNUMBER(SEARCH("#",B3408)),VALUE(MID(B3408,FIND("#",B3408)+1,1000)),1)</f>
        <v>1</v>
      </c>
      <c r="H3408" t="str">
        <f>IF(AND(regexMatch(B3408,".*#[0-9]*$"),ISNUMBER(SEARCH("#",B3408))),CONCATENATE(TRIM(F3408)," #",G3408),B3408)</f>
        <v>Road Sign: No Thru Trucking</v>
      </c>
    </row>
    <row r="3409" spans="1:8" ht="15.75" thickBot="1" x14ac:dyDescent="0.3">
      <c r="A3409" s="1" t="s">
        <v>5720</v>
      </c>
      <c r="B3409" s="1" t="s">
        <v>10231</v>
      </c>
      <c r="C3409" s="1"/>
      <c r="D3409" s="2" t="s">
        <v>751</v>
      </c>
      <c r="E3409" s="3" t="str">
        <f>IF(ISERROR(VLOOKUP(B3409,Failures!$A$1:$A$4000,1,FALSE)),"Keep","Delete")</f>
        <v>Keep</v>
      </c>
      <c r="F3409" t="str">
        <f>IF(ISNUMBER(SEARCH("#",B3409)), LEFT(B3409,FIND("#",B3409)-1), B3409)</f>
        <v>Road Sign: No Truck Right Turns</v>
      </c>
      <c r="G3409" s="26">
        <f>IF(ISNUMBER(SEARCH("#",B3409)),VALUE(MID(B3409,FIND("#",B3409)+1,1000)),1)</f>
        <v>1</v>
      </c>
      <c r="H3409" t="str">
        <f>IF(AND(regexMatch(B3409,".*#[0-9]*$"),ISNUMBER(SEARCH("#",B3409))),CONCATENATE(TRIM(F3409)," #",G3409),B3409)</f>
        <v>Road Sign: No Truck Right Turns</v>
      </c>
    </row>
    <row r="3410" spans="1:8" ht="15.75" thickBot="1" x14ac:dyDescent="0.3">
      <c r="A3410" s="1" t="s">
        <v>5721</v>
      </c>
      <c r="B3410" s="1" t="s">
        <v>10230</v>
      </c>
      <c r="C3410" s="1"/>
      <c r="D3410" s="2" t="s">
        <v>751</v>
      </c>
      <c r="E3410" s="3" t="str">
        <f>IF(ISERROR(VLOOKUP(B3410,Failures!$A$1:$A$4000,1,FALSE)),"Keep","Delete")</f>
        <v>Keep</v>
      </c>
      <c r="F3410" t="str">
        <f>IF(ISNUMBER(SEARCH("#",B3410)), LEFT(B3410,FIND("#",B3410)-1), B3410)</f>
        <v>Road Sign: No Truck Turns</v>
      </c>
      <c r="G3410" s="26">
        <f>IF(ISNUMBER(SEARCH("#",B3410)),VALUE(MID(B3410,FIND("#",B3410)+1,1000)),1)</f>
        <v>1</v>
      </c>
      <c r="H3410" t="str">
        <f>IF(AND(regexMatch(B3410,".*#[0-9]*$"),ISNUMBER(SEARCH("#",B3410))),CONCATENATE(TRIM(F3410)," #",G3410),B3410)</f>
        <v>Road Sign: No Truck Turns</v>
      </c>
    </row>
    <row r="3411" spans="1:8" ht="15.75" thickBot="1" x14ac:dyDescent="0.3">
      <c r="A3411" s="1" t="s">
        <v>5722</v>
      </c>
      <c r="B3411" s="1" t="s">
        <v>10229</v>
      </c>
      <c r="C3411" s="1"/>
      <c r="D3411" s="2" t="s">
        <v>751</v>
      </c>
      <c r="E3411" s="3" t="str">
        <f>IF(ISERROR(VLOOKUP(B3411,Failures!$A$1:$A$4000,1,FALSE)),"Keep","Delete")</f>
        <v>Keep</v>
      </c>
      <c r="F3411" t="str">
        <f>IF(ISNUMBER(SEARCH("#",B3411)), LEFT(B3411,FIND("#",B3411)-1), B3411)</f>
        <v>Road Sign: No Trucks</v>
      </c>
      <c r="G3411" s="26">
        <f>IF(ISNUMBER(SEARCH("#",B3411)),VALUE(MID(B3411,FIND("#",B3411)+1,1000)),1)</f>
        <v>1</v>
      </c>
      <c r="H3411" t="str">
        <f>IF(AND(regexMatch(B3411,".*#[0-9]*$"),ISNUMBER(SEARCH("#",B3411))),CONCATENATE(TRIM(F3411)," #",G3411),B3411)</f>
        <v>Road Sign: No Trucks</v>
      </c>
    </row>
    <row r="3412" spans="1:8" ht="15.75" thickBot="1" x14ac:dyDescent="0.3">
      <c r="A3412" s="7" t="s">
        <v>4320</v>
      </c>
      <c r="B3412" s="9" t="s">
        <v>4431</v>
      </c>
      <c r="C3412" s="9"/>
      <c r="D3412" s="14" t="s">
        <v>751</v>
      </c>
      <c r="E3412" s="3" t="str">
        <f>IF(ISERROR(VLOOKUP(B3412,Failures!$A$1:$A$4000,1,FALSE)),"Keep","Delete")</f>
        <v>Keep</v>
      </c>
      <c r="F3412" t="str">
        <f>IF(ISNUMBER(SEARCH("#",B3412)), LEFT(B3412,FIND("#",B3412)-1), B3412)</f>
        <v>Road Sign: No U Turns</v>
      </c>
      <c r="G3412" s="26">
        <f>IF(ISNUMBER(SEARCH("#",B3412)),VALUE(MID(B3412,FIND("#",B3412)+1,1000)),1)</f>
        <v>1</v>
      </c>
      <c r="H3412" t="str">
        <f>IF(AND(regexMatch(B3412,".*#[0-9]*$"),ISNUMBER(SEARCH("#",B3412))),CONCATENATE(TRIM(F3412)," #",G3412),B3412)</f>
        <v>Road Sign: No U Turns</v>
      </c>
    </row>
    <row r="3413" spans="1:8" ht="15.75" thickBot="1" x14ac:dyDescent="0.3">
      <c r="A3413" s="1" t="s">
        <v>5645</v>
      </c>
      <c r="B3413" s="1" t="s">
        <v>10303</v>
      </c>
      <c r="C3413" s="1"/>
      <c r="D3413" s="2" t="s">
        <v>751</v>
      </c>
      <c r="E3413" s="3" t="str">
        <f>IF(ISERROR(VLOOKUP(B3413,Failures!$A$1:$A$4000,1,FALSE)),"Keep","Delete")</f>
        <v>Keep</v>
      </c>
      <c r="F3413" t="str">
        <f>IF(ISNUMBER(SEARCH("#",B3413)), LEFT(B3413,FIND("#",B3413)-1), B3413)</f>
        <v>Road Sign: One Way Left</v>
      </c>
      <c r="G3413" s="26">
        <f>IF(ISNUMBER(SEARCH("#",B3413)),VALUE(MID(B3413,FIND("#",B3413)+1,1000)),1)</f>
        <v>1</v>
      </c>
      <c r="H3413" t="str">
        <f>IF(AND(regexMatch(B3413,".*#[0-9]*$"),ISNUMBER(SEARCH("#",B3413))),CONCATENATE(TRIM(F3413)," #",G3413),B3413)</f>
        <v>Road Sign: One Way Left</v>
      </c>
    </row>
    <row r="3414" spans="1:8" ht="15.75" thickBot="1" x14ac:dyDescent="0.3">
      <c r="A3414" s="1" t="s">
        <v>5646</v>
      </c>
      <c r="B3414" s="1" t="s">
        <v>10302</v>
      </c>
      <c r="C3414" s="1"/>
      <c r="D3414" s="2" t="s">
        <v>751</v>
      </c>
      <c r="E3414" s="3" t="str">
        <f>IF(ISERROR(VLOOKUP(B3414,Failures!$A$1:$A$4000,1,FALSE)),"Keep","Delete")</f>
        <v>Keep</v>
      </c>
      <c r="F3414" t="str">
        <f>IF(ISNUMBER(SEARCH("#",B3414)), LEFT(B3414,FIND("#",B3414)-1), B3414)</f>
        <v>Road Sign: One Way Right</v>
      </c>
      <c r="G3414" s="26">
        <f>IF(ISNUMBER(SEARCH("#",B3414)),VALUE(MID(B3414,FIND("#",B3414)+1,1000)),1)</f>
        <v>1</v>
      </c>
      <c r="H3414" t="str">
        <f>IF(AND(regexMatch(B3414,".*#[0-9]*$"),ISNUMBER(SEARCH("#",B3414))),CONCATENATE(TRIM(F3414)," #",G3414),B3414)</f>
        <v>Road Sign: One Way Right</v>
      </c>
    </row>
    <row r="3415" spans="1:8" ht="15.75" thickBot="1" x14ac:dyDescent="0.3">
      <c r="A3415" s="1" t="s">
        <v>5641</v>
      </c>
      <c r="B3415" s="1" t="s">
        <v>10307</v>
      </c>
      <c r="C3415" s="1"/>
      <c r="D3415" s="2" t="s">
        <v>751</v>
      </c>
      <c r="E3415" s="3" t="str">
        <f>IF(ISERROR(VLOOKUP(B3415,Failures!$A$1:$A$4000,1,FALSE)),"Keep","Delete")</f>
        <v>Keep</v>
      </c>
      <c r="F3415" t="str">
        <f>IF(ISNUMBER(SEARCH("#",B3415)), LEFT(B3415,FIND("#",B3415)-1), B3415)</f>
        <v>Road Sign: Orange &amp; White Chevrons</v>
      </c>
      <c r="G3415" s="26">
        <f>IF(ISNUMBER(SEARCH("#",B3415)),VALUE(MID(B3415,FIND("#",B3415)+1,1000)),1)</f>
        <v>1</v>
      </c>
      <c r="H3415" t="str">
        <f>IF(AND(regexMatch(B3415,".*#[0-9]*$"),ISNUMBER(SEARCH("#",B3415))),CONCATENATE(TRIM(F3415)," #",G3415),B3415)</f>
        <v>Road Sign: Orange &amp; White Chevrons</v>
      </c>
    </row>
    <row r="3416" spans="1:8" ht="15.75" thickBot="1" x14ac:dyDescent="0.3">
      <c r="A3416" s="1" t="s">
        <v>5745</v>
      </c>
      <c r="B3416" s="1" t="s">
        <v>10207</v>
      </c>
      <c r="C3416" s="1"/>
      <c r="D3416" s="2" t="s">
        <v>751</v>
      </c>
      <c r="E3416" s="3" t="str">
        <f>IF(ISERROR(VLOOKUP(B3416,Failures!$A$1:$A$4000,1,FALSE)),"Keep","Delete")</f>
        <v>Keep</v>
      </c>
      <c r="F3416" t="str">
        <f>IF(ISNUMBER(SEARCH("#",B3416)), LEFT(B3416,FIND("#",B3416)-1), B3416)</f>
        <v>Road Sign: Parking Exit</v>
      </c>
      <c r="G3416" s="26">
        <f>IF(ISNUMBER(SEARCH("#",B3416)),VALUE(MID(B3416,FIND("#",B3416)+1,1000)),1)</f>
        <v>1</v>
      </c>
      <c r="H3416" t="str">
        <f>IF(AND(regexMatch(B3416,".*#[0-9]*$"),ISNUMBER(SEARCH("#",B3416))),CONCATENATE(TRIM(F3416)," #",G3416),B3416)</f>
        <v>Road Sign: Parking Exit</v>
      </c>
    </row>
    <row r="3417" spans="1:8" ht="15.75" thickBot="1" x14ac:dyDescent="0.3">
      <c r="A3417" s="1" t="s">
        <v>5689</v>
      </c>
      <c r="B3417" s="1" t="s">
        <v>10261</v>
      </c>
      <c r="C3417" s="1"/>
      <c r="D3417" s="2" t="s">
        <v>751</v>
      </c>
      <c r="E3417" s="3" t="str">
        <f>IF(ISERROR(VLOOKUP(B3417,Failures!$A$1:$A$4000,1,FALSE)),"Keep","Delete")</f>
        <v>Keep</v>
      </c>
      <c r="F3417" t="str">
        <f>IF(ISNUMBER(SEARCH("#",B3417)), LEFT(B3417,FIND("#",B3417)-1), B3417)</f>
        <v>Road Sign: Parking Hours</v>
      </c>
      <c r="G3417" s="26">
        <f>IF(ISNUMBER(SEARCH("#",B3417)),VALUE(MID(B3417,FIND("#",B3417)+1,1000)),1)</f>
        <v>1</v>
      </c>
      <c r="H3417" t="str">
        <f>IF(AND(regexMatch(B3417,".*#[0-9]*$"),ISNUMBER(SEARCH("#",B3417))),CONCATENATE(TRIM(F3417)," #",G3417),B3417)</f>
        <v>Road Sign: Parking Hours</v>
      </c>
    </row>
    <row r="3418" spans="1:8" ht="15.75" thickBot="1" x14ac:dyDescent="0.3">
      <c r="A3418" s="1" t="s">
        <v>5699</v>
      </c>
      <c r="B3418" s="1" t="s">
        <v>10252</v>
      </c>
      <c r="C3418" s="1"/>
      <c r="D3418" s="2" t="s">
        <v>751</v>
      </c>
      <c r="E3418" s="3" t="str">
        <f>IF(ISERROR(VLOOKUP(B3418,Failures!$A$1:$A$4000,1,FALSE)),"Keep","Delete")</f>
        <v>Keep</v>
      </c>
      <c r="F3418" t="str">
        <f>IF(ISNUMBER(SEARCH("#",B3418)), LEFT(B3418,FIND("#",B3418)-1), B3418)</f>
        <v>Road Sign: Pets Off Grass</v>
      </c>
      <c r="G3418" s="26">
        <f>IF(ISNUMBER(SEARCH("#",B3418)),VALUE(MID(B3418,FIND("#",B3418)+1,1000)),1)</f>
        <v>1</v>
      </c>
      <c r="H3418" t="str">
        <f>IF(AND(regexMatch(B3418,".*#[0-9]*$"),ISNUMBER(SEARCH("#",B3418))),CONCATENATE(TRIM(F3418)," #",G3418),B3418)</f>
        <v>Road Sign: Pets Off Grass</v>
      </c>
    </row>
    <row r="3419" spans="1:8" ht="15.75" thickBot="1" x14ac:dyDescent="0.3">
      <c r="A3419" s="1" t="s">
        <v>5672</v>
      </c>
      <c r="B3419" s="1" t="s">
        <v>10276</v>
      </c>
      <c r="C3419" s="1"/>
      <c r="D3419" s="2" t="s">
        <v>751</v>
      </c>
      <c r="E3419" s="3" t="str">
        <f>IF(ISERROR(VLOOKUP(B3419,Failures!$A$1:$A$4000,1,FALSE)),"Keep","Delete")</f>
        <v>Keep</v>
      </c>
      <c r="F3419" t="str">
        <f>IF(ISNUMBER(SEARCH("#",B3419)), LEFT(B3419,FIND("#",B3419)-1), B3419)</f>
        <v>Road Sign: Pier Ends</v>
      </c>
      <c r="G3419" s="26">
        <f>IF(ISNUMBER(SEARCH("#",B3419)),VALUE(MID(B3419,FIND("#",B3419)+1,1000)),1)</f>
        <v>1</v>
      </c>
      <c r="H3419" t="str">
        <f>IF(AND(regexMatch(B3419,".*#[0-9]*$"),ISNUMBER(SEARCH("#",B3419))),CONCATENATE(TRIM(F3419)," #",G3419),B3419)</f>
        <v>Road Sign: Pier Ends</v>
      </c>
    </row>
    <row r="3420" spans="1:8" ht="15.75" thickBot="1" x14ac:dyDescent="0.3">
      <c r="A3420" s="1" t="s">
        <v>5698</v>
      </c>
      <c r="B3420" s="1" t="s">
        <v>10253</v>
      </c>
      <c r="C3420" s="1"/>
      <c r="D3420" s="2" t="s">
        <v>751</v>
      </c>
      <c r="E3420" s="3" t="str">
        <f>IF(ISERROR(VLOOKUP(B3420,Failures!$A$1:$A$4000,1,FALSE)),"Keep","Delete")</f>
        <v>Keep</v>
      </c>
      <c r="F3420" t="str">
        <f>IF(ISNUMBER(SEARCH("#",B3420)), LEFT(B3420,FIND("#",B3420)-1), B3420)</f>
        <v>Road Sign: Quiet Please</v>
      </c>
      <c r="G3420" s="26">
        <f>IF(ISNUMBER(SEARCH("#",B3420)),VALUE(MID(B3420,FIND("#",B3420)+1,1000)),1)</f>
        <v>1</v>
      </c>
      <c r="H3420" t="str">
        <f>IF(AND(regexMatch(B3420,".*#[0-9]*$"),ISNUMBER(SEARCH("#",B3420))),CONCATENATE(TRIM(F3420)," #",G3420),B3420)</f>
        <v>Road Sign: Quiet Please</v>
      </c>
    </row>
    <row r="3421" spans="1:8" ht="15.75" thickBot="1" x14ac:dyDescent="0.3">
      <c r="A3421" s="1" t="s">
        <v>5644</v>
      </c>
      <c r="B3421" s="1" t="s">
        <v>10304</v>
      </c>
      <c r="C3421" s="1"/>
      <c r="D3421" s="2" t="s">
        <v>751</v>
      </c>
      <c r="E3421" s="3" t="str">
        <f>IF(ISERROR(VLOOKUP(B3421,Failures!$A$1:$A$4000,1,FALSE)),"Keep","Delete")</f>
        <v>Keep</v>
      </c>
      <c r="F3421" t="str">
        <f>IF(ISNUMBER(SEARCH("#",B3421)), LEFT(B3421,FIND("#",B3421)-1), B3421)</f>
        <v>Road Sign: Railroad 2 Tracks</v>
      </c>
      <c r="G3421" s="26">
        <f>IF(ISNUMBER(SEARCH("#",B3421)),VALUE(MID(B3421,FIND("#",B3421)+1,1000)),1)</f>
        <v>1</v>
      </c>
      <c r="H3421" t="str">
        <f>IF(AND(regexMatch(B3421,".*#[0-9]*$"),ISNUMBER(SEARCH("#",B3421))),CONCATENATE(TRIM(F3421)," #",G3421),B3421)</f>
        <v>Road Sign: Railroad 2 Tracks</v>
      </c>
    </row>
    <row r="3422" spans="1:8" ht="15.75" thickBot="1" x14ac:dyDescent="0.3">
      <c r="A3422" s="1" t="s">
        <v>5643</v>
      </c>
      <c r="B3422" s="1" t="s">
        <v>10305</v>
      </c>
      <c r="C3422" s="1"/>
      <c r="D3422" s="2" t="s">
        <v>751</v>
      </c>
      <c r="E3422" s="3" t="str">
        <f>IF(ISERROR(VLOOKUP(B3422,Failures!$A$1:$A$4000,1,FALSE)),"Keep","Delete")</f>
        <v>Keep</v>
      </c>
      <c r="F3422" t="str">
        <f>IF(ISNUMBER(SEARCH("#",B3422)), LEFT(B3422,FIND("#",B3422)-1), B3422)</f>
        <v>Road Sign: Railroad 3 Tracks</v>
      </c>
      <c r="G3422" s="26">
        <f>IF(ISNUMBER(SEARCH("#",B3422)),VALUE(MID(B3422,FIND("#",B3422)+1,1000)),1)</f>
        <v>1</v>
      </c>
      <c r="H3422" t="str">
        <f>IF(AND(regexMatch(B3422,".*#[0-9]*$"),ISNUMBER(SEARCH("#",B3422))),CONCATENATE(TRIM(F3422)," #",G3422),B3422)</f>
        <v>Road Sign: Railroad 3 Tracks</v>
      </c>
    </row>
    <row r="3423" spans="1:8" ht="15.75" thickBot="1" x14ac:dyDescent="0.3">
      <c r="A3423" s="1" t="s">
        <v>5653</v>
      </c>
      <c r="B3423" s="1" t="s">
        <v>10295</v>
      </c>
      <c r="C3423" s="1"/>
      <c r="D3423" s="2" t="s">
        <v>751</v>
      </c>
      <c r="E3423" s="3" t="str">
        <f>IF(ISERROR(VLOOKUP(B3423,Failures!$A$1:$A$4000,1,FALSE)),"Keep","Delete")</f>
        <v>Keep</v>
      </c>
      <c r="F3423" t="str">
        <f>IF(ISNUMBER(SEARCH("#",B3423)), LEFT(B3423,FIND("#",B3423)-1), B3423)</f>
        <v>Road Sign: Ramp 35MPH</v>
      </c>
      <c r="G3423" s="26">
        <f>IF(ISNUMBER(SEARCH("#",B3423)),VALUE(MID(B3423,FIND("#",B3423)+1,1000)),1)</f>
        <v>1</v>
      </c>
      <c r="H3423" t="str">
        <f>IF(AND(regexMatch(B3423,".*#[0-9]*$"),ISNUMBER(SEARCH("#",B3423))),CONCATENATE(TRIM(F3423)," #",G3423),B3423)</f>
        <v>Road Sign: Ramp 35MPH</v>
      </c>
    </row>
    <row r="3424" spans="1:8" ht="15.75" thickBot="1" x14ac:dyDescent="0.3">
      <c r="A3424" s="1" t="s">
        <v>5717</v>
      </c>
      <c r="B3424" s="1" t="s">
        <v>10234</v>
      </c>
      <c r="C3424" s="1"/>
      <c r="D3424" s="2" t="s">
        <v>751</v>
      </c>
      <c r="E3424" s="3" t="str">
        <f>IF(ISERROR(VLOOKUP(B3424,Failures!$A$1:$A$4000,1,FALSE)),"Keep","Delete")</f>
        <v>Keep</v>
      </c>
      <c r="F3424" t="str">
        <f>IF(ISNUMBER(SEARCH("#",B3424)), LEFT(B3424,FIND("#",B3424)-1), B3424)</f>
        <v>Road Sign: Rattle Snakes</v>
      </c>
      <c r="G3424" s="26">
        <f>IF(ISNUMBER(SEARCH("#",B3424)),VALUE(MID(B3424,FIND("#",B3424)+1,1000)),1)</f>
        <v>1</v>
      </c>
      <c r="H3424" t="str">
        <f>IF(AND(regexMatch(B3424,".*#[0-9]*$"),ISNUMBER(SEARCH("#",B3424))),CONCATENATE(TRIM(F3424)," #",G3424),B3424)</f>
        <v>Road Sign: Rattle Snakes</v>
      </c>
    </row>
    <row r="3425" spans="1:8" ht="15.75" thickBot="1" x14ac:dyDescent="0.3">
      <c r="A3425" s="7" t="s">
        <v>4210</v>
      </c>
      <c r="B3425" s="9" t="s">
        <v>4441</v>
      </c>
      <c r="C3425" s="9"/>
      <c r="D3425" s="14" t="s">
        <v>751</v>
      </c>
      <c r="E3425" s="3" t="str">
        <f>IF(ISERROR(VLOOKUP(B3425,Failures!$A$1:$A$4000,1,FALSE)),"Keep","Delete")</f>
        <v>Keep</v>
      </c>
      <c r="F3425" t="str">
        <f>IF(ISNUMBER(SEARCH("#",B3425)), LEFT(B3425,FIND("#",B3425)-1), B3425)</f>
        <v>Road Sign: Right Arrow</v>
      </c>
      <c r="G3425" s="26">
        <f>IF(ISNUMBER(SEARCH("#",B3425)),VALUE(MID(B3425,FIND("#",B3425)+1,1000)),1)</f>
        <v>1</v>
      </c>
      <c r="H3425" t="str">
        <f>IF(AND(regexMatch(B3425,".*#[0-9]*$"),ISNUMBER(SEARCH("#",B3425))),CONCATENATE(TRIM(F3425)," #",G3425),B3425)</f>
        <v>Road Sign: Right Arrow</v>
      </c>
    </row>
    <row r="3426" spans="1:8" ht="15.75" thickBot="1" x14ac:dyDescent="0.3">
      <c r="A3426" s="7" t="s">
        <v>4214</v>
      </c>
      <c r="B3426" s="9" t="s">
        <v>4433</v>
      </c>
      <c r="C3426" s="9"/>
      <c r="D3426" s="14" t="s">
        <v>751</v>
      </c>
      <c r="E3426" s="3" t="str">
        <f>IF(ISERROR(VLOOKUP(B3426,Failures!$A$1:$A$4000,1,FALSE)),"Keep","Delete")</f>
        <v>Keep</v>
      </c>
      <c r="F3426" t="str">
        <f>IF(ISNUMBER(SEARCH("#",B3426)), LEFT(B3426,FIND("#",B3426)-1), B3426)</f>
        <v>Road Sign: Right Bend</v>
      </c>
      <c r="G3426" s="26">
        <f>IF(ISNUMBER(SEARCH("#",B3426)),VALUE(MID(B3426,FIND("#",B3426)+1,1000)),1)</f>
        <v>1</v>
      </c>
      <c r="H3426" t="str">
        <f>IF(AND(regexMatch(B3426,".*#[0-9]*$"),ISNUMBER(SEARCH("#",B3426))),CONCATENATE(TRIM(F3426)," #",G3426),B3426)</f>
        <v>Road Sign: Right Bend</v>
      </c>
    </row>
    <row r="3427" spans="1:8" ht="15.75" thickBot="1" x14ac:dyDescent="0.3">
      <c r="A3427" s="7" t="s">
        <v>4212</v>
      </c>
      <c r="B3427" s="9" t="s">
        <v>4437</v>
      </c>
      <c r="C3427" s="9"/>
      <c r="D3427" s="14" t="s">
        <v>751</v>
      </c>
      <c r="E3427" s="3" t="str">
        <f>IF(ISERROR(VLOOKUP(B3427,Failures!$A$1:$A$4000,1,FALSE)),"Keep","Delete")</f>
        <v>Keep</v>
      </c>
      <c r="F3427" t="str">
        <f>IF(ISNUMBER(SEARCH("#",B3427)), LEFT(B3427,FIND("#",B3427)-1), B3427)</f>
        <v>Road Sign: Right Only</v>
      </c>
      <c r="G3427" s="26">
        <f>IF(ISNUMBER(SEARCH("#",B3427)),VALUE(MID(B3427,FIND("#",B3427)+1,1000)),1)</f>
        <v>1</v>
      </c>
      <c r="H3427" t="str">
        <f>IF(AND(regexMatch(B3427,".*#[0-9]*$"),ISNUMBER(SEARCH("#",B3427))),CONCATENATE(TRIM(F3427)," #",G3427),B3427)</f>
        <v>Road Sign: Right Only</v>
      </c>
    </row>
    <row r="3428" spans="1:8" ht="15.75" thickBot="1" x14ac:dyDescent="0.3">
      <c r="A3428" s="7" t="s">
        <v>4216</v>
      </c>
      <c r="B3428" s="9" t="s">
        <v>4435</v>
      </c>
      <c r="C3428" s="9"/>
      <c r="D3428" s="14" t="s">
        <v>751</v>
      </c>
      <c r="E3428" s="3" t="str">
        <f>IF(ISERROR(VLOOKUP(B3428,Failures!$A$1:$A$4000,1,FALSE)),"Keep","Delete")</f>
        <v>Keep</v>
      </c>
      <c r="F3428" t="str">
        <f>IF(ISNUMBER(SEARCH("#",B3428)), LEFT(B3428,FIND("#",B3428)-1), B3428)</f>
        <v>Road Sign: Right Turn</v>
      </c>
      <c r="G3428" s="26">
        <f>IF(ISNUMBER(SEARCH("#",B3428)),VALUE(MID(B3428,FIND("#",B3428)+1,1000)),1)</f>
        <v>1</v>
      </c>
      <c r="H3428" t="str">
        <f>IF(AND(regexMatch(B3428,".*#[0-9]*$"),ISNUMBER(SEARCH("#",B3428))),CONCATENATE(TRIM(F3428)," #",G3428),B3428)</f>
        <v>Road Sign: Right Turn</v>
      </c>
    </row>
    <row r="3429" spans="1:8" ht="15.75" thickBot="1" x14ac:dyDescent="0.3">
      <c r="A3429" s="1" t="s">
        <v>5724</v>
      </c>
      <c r="B3429" s="1" t="s">
        <v>10227</v>
      </c>
      <c r="C3429" s="1"/>
      <c r="D3429" s="2" t="s">
        <v>751</v>
      </c>
      <c r="E3429" s="3" t="str">
        <f>IF(ISERROR(VLOOKUP(B3429,Failures!$A$1:$A$4000,1,FALSE)),"Keep","Delete")</f>
        <v>Keep</v>
      </c>
      <c r="F3429" t="str">
        <f>IF(ISNUMBER(SEARCH("#",B3429)), LEFT(B3429,FIND("#",B3429)-1), B3429)</f>
        <v>Road Sign: Road Closed</v>
      </c>
      <c r="G3429" s="26">
        <f>IF(ISNUMBER(SEARCH("#",B3429)),VALUE(MID(B3429,FIND("#",B3429)+1,1000)),1)</f>
        <v>1</v>
      </c>
      <c r="H3429" t="str">
        <f>IF(AND(regexMatch(B3429,".*#[0-9]*$"),ISNUMBER(SEARCH("#",B3429))),CONCATENATE(TRIM(F3429)," #",G3429),B3429)</f>
        <v>Road Sign: Road Closed</v>
      </c>
    </row>
    <row r="3430" spans="1:8" ht="15.75" thickBot="1" x14ac:dyDescent="0.3">
      <c r="A3430" s="1" t="s">
        <v>5638</v>
      </c>
      <c r="B3430" s="1" t="s">
        <v>10310</v>
      </c>
      <c r="C3430" s="1"/>
      <c r="D3430" s="2" t="s">
        <v>751</v>
      </c>
      <c r="E3430" s="3" t="str">
        <f>IF(ISERROR(VLOOKUP(B3430,Failures!$A$1:$A$4000,1,FALSE)),"Keep","Delete")</f>
        <v>Keep</v>
      </c>
      <c r="F3430" t="str">
        <f>IF(ISNUMBER(SEARCH("#",B3430)), LEFT(B3430,FIND("#",B3430)-1), B3430)</f>
        <v xml:space="preserve">Road Sign: Route </v>
      </c>
      <c r="G3430" s="26">
        <f>IF(ISNUMBER(SEARCH("#",B3430)),VALUE(MID(B3430,FIND("#",B3430)+1,1000)),1)</f>
        <v>1</v>
      </c>
      <c r="H3430" t="str">
        <f>IF(AND(regexMatch(B3430,".*#[0-9]*$"),ISNUMBER(SEARCH("#",B3430))),CONCATENATE(TRIM(F3430)," #",G3430),B3430)</f>
        <v>Road Sign: Route #1</v>
      </c>
    </row>
    <row r="3431" spans="1:8" ht="15.75" thickBot="1" x14ac:dyDescent="0.3">
      <c r="A3431" s="1" t="s">
        <v>5637</v>
      </c>
      <c r="B3431" s="1" t="s">
        <v>10311</v>
      </c>
      <c r="C3431" s="1"/>
      <c r="D3431" s="2" t="s">
        <v>751</v>
      </c>
      <c r="E3431" s="3" t="str">
        <f>IF(ISERROR(VLOOKUP(B3431,Failures!$A$1:$A$4000,1,FALSE)),"Keep","Delete")</f>
        <v>Keep</v>
      </c>
      <c r="F3431" t="str">
        <f>IF(ISNUMBER(SEARCH("#",B3431)), LEFT(B3431,FIND("#",B3431)-1), B3431)</f>
        <v xml:space="preserve">Road Sign: Route </v>
      </c>
      <c r="G3431" s="26">
        <f>IF(ISNUMBER(SEARCH("#",B3431)),VALUE(MID(B3431,FIND("#",B3431)+1,1000)),1)</f>
        <v>11</v>
      </c>
      <c r="H3431" t="str">
        <f>IF(AND(regexMatch(B3431,".*#[0-9]*$"),ISNUMBER(SEARCH("#",B3431))),CONCATENATE(TRIM(F3431)," #",G3431),B3431)</f>
        <v>Road Sign: Route #11</v>
      </c>
    </row>
    <row r="3432" spans="1:8" ht="15.75" thickBot="1" x14ac:dyDescent="0.3">
      <c r="A3432" s="1" t="s">
        <v>5636</v>
      </c>
      <c r="B3432" s="1" t="s">
        <v>10312</v>
      </c>
      <c r="C3432" s="1"/>
      <c r="D3432" s="2" t="s">
        <v>751</v>
      </c>
      <c r="E3432" s="3" t="str">
        <f>IF(ISERROR(VLOOKUP(B3432,Failures!$A$1:$A$4000,1,FALSE)),"Keep","Delete")</f>
        <v>Keep</v>
      </c>
      <c r="F3432" t="str">
        <f>IF(ISNUMBER(SEARCH("#",B3432)), LEFT(B3432,FIND("#",B3432)-1), B3432)</f>
        <v xml:space="preserve">Road Sign: Route </v>
      </c>
      <c r="G3432" s="26">
        <f>IF(ISNUMBER(SEARCH("#",B3432)),VALUE(MID(B3432,FIND("#",B3432)+1,1000)),1)</f>
        <v>13</v>
      </c>
      <c r="H3432" t="str">
        <f>IF(AND(regexMatch(B3432,".*#[0-9]*$"),ISNUMBER(SEARCH("#",B3432))),CONCATENATE(TRIM(F3432)," #",G3432),B3432)</f>
        <v>Road Sign: Route #13</v>
      </c>
    </row>
    <row r="3433" spans="1:8" ht="15.75" thickBot="1" x14ac:dyDescent="0.3">
      <c r="A3433" s="1" t="s">
        <v>5635</v>
      </c>
      <c r="B3433" s="1" t="s">
        <v>10313</v>
      </c>
      <c r="C3433" s="1"/>
      <c r="D3433" s="2" t="s">
        <v>751</v>
      </c>
      <c r="E3433" s="3" t="str">
        <f>IF(ISERROR(VLOOKUP(B3433,Failures!$A$1:$A$4000,1,FALSE)),"Keep","Delete")</f>
        <v>Keep</v>
      </c>
      <c r="F3433" t="str">
        <f>IF(ISNUMBER(SEARCH("#",B3433)), LEFT(B3433,FIND("#",B3433)-1), B3433)</f>
        <v xml:space="preserve">Road Sign: Route </v>
      </c>
      <c r="G3433" s="26">
        <f>IF(ISNUMBER(SEARCH("#",B3433)),VALUE(MID(B3433,FIND("#",B3433)+1,1000)),1)</f>
        <v>15</v>
      </c>
      <c r="H3433" t="str">
        <f>IF(AND(regexMatch(B3433,".*#[0-9]*$"),ISNUMBER(SEARCH("#",B3433))),CONCATENATE(TRIM(F3433)," #",G3433),B3433)</f>
        <v>Road Sign: Route #15</v>
      </c>
    </row>
    <row r="3434" spans="1:8" ht="15.75" thickBot="1" x14ac:dyDescent="0.3">
      <c r="A3434" s="1" t="s">
        <v>5696</v>
      </c>
      <c r="B3434" s="1" t="s">
        <v>10255</v>
      </c>
      <c r="C3434" s="1"/>
      <c r="D3434" s="2" t="s">
        <v>751</v>
      </c>
      <c r="E3434" s="3" t="str">
        <f>IF(ISERROR(VLOOKUP(B3434,Failures!$A$1:$A$4000,1,FALSE)),"Keep","Delete")</f>
        <v>Keep</v>
      </c>
      <c r="F3434" t="str">
        <f>IF(ISNUMBER(SEARCH("#",B3434)), LEFT(B3434,FIND("#",B3434)-1), B3434)</f>
        <v>Road Sign: San Andreas Rules</v>
      </c>
      <c r="G3434" s="26">
        <f>IF(ISNUMBER(SEARCH("#",B3434)),VALUE(MID(B3434,FIND("#",B3434)+1,1000)),1)</f>
        <v>1</v>
      </c>
      <c r="H3434" t="str">
        <f>IF(AND(regexMatch(B3434,".*#[0-9]*$"),ISNUMBER(SEARCH("#",B3434))),CONCATENATE(TRIM(F3434)," #",G3434),B3434)</f>
        <v>Road Sign: San Andreas Rules</v>
      </c>
    </row>
    <row r="3435" spans="1:8" ht="15.75" thickBot="1" x14ac:dyDescent="0.3">
      <c r="A3435" s="1" t="s">
        <v>5723</v>
      </c>
      <c r="B3435" s="1" t="s">
        <v>10228</v>
      </c>
      <c r="C3435" s="1"/>
      <c r="D3435" s="2" t="s">
        <v>751</v>
      </c>
      <c r="E3435" s="3" t="str">
        <f>IF(ISERROR(VLOOKUP(B3435,Failures!$A$1:$A$4000,1,FALSE)),"Keep","Delete")</f>
        <v>Keep</v>
      </c>
      <c r="F3435" t="str">
        <f>IF(ISNUMBER(SEARCH("#",B3435)), LEFT(B3435,FIND("#",B3435)-1), B3435)</f>
        <v>Road Sign: Sidewalk Closed</v>
      </c>
      <c r="G3435" s="26">
        <f>IF(ISNUMBER(SEARCH("#",B3435)),VALUE(MID(B3435,FIND("#",B3435)+1,1000)),1)</f>
        <v>1</v>
      </c>
      <c r="H3435" t="str">
        <f>IF(AND(regexMatch(B3435,".*#[0-9]*$"),ISNUMBER(SEARCH("#",B3435))),CONCATENATE(TRIM(F3435)," #",G3435),B3435)</f>
        <v>Road Sign: Sidewalk Closed</v>
      </c>
    </row>
    <row r="3436" spans="1:8" ht="15.75" thickBot="1" x14ac:dyDescent="0.3">
      <c r="A3436" s="1" t="s">
        <v>5671</v>
      </c>
      <c r="B3436" s="1" t="s">
        <v>10277</v>
      </c>
      <c r="C3436" s="1"/>
      <c r="D3436" s="2" t="s">
        <v>751</v>
      </c>
      <c r="E3436" s="3" t="str">
        <f>IF(ISERROR(VLOOKUP(B3436,Failures!$A$1:$A$4000,1,FALSE)),"Keep","Delete")</f>
        <v>Keep</v>
      </c>
      <c r="F3436" t="str">
        <f>IF(ISNUMBER(SEARCH("#",B3436)), LEFT(B3436,FIND("#",B3436)-1), B3436)</f>
        <v>Road Sign: Slippy</v>
      </c>
      <c r="G3436" s="26">
        <f>IF(ISNUMBER(SEARCH("#",B3436)),VALUE(MID(B3436,FIND("#",B3436)+1,1000)),1)</f>
        <v>1</v>
      </c>
      <c r="H3436" t="str">
        <f>IF(AND(regexMatch(B3436,".*#[0-9]*$"),ISNUMBER(SEARCH("#",B3436))),CONCATENATE(TRIM(F3436)," #",G3436),B3436)</f>
        <v>Road Sign: Slippy</v>
      </c>
    </row>
    <row r="3437" spans="1:8" ht="15.75" thickBot="1" x14ac:dyDescent="0.3">
      <c r="A3437" s="1" t="s">
        <v>5664</v>
      </c>
      <c r="B3437" s="1" t="s">
        <v>10284</v>
      </c>
      <c r="C3437" s="1"/>
      <c r="D3437" s="2" t="s">
        <v>751</v>
      </c>
      <c r="E3437" s="3" t="str">
        <f>IF(ISERROR(VLOOKUP(B3437,Failures!$A$1:$A$4000,1,FALSE)),"Keep","Delete")</f>
        <v>Keep</v>
      </c>
      <c r="F3437" t="str">
        <f>IF(ISNUMBER(SEARCH("#",B3437)), LEFT(B3437,FIND("#",B3437)-1), B3437)</f>
        <v>Road Sign: Split</v>
      </c>
      <c r="G3437" s="26">
        <f>IF(ISNUMBER(SEARCH("#",B3437)),VALUE(MID(B3437,FIND("#",B3437)+1,1000)),1)</f>
        <v>1</v>
      </c>
      <c r="H3437" t="str">
        <f>IF(AND(regexMatch(B3437,".*#[0-9]*$"),ISNUMBER(SEARCH("#",B3437))),CONCATENATE(TRIM(F3437)," #",G3437),B3437)</f>
        <v>Road Sign: Split</v>
      </c>
    </row>
    <row r="3438" spans="1:8" ht="15.75" thickBot="1" x14ac:dyDescent="0.3">
      <c r="A3438" s="1" t="s">
        <v>5715</v>
      </c>
      <c r="B3438" s="1" t="s">
        <v>10236</v>
      </c>
      <c r="C3438" s="1"/>
      <c r="D3438" s="2" t="s">
        <v>751</v>
      </c>
      <c r="E3438" s="3" t="str">
        <f>IF(ISERROR(VLOOKUP(B3438,Failures!$A$1:$A$4000,1,FALSE)),"Keep","Delete")</f>
        <v>Keep</v>
      </c>
      <c r="F3438" t="str">
        <f>IF(ISNUMBER(SEARCH("#",B3438)), LEFT(B3438,FIND("#",B3438)-1), B3438)</f>
        <v>Road Sign: Stay In Lane</v>
      </c>
      <c r="G3438" s="26">
        <f>IF(ISNUMBER(SEARCH("#",B3438)),VALUE(MID(B3438,FIND("#",B3438)+1,1000)),1)</f>
        <v>1</v>
      </c>
      <c r="H3438" t="str">
        <f>IF(AND(regexMatch(B3438,".*#[0-9]*$"),ISNUMBER(SEARCH("#",B3438))),CONCATENATE(TRIM(F3438)," #",G3438),B3438)</f>
        <v>Road Sign: Stay In Lane</v>
      </c>
    </row>
    <row r="3439" spans="1:8" ht="15.75" thickBot="1" x14ac:dyDescent="0.3">
      <c r="A3439" s="1" t="s">
        <v>5741</v>
      </c>
      <c r="B3439" s="1" t="s">
        <v>10211</v>
      </c>
      <c r="C3439" s="1"/>
      <c r="D3439" s="2" t="s">
        <v>751</v>
      </c>
      <c r="E3439" s="3" t="str">
        <f>IF(ISERROR(VLOOKUP(B3439,Failures!$A$1:$A$4000,1,FALSE)),"Keep","Delete")</f>
        <v>Keep</v>
      </c>
      <c r="F3439" t="str">
        <f>IF(ISNUMBER(SEARCH("#",B3439)), LEFT(B3439,FIND("#",B3439)-1), B3439)</f>
        <v>Road Sign: Stop</v>
      </c>
      <c r="G3439" s="26">
        <f>IF(ISNUMBER(SEARCH("#",B3439)),VALUE(MID(B3439,FIND("#",B3439)+1,1000)),1)</f>
        <v>1</v>
      </c>
      <c r="H3439" t="str">
        <f>IF(AND(regexMatch(B3439,".*#[0-9]*$"),ISNUMBER(SEARCH("#",B3439))),CONCATENATE(TRIM(F3439)," #",G3439),B3439)</f>
        <v>Road Sign: Stop</v>
      </c>
    </row>
    <row r="3440" spans="1:8" ht="15.75" thickBot="1" x14ac:dyDescent="0.3">
      <c r="A3440" s="1" t="s">
        <v>5744</v>
      </c>
      <c r="B3440" s="1" t="s">
        <v>10208</v>
      </c>
      <c r="C3440" s="1"/>
      <c r="D3440" s="2" t="s">
        <v>751</v>
      </c>
      <c r="E3440" s="3" t="str">
        <f>IF(ISERROR(VLOOKUP(B3440,Failures!$A$1:$A$4000,1,FALSE)),"Keep","Delete")</f>
        <v>Keep</v>
      </c>
      <c r="F3440" t="str">
        <f>IF(ISNUMBER(SEARCH("#",B3440)), LEFT(B3440,FIND("#",B3440)-1), B3440)</f>
        <v>Road Sign: Stop (Snowy)</v>
      </c>
      <c r="G3440" s="26">
        <f>IF(ISNUMBER(SEARCH("#",B3440)),VALUE(MID(B3440,FIND("#",B3440)+1,1000)),1)</f>
        <v>1</v>
      </c>
      <c r="H3440" t="str">
        <f>IF(AND(regexMatch(B3440,".*#[0-9]*$"),ISNUMBER(SEARCH("#",B3440))),CONCATENATE(TRIM(F3440)," #",G3440),B3440)</f>
        <v>Road Sign: Stop (Snowy)</v>
      </c>
    </row>
    <row r="3441" spans="1:8" ht="15.75" thickBot="1" x14ac:dyDescent="0.3">
      <c r="A3441" s="1" t="s">
        <v>5739</v>
      </c>
      <c r="B3441" s="1" t="s">
        <v>10213</v>
      </c>
      <c r="C3441" s="1"/>
      <c r="D3441" s="2" t="s">
        <v>751</v>
      </c>
      <c r="E3441" s="3" t="str">
        <f>IF(ISERROR(VLOOKUP(B3441,Failures!$A$1:$A$4000,1,FALSE)),"Keep","Delete")</f>
        <v>Keep</v>
      </c>
      <c r="F3441" t="str">
        <f>IF(ISNUMBER(SEARCH("#",B3441)), LEFT(B3441,FIND("#",B3441)-1), B3441)</f>
        <v>Road Sign: Stop Ahead</v>
      </c>
      <c r="G3441" s="26">
        <f>IF(ISNUMBER(SEARCH("#",B3441)),VALUE(MID(B3441,FIND("#",B3441)+1,1000)),1)</f>
        <v>1</v>
      </c>
      <c r="H3441" t="str">
        <f>IF(AND(regexMatch(B3441,".*#[0-9]*$"),ISNUMBER(SEARCH("#",B3441))),CONCATENATE(TRIM(F3441)," #",G3441),B3441)</f>
        <v>Road Sign: Stop Ahead</v>
      </c>
    </row>
    <row r="3442" spans="1:8" ht="15.75" thickBot="1" x14ac:dyDescent="0.3">
      <c r="A3442" s="1" t="s">
        <v>5970</v>
      </c>
      <c r="B3442" s="1" t="s">
        <v>10350</v>
      </c>
      <c r="C3442" s="1"/>
      <c r="D3442" s="2" t="s">
        <v>751</v>
      </c>
      <c r="E3442" s="3" t="str">
        <f>IF(ISERROR(VLOOKUP(B3442,Failures!$A$1:$A$4000,1,FALSE)),"Keep","Delete")</f>
        <v>Keep</v>
      </c>
      <c r="F3442" t="str">
        <f>IF(ISNUMBER(SEARCH("#",B3442)), LEFT(B3442,FIND("#",B3442)-1), B3442)</f>
        <v>Road Sign: Stop Rail Crossing</v>
      </c>
      <c r="G3442" s="26">
        <f>IF(ISNUMBER(SEARCH("#",B3442)),VALUE(MID(B3442,FIND("#",B3442)+1,1000)),1)</f>
        <v>1</v>
      </c>
      <c r="H3442" t="str">
        <f>IF(AND(regexMatch(B3442,".*#[0-9]*$"),ISNUMBER(SEARCH("#",B3442))),CONCATENATE(TRIM(F3442)," #",G3442),B3442)</f>
        <v>Road Sign: Stop Rail Crossing</v>
      </c>
    </row>
    <row r="3443" spans="1:8" ht="15.75" thickBot="1" x14ac:dyDescent="0.3">
      <c r="A3443" s="1" t="s">
        <v>5740</v>
      </c>
      <c r="B3443" s="1" t="s">
        <v>10212</v>
      </c>
      <c r="C3443" s="1"/>
      <c r="D3443" s="2" t="s">
        <v>751</v>
      </c>
      <c r="E3443" s="3" t="str">
        <f>IF(ISERROR(VLOOKUP(B3443,Failures!$A$1:$A$4000,1,FALSE)),"Keep","Delete")</f>
        <v>Keep</v>
      </c>
      <c r="F3443" t="str">
        <f>IF(ISNUMBER(SEARCH("#",B3443)), LEFT(B3443,FIND("#",B3443)-1), B3443)</f>
        <v>Road Sign: Stop Wrong Way</v>
      </c>
      <c r="G3443" s="26">
        <f>IF(ISNUMBER(SEARCH("#",B3443)),VALUE(MID(B3443,FIND("#",B3443)+1,1000)),1)</f>
        <v>1</v>
      </c>
      <c r="H3443" t="str">
        <f>IF(AND(regexMatch(B3443,".*#[0-9]*$"),ISNUMBER(SEARCH("#",B3443))),CONCATENATE(TRIM(F3443)," #",G3443),B3443)</f>
        <v>Road Sign: Stop Wrong Way</v>
      </c>
    </row>
    <row r="3444" spans="1:8" ht="15.75" thickBot="1" x14ac:dyDescent="0.3">
      <c r="A3444" s="1" t="s">
        <v>5628</v>
      </c>
      <c r="B3444" s="1" t="s">
        <v>10320</v>
      </c>
      <c r="C3444" s="1"/>
      <c r="D3444" s="2" t="s">
        <v>751</v>
      </c>
      <c r="E3444" s="3" t="str">
        <f>IF(ISERROR(VLOOKUP(B3444,Failures!$A$1:$A$4000,1,FALSE)),"Keep","Delete")</f>
        <v>Keep</v>
      </c>
      <c r="F3444" t="str">
        <f>IF(ISNUMBER(SEARCH("#",B3444)), LEFT(B3444,FIND("#",B3444)-1), B3444)</f>
        <v>Road Sign: Taxi Zone</v>
      </c>
      <c r="G3444" s="26">
        <f>IF(ISNUMBER(SEARCH("#",B3444)),VALUE(MID(B3444,FIND("#",B3444)+1,1000)),1)</f>
        <v>1</v>
      </c>
      <c r="H3444" t="str">
        <f>IF(AND(regexMatch(B3444,".*#[0-9]*$"),ISNUMBER(SEARCH("#",B3444))),CONCATENATE(TRIM(F3444)," #",G3444),B3444)</f>
        <v>Road Sign: Taxi Zone</v>
      </c>
    </row>
    <row r="3445" spans="1:8" ht="15.75" thickBot="1" x14ac:dyDescent="0.3">
      <c r="A3445" s="1" t="s">
        <v>5783</v>
      </c>
      <c r="B3445" s="1" t="s">
        <v>10386</v>
      </c>
      <c r="C3445" s="1"/>
      <c r="D3445" s="2" t="s">
        <v>751</v>
      </c>
      <c r="E3445" s="3" t="str">
        <f>IF(ISERROR(VLOOKUP(B3445,Failures!$A$1:$A$4000,1,FALSE)),"Keep","Delete")</f>
        <v>Keep</v>
      </c>
      <c r="F3445" t="str">
        <f>IF(ISNUMBER(SEARCH("#",B3445)), LEFT(B3445,FIND("#",B3445)-1), B3445)</f>
        <v>Road Sign: Thru Traffic Direction</v>
      </c>
      <c r="G3445" s="26">
        <f>IF(ISNUMBER(SEARCH("#",B3445)),VALUE(MID(B3445,FIND("#",B3445)+1,1000)),1)</f>
        <v>1</v>
      </c>
      <c r="H3445" t="str">
        <f>IF(AND(regexMatch(B3445,".*#[0-9]*$"),ISNUMBER(SEARCH("#",B3445))),CONCATENATE(TRIM(F3445)," #",G3445),B3445)</f>
        <v>Road Sign: Thru Traffic Direction</v>
      </c>
    </row>
    <row r="3446" spans="1:8" ht="15.75" thickBot="1" x14ac:dyDescent="0.3">
      <c r="A3446" s="1" t="s">
        <v>5690</v>
      </c>
      <c r="B3446" s="1" t="s">
        <v>10260</v>
      </c>
      <c r="C3446" s="1"/>
      <c r="D3446" s="2" t="s">
        <v>751</v>
      </c>
      <c r="E3446" s="3" t="str">
        <f>IF(ISERROR(VLOOKUP(B3446,Failures!$A$1:$A$4000,1,FALSE)),"Keep","Delete")</f>
        <v>Keep</v>
      </c>
      <c r="F3446" t="str">
        <f>IF(ISNUMBER(SEARCH("#",B3446)), LEFT(B3446,FIND("#",B3446)-1), B3446)</f>
        <v>Road Sign: Tow Zone</v>
      </c>
      <c r="G3446" s="26">
        <f>IF(ISNUMBER(SEARCH("#",B3446)),VALUE(MID(B3446,FIND("#",B3446)+1,1000)),1)</f>
        <v>1</v>
      </c>
      <c r="H3446" t="str">
        <f>IF(AND(regexMatch(B3446,".*#[0-9]*$"),ISNUMBER(SEARCH("#",B3446))),CONCATENATE(TRIM(F3446)," #",G3446),B3446)</f>
        <v>Road Sign: Tow Zone</v>
      </c>
    </row>
    <row r="3447" spans="1:8" ht="15.75" thickBot="1" x14ac:dyDescent="0.3">
      <c r="A3447" s="1" t="s">
        <v>5670</v>
      </c>
      <c r="B3447" s="1" t="s">
        <v>10278</v>
      </c>
      <c r="C3447" s="1"/>
      <c r="D3447" s="2" t="s">
        <v>751</v>
      </c>
      <c r="E3447" s="3" t="str">
        <f>IF(ISERROR(VLOOKUP(B3447,Failures!$A$1:$A$4000,1,FALSE)),"Keep","Delete")</f>
        <v>Keep</v>
      </c>
      <c r="F3447" t="str">
        <f>IF(ISNUMBER(SEARCH("#",B3447)), LEFT(B3447,FIND("#",B3447)-1), B3447)</f>
        <v>Road Sign: Tractors</v>
      </c>
      <c r="G3447" s="26">
        <f>IF(ISNUMBER(SEARCH("#",B3447)),VALUE(MID(B3447,FIND("#",B3447)+1,1000)),1)</f>
        <v>1</v>
      </c>
      <c r="H3447" t="str">
        <f>IF(AND(regexMatch(B3447,".*#[0-9]*$"),ISNUMBER(SEARCH("#",B3447))),CONCATENATE(TRIM(F3447)," #",G3447),B3447)</f>
        <v>Road Sign: Tractors</v>
      </c>
    </row>
    <row r="3448" spans="1:8" ht="15.75" thickBot="1" x14ac:dyDescent="0.3">
      <c r="A3448" s="1" t="s">
        <v>5669</v>
      </c>
      <c r="B3448" s="1" t="s">
        <v>10279</v>
      </c>
      <c r="C3448" s="1"/>
      <c r="D3448" s="2" t="s">
        <v>751</v>
      </c>
      <c r="E3448" s="3" t="str">
        <f>IF(ISERROR(VLOOKUP(B3448,Failures!$A$1:$A$4000,1,FALSE)),"Keep","Delete")</f>
        <v>Keep</v>
      </c>
      <c r="F3448" t="str">
        <f>IF(ISNUMBER(SEARCH("#",B3448)), LEFT(B3448,FIND("#",B3448)-1), B3448)</f>
        <v>Road Sign: Trams</v>
      </c>
      <c r="G3448" s="26">
        <f>IF(ISNUMBER(SEARCH("#",B3448)),VALUE(MID(B3448,FIND("#",B3448)+1,1000)),1)</f>
        <v>1</v>
      </c>
      <c r="H3448" t="str">
        <f>IF(AND(regexMatch(B3448,".*#[0-9]*$"),ISNUMBER(SEARCH("#",B3448))),CONCATENATE(TRIM(F3448)," #",G3448),B3448)</f>
        <v>Road Sign: Trams</v>
      </c>
    </row>
    <row r="3449" spans="1:8" ht="15.75" thickBot="1" x14ac:dyDescent="0.3">
      <c r="A3449" s="1" t="s">
        <v>5668</v>
      </c>
      <c r="B3449" s="1" t="s">
        <v>10280</v>
      </c>
      <c r="C3449" s="1"/>
      <c r="D3449" s="2" t="s">
        <v>751</v>
      </c>
      <c r="E3449" s="3" t="str">
        <f>IF(ISERROR(VLOOKUP(B3449,Failures!$A$1:$A$4000,1,FALSE)),"Keep","Delete")</f>
        <v>Keep</v>
      </c>
      <c r="F3449" t="str">
        <f>IF(ISNUMBER(SEARCH("#",B3449)), LEFT(B3449,FIND("#",B3449)-1), B3449)</f>
        <v>Road Sign: Truck Entrance</v>
      </c>
      <c r="G3449" s="26">
        <f>IF(ISNUMBER(SEARCH("#",B3449)),VALUE(MID(B3449,FIND("#",B3449)+1,1000)),1)</f>
        <v>1</v>
      </c>
      <c r="H3449" t="str">
        <f>IF(AND(regexMatch(B3449,".*#[0-9]*$"),ISNUMBER(SEARCH("#",B3449))),CONCATENATE(TRIM(F3449)," #",G3449),B3449)</f>
        <v>Road Sign: Truck Entrance</v>
      </c>
    </row>
    <row r="3450" spans="1:8" ht="15.75" thickBot="1" x14ac:dyDescent="0.3">
      <c r="A3450" s="1" t="s">
        <v>5650</v>
      </c>
      <c r="B3450" s="1" t="s">
        <v>10298</v>
      </c>
      <c r="C3450" s="1"/>
      <c r="D3450" s="2" t="s">
        <v>751</v>
      </c>
      <c r="E3450" s="3" t="str">
        <f>IF(ISERROR(VLOOKUP(B3450,Failures!$A$1:$A$4000,1,FALSE)),"Keep","Delete")</f>
        <v>Keep</v>
      </c>
      <c r="F3450" t="str">
        <f>IF(ISNUMBER(SEARCH("#",B3450)), LEFT(B3450,FIND("#",B3450)-1), B3450)</f>
        <v>Road Sign: Trucks 20MPH</v>
      </c>
      <c r="G3450" s="26">
        <f>IF(ISNUMBER(SEARCH("#",B3450)),VALUE(MID(B3450,FIND("#",B3450)+1,1000)),1)</f>
        <v>1</v>
      </c>
      <c r="H3450" t="str">
        <f>IF(AND(regexMatch(B3450,".*#[0-9]*$"),ISNUMBER(SEARCH("#",B3450))),CONCATENATE(TRIM(F3450)," #",G3450),B3450)</f>
        <v>Road Sign: Trucks 20MPH</v>
      </c>
    </row>
    <row r="3451" spans="1:8" ht="15.75" thickBot="1" x14ac:dyDescent="0.3">
      <c r="A3451" s="1" t="s">
        <v>5649</v>
      </c>
      <c r="B3451" s="1" t="s">
        <v>10299</v>
      </c>
      <c r="C3451" s="1"/>
      <c r="D3451" s="2" t="s">
        <v>751</v>
      </c>
      <c r="E3451" s="3" t="str">
        <f>IF(ISERROR(VLOOKUP(B3451,Failures!$A$1:$A$4000,1,FALSE)),"Keep","Delete")</f>
        <v>Keep</v>
      </c>
      <c r="F3451" t="str">
        <f>IF(ISNUMBER(SEARCH("#",B3451)), LEFT(B3451,FIND("#",B3451)-1), B3451)</f>
        <v>Road Sign: Trucks 45MPH</v>
      </c>
      <c r="G3451" s="26">
        <f>IF(ISNUMBER(SEARCH("#",B3451)),VALUE(MID(B3451,FIND("#",B3451)+1,1000)),1)</f>
        <v>1</v>
      </c>
      <c r="H3451" t="str">
        <f>IF(AND(regexMatch(B3451,".*#[0-9]*$"),ISNUMBER(SEARCH("#",B3451))),CONCATENATE(TRIM(F3451)," #",G3451),B3451)</f>
        <v>Road Sign: Trucks 45MPH</v>
      </c>
    </row>
    <row r="3452" spans="1:8" ht="15.75" thickBot="1" x14ac:dyDescent="0.3">
      <c r="A3452" s="1" t="s">
        <v>5648</v>
      </c>
      <c r="B3452" s="1" t="s">
        <v>10300</v>
      </c>
      <c r="C3452" s="1"/>
      <c r="D3452" s="2" t="s">
        <v>751</v>
      </c>
      <c r="E3452" s="3" t="str">
        <f>IF(ISERROR(VLOOKUP(B3452,Failures!$A$1:$A$4000,1,FALSE)),"Keep","Delete")</f>
        <v>Keep</v>
      </c>
      <c r="F3452" t="str">
        <f>IF(ISNUMBER(SEARCH("#",B3452)), LEFT(B3452,FIND("#",B3452)-1), B3452)</f>
        <v>Road Sign: Trucks 55MPH</v>
      </c>
      <c r="G3452" s="26">
        <f>IF(ISNUMBER(SEARCH("#",B3452)),VALUE(MID(B3452,FIND("#",B3452)+1,1000)),1)</f>
        <v>1</v>
      </c>
      <c r="H3452" t="str">
        <f>IF(AND(regexMatch(B3452,".*#[0-9]*$"),ISNUMBER(SEARCH("#",B3452))),CONCATENATE(TRIM(F3452)," #",G3452),B3452)</f>
        <v>Road Sign: Trucks 55MPH</v>
      </c>
    </row>
    <row r="3453" spans="1:8" ht="15.75" thickBot="1" x14ac:dyDescent="0.3">
      <c r="A3453" s="1" t="s">
        <v>5651</v>
      </c>
      <c r="B3453" s="1" t="s">
        <v>10297</v>
      </c>
      <c r="C3453" s="1"/>
      <c r="D3453" s="2" t="s">
        <v>751</v>
      </c>
      <c r="E3453" s="3" t="str">
        <f>IF(ISERROR(VLOOKUP(B3453,Failures!$A$1:$A$4000,1,FALSE)),"Keep","Delete")</f>
        <v>Keep</v>
      </c>
      <c r="F3453" t="str">
        <f>IF(ISNUMBER(SEARCH("#",B3453)), LEFT(B3453,FIND("#",B3453)-1), B3453)</f>
        <v>Road Sign: Trucks 5MPH</v>
      </c>
      <c r="G3453" s="26">
        <f>IF(ISNUMBER(SEARCH("#",B3453)),VALUE(MID(B3453,FIND("#",B3453)+1,1000)),1)</f>
        <v>1</v>
      </c>
      <c r="H3453" t="str">
        <f>IF(AND(regexMatch(B3453,".*#[0-9]*$"),ISNUMBER(SEARCH("#",B3453))),CONCATENATE(TRIM(F3453)," #",G3453),B3453)</f>
        <v>Road Sign: Trucks 5MPH</v>
      </c>
    </row>
    <row r="3454" spans="1:8" ht="15.75" thickBot="1" x14ac:dyDescent="0.3">
      <c r="A3454" s="1" t="s">
        <v>5695</v>
      </c>
      <c r="B3454" s="1" t="s">
        <v>10256</v>
      </c>
      <c r="C3454" s="1"/>
      <c r="D3454" s="2" t="s">
        <v>751</v>
      </c>
      <c r="E3454" s="3" t="str">
        <f>IF(ISERROR(VLOOKUP(B3454,Failures!$A$1:$A$4000,1,FALSE)),"Keep","Delete")</f>
        <v>Keep</v>
      </c>
      <c r="F3454" t="str">
        <f>IF(ISNUMBER(SEARCH("#",B3454)), LEFT(B3454,FIND("#",B3454)-1), B3454)</f>
        <v>Road Sign: Tsunami</v>
      </c>
      <c r="G3454" s="26">
        <f>IF(ISNUMBER(SEARCH("#",B3454)),VALUE(MID(B3454,FIND("#",B3454)+1,1000)),1)</f>
        <v>1</v>
      </c>
      <c r="H3454" t="str">
        <f>IF(AND(regexMatch(B3454,".*#[0-9]*$"),ISNUMBER(SEARCH("#",B3454))),CONCATENATE(TRIM(F3454)," #",G3454),B3454)</f>
        <v>Road Sign: Tsunami</v>
      </c>
    </row>
    <row r="3455" spans="1:8" ht="15.75" thickBot="1" x14ac:dyDescent="0.3">
      <c r="A3455" s="1" t="s">
        <v>5694</v>
      </c>
      <c r="B3455" s="1" t="s">
        <v>10257</v>
      </c>
      <c r="C3455" s="1"/>
      <c r="D3455" s="2" t="s">
        <v>751</v>
      </c>
      <c r="E3455" s="3" t="str">
        <f>IF(ISERROR(VLOOKUP(B3455,Failures!$A$1:$A$4000,1,FALSE)),"Keep","Delete")</f>
        <v>Keep</v>
      </c>
      <c r="F3455" t="str">
        <f>IF(ISNUMBER(SEARCH("#",B3455)), LEFT(B3455,FIND("#",B3455)-1), B3455)</f>
        <v>Road Sign: Use Crosswalk</v>
      </c>
      <c r="G3455" s="26">
        <f>IF(ISNUMBER(SEARCH("#",B3455)),VALUE(MID(B3455,FIND("#",B3455)+1,1000)),1)</f>
        <v>1</v>
      </c>
      <c r="H3455" t="str">
        <f>IF(AND(regexMatch(B3455,".*#[0-9]*$"),ISNUMBER(SEARCH("#",B3455))),CONCATENATE(TRIM(F3455)," #",G3455),B3455)</f>
        <v>Road Sign: Use Crosswalk</v>
      </c>
    </row>
    <row r="3456" spans="1:8" ht="15.75" thickBot="1" x14ac:dyDescent="0.3">
      <c r="A3456" s="1" t="s">
        <v>5713</v>
      </c>
      <c r="B3456" s="1" t="s">
        <v>10238</v>
      </c>
      <c r="C3456" s="1"/>
      <c r="D3456" s="2" t="s">
        <v>751</v>
      </c>
      <c r="E3456" s="3" t="str">
        <f>IF(ISERROR(VLOOKUP(B3456,Failures!$A$1:$A$4000,1,FALSE)),"Keep","Delete")</f>
        <v>Keep</v>
      </c>
      <c r="F3456" t="str">
        <f>IF(ISNUMBER(SEARCH("#",B3456)), LEFT(B3456,FIND("#",B3456)-1), B3456)</f>
        <v>Road Sign: Welcome To Beach</v>
      </c>
      <c r="G3456" s="26">
        <f>IF(ISNUMBER(SEARCH("#",B3456)),VALUE(MID(B3456,FIND("#",B3456)+1,1000)),1)</f>
        <v>1</v>
      </c>
      <c r="H3456" t="str">
        <f>IF(AND(regexMatch(B3456,".*#[0-9]*$"),ISNUMBER(SEARCH("#",B3456))),CONCATENATE(TRIM(F3456)," #",G3456),B3456)</f>
        <v>Road Sign: Welcome To Beach</v>
      </c>
    </row>
    <row r="3457" spans="1:8" ht="15.75" thickBot="1" x14ac:dyDescent="0.3">
      <c r="A3457" s="1" t="s">
        <v>5718</v>
      </c>
      <c r="B3457" s="1" t="s">
        <v>10233</v>
      </c>
      <c r="C3457" s="1"/>
      <c r="D3457" s="2" t="s">
        <v>751</v>
      </c>
      <c r="E3457" s="3" t="str">
        <f>IF(ISERROR(VLOOKUP(B3457,Failures!$A$1:$A$4000,1,FALSE)),"Keep","Delete")</f>
        <v>Keep</v>
      </c>
      <c r="F3457" t="str">
        <f>IF(ISNUMBER(SEARCH("#",B3457)), LEFT(B3457,FIND("#",B3457)-1), B3457)</f>
        <v>Road Sign: Wildlife Habitat</v>
      </c>
      <c r="G3457" s="26">
        <f>IF(ISNUMBER(SEARCH("#",B3457)),VALUE(MID(B3457,FIND("#",B3457)+1,1000)),1)</f>
        <v>1</v>
      </c>
      <c r="H3457" t="str">
        <f>IF(AND(regexMatch(B3457,".*#[0-9]*$"),ISNUMBER(SEARCH("#",B3457))),CONCATENATE(TRIM(F3457)," #",G3457),B3457)</f>
        <v>Road Sign: Wildlife Habitat</v>
      </c>
    </row>
    <row r="3458" spans="1:8" ht="15.75" thickBot="1" x14ac:dyDescent="0.3">
      <c r="A3458" s="1" t="s">
        <v>5642</v>
      </c>
      <c r="B3458" s="1" t="s">
        <v>10306</v>
      </c>
      <c r="C3458" s="1"/>
      <c r="D3458" s="2" t="s">
        <v>751</v>
      </c>
      <c r="E3458" s="3" t="str">
        <f>IF(ISERROR(VLOOKUP(B3458,Failures!$A$1:$A$4000,1,FALSE)),"Keep","Delete")</f>
        <v>Keep</v>
      </c>
      <c r="F3458" t="str">
        <f>IF(ISNUMBER(SEARCH("#",B3458)), LEFT(B3458,FIND("#",B3458)-1), B3458)</f>
        <v>Road Sign: Yellow With Red Dots</v>
      </c>
      <c r="G3458" s="26">
        <f>IF(ISNUMBER(SEARCH("#",B3458)),VALUE(MID(B3458,FIND("#",B3458)+1,1000)),1)</f>
        <v>1</v>
      </c>
      <c r="H3458" t="str">
        <f>IF(AND(regexMatch(B3458,".*#[0-9]*$"),ISNUMBER(SEARCH("#",B3458))),CONCATENATE(TRIM(F3458)," #",G3458),B3458)</f>
        <v>Road Sign: Yellow With Red Dots</v>
      </c>
    </row>
    <row r="3459" spans="1:8" ht="15.75" thickBot="1" x14ac:dyDescent="0.3">
      <c r="A3459" s="1" t="s">
        <v>5603</v>
      </c>
      <c r="B3459" s="1" t="s">
        <v>9800</v>
      </c>
      <c r="C3459" s="1"/>
      <c r="D3459" s="2" t="s">
        <v>751</v>
      </c>
      <c r="E3459" s="3" t="str">
        <f>IF(ISERROR(VLOOKUP(B3459,Failures!$A$1:$A$4000,1,FALSE)),"Keep","Delete")</f>
        <v>Keep</v>
      </c>
      <c r="F3459" t="str">
        <f>IF(ISNUMBER(SEARCH("#",B3459)), LEFT(B3459,FIND("#",B3459)-1), B3459)</f>
        <v xml:space="preserve">Roadwork Sign </v>
      </c>
      <c r="G3459" s="26">
        <f>IF(ISNUMBER(SEARCH("#",B3459)),VALUE(MID(B3459,FIND("#",B3459)+1,1000)),1)</f>
        <v>1</v>
      </c>
      <c r="H3459" t="str">
        <f>IF(AND(regexMatch(B3459,".*#[0-9]*$"),ISNUMBER(SEARCH("#",B3459))),CONCATENATE(TRIM(F3459)," #",G3459),B3459)</f>
        <v>Roadwork Sign #1</v>
      </c>
    </row>
    <row r="3460" spans="1:8" ht="15.75" thickBot="1" x14ac:dyDescent="0.3">
      <c r="A3460" s="1" t="s">
        <v>5602</v>
      </c>
      <c r="B3460" s="1" t="s">
        <v>9801</v>
      </c>
      <c r="C3460" s="1"/>
      <c r="D3460" s="2" t="s">
        <v>751</v>
      </c>
      <c r="E3460" s="3" t="str">
        <f>IF(ISERROR(VLOOKUP(B3460,Failures!$A$1:$A$4000,1,FALSE)),"Keep","Delete")</f>
        <v>Keep</v>
      </c>
      <c r="F3460" t="str">
        <f>IF(ISNUMBER(SEARCH("#",B3460)), LEFT(B3460,FIND("#",B3460)-1), B3460)</f>
        <v xml:space="preserve">Roadwork Sign </v>
      </c>
      <c r="G3460" s="26">
        <f>IF(ISNUMBER(SEARCH("#",B3460)),VALUE(MID(B3460,FIND("#",B3460)+1,1000)),1)</f>
        <v>2</v>
      </c>
      <c r="H3460" t="str">
        <f>IF(AND(regexMatch(B3460,".*#[0-9]*$"),ISNUMBER(SEARCH("#",B3460))),CONCATENATE(TRIM(F3460)," #",G3460),B3460)</f>
        <v>Roadwork Sign #2</v>
      </c>
    </row>
    <row r="3461" spans="1:8" ht="15.75" thickBot="1" x14ac:dyDescent="0.3">
      <c r="A3461" s="7" t="s">
        <v>4122</v>
      </c>
      <c r="B3461" s="9" t="s">
        <v>4444</v>
      </c>
      <c r="C3461" s="9"/>
      <c r="D3461" s="14" t="s">
        <v>751</v>
      </c>
      <c r="E3461" s="3" t="str">
        <f>IF(ISERROR(VLOOKUP(B3461,Failures!$A$1:$A$4000,1,FALSE)),"Keep","Delete")</f>
        <v>Keep</v>
      </c>
      <c r="F3461" t="str">
        <f>IF(ISNUMBER(SEARCH("#",B3461)), LEFT(B3461,FIND("#",B3461)-1), B3461)</f>
        <v xml:space="preserve">Security Barrier </v>
      </c>
      <c r="G3461" s="26">
        <f>IF(ISNUMBER(SEARCH("#",B3461)),VALUE(MID(B3461,FIND("#",B3461)+1,1000)),1)</f>
        <v>1</v>
      </c>
      <c r="H3461" t="str">
        <f>IF(AND(regexMatch(B3461,".*#[0-9]*$"),ISNUMBER(SEARCH("#",B3461))),CONCATENATE(TRIM(F3461)," #",G3461),B3461)</f>
        <v>Security Barrier #1</v>
      </c>
    </row>
    <row r="3462" spans="1:8" ht="15.75" thickBot="1" x14ac:dyDescent="0.3">
      <c r="A3462" s="7" t="s">
        <v>4079</v>
      </c>
      <c r="B3462" s="9" t="s">
        <v>4445</v>
      </c>
      <c r="C3462" s="9"/>
      <c r="D3462" s="14" t="s">
        <v>751</v>
      </c>
      <c r="E3462" s="3" t="str">
        <f>IF(ISERROR(VLOOKUP(B3462,Failures!$A$1:$A$4000,1,FALSE)),"Keep","Delete")</f>
        <v>Keep</v>
      </c>
      <c r="F3462" t="str">
        <f>IF(ISNUMBER(SEARCH("#",B3462)), LEFT(B3462,FIND("#",B3462)-1), B3462)</f>
        <v xml:space="preserve">Security Barrier </v>
      </c>
      <c r="G3462" s="26">
        <f>IF(ISNUMBER(SEARCH("#",B3462)),VALUE(MID(B3462,FIND("#",B3462)+1,1000)),1)</f>
        <v>2</v>
      </c>
      <c r="H3462" t="str">
        <f>IF(AND(regexMatch(B3462,".*#[0-9]*$"),ISNUMBER(SEARCH("#",B3462))),CONCATENATE(TRIM(F3462)," #",G3462),B3462)</f>
        <v>Security Barrier #2</v>
      </c>
    </row>
    <row r="3463" spans="1:8" ht="15.75" thickBot="1" x14ac:dyDescent="0.3">
      <c r="A3463" s="1" t="s">
        <v>6024</v>
      </c>
      <c r="B3463" s="1" t="s">
        <v>10193</v>
      </c>
      <c r="C3463" s="1"/>
      <c r="D3463" s="2" t="s">
        <v>751</v>
      </c>
      <c r="E3463" s="3" t="str">
        <f>IF(ISERROR(VLOOKUP(B3463,Failures!$A$1:$A$4000,1,FALSE)),"Keep","Delete")</f>
        <v>Keep</v>
      </c>
      <c r="F3463" t="str">
        <f>IF(ISNUMBER(SEARCH("#",B3463)), LEFT(B3463,FIND("#",B3463)-1), B3463)</f>
        <v xml:space="preserve">Security Barrier </v>
      </c>
      <c r="G3463" s="26">
        <v>3</v>
      </c>
      <c r="H3463" t="str">
        <f>IF(AND(regexMatch(B3463,".*#[0-9]*$"),ISNUMBER(SEARCH("#",B3463))),CONCATENATE(TRIM(F3463)," #",G3463),B3463)</f>
        <v>Security Barrier #3</v>
      </c>
    </row>
    <row r="3464" spans="1:8" ht="15.75" thickBot="1" x14ac:dyDescent="0.3">
      <c r="A3464" s="1" t="s">
        <v>6023</v>
      </c>
      <c r="B3464" s="1" t="s">
        <v>10193</v>
      </c>
      <c r="C3464" s="1"/>
      <c r="D3464" s="2" t="s">
        <v>751</v>
      </c>
      <c r="E3464" s="3" t="str">
        <f>IF(ISERROR(VLOOKUP(B3464,Failures!$A$1:$A$4000,1,FALSE)),"Keep","Delete")</f>
        <v>Keep</v>
      </c>
      <c r="F3464" t="str">
        <f>IF(ISNUMBER(SEARCH("#",B3464)), LEFT(B3464,FIND("#",B3464)-1), B3464)</f>
        <v xml:space="preserve">Security Barrier </v>
      </c>
      <c r="G3464" s="26">
        <v>4</v>
      </c>
      <c r="H3464" t="str">
        <f>IF(AND(regexMatch(B3464,".*#[0-9]*$"),ISNUMBER(SEARCH("#",B3464))),CONCATENATE(TRIM(F3464)," #",G3464),B3464)</f>
        <v>Security Barrier #4</v>
      </c>
    </row>
    <row r="3465" spans="1:8" ht="15.75" thickBot="1" x14ac:dyDescent="0.3">
      <c r="A3465" s="1" t="s">
        <v>6022</v>
      </c>
      <c r="B3465" s="1" t="s">
        <v>10193</v>
      </c>
      <c r="C3465" s="1"/>
      <c r="D3465" s="2" t="s">
        <v>751</v>
      </c>
      <c r="E3465" s="3" t="str">
        <f>IF(ISERROR(VLOOKUP(B3465,Failures!$A$1:$A$4000,1,FALSE)),"Keep","Delete")</f>
        <v>Keep</v>
      </c>
      <c r="F3465" t="str">
        <f>IF(ISNUMBER(SEARCH("#",B3465)), LEFT(B3465,FIND("#",B3465)-1), B3465)</f>
        <v xml:space="preserve">Security Barrier </v>
      </c>
      <c r="G3465" s="26">
        <v>5</v>
      </c>
      <c r="H3465" t="str">
        <f>IF(AND(regexMatch(B3465,".*#[0-9]*$"),ISNUMBER(SEARCH("#",B3465))),CONCATENATE(TRIM(F3465)," #",G3465),B3465)</f>
        <v>Security Barrier #5</v>
      </c>
    </row>
    <row r="3466" spans="1:8" ht="15.75" thickBot="1" x14ac:dyDescent="0.3">
      <c r="A3466" s="1" t="s">
        <v>6021</v>
      </c>
      <c r="B3466" s="1" t="s">
        <v>10193</v>
      </c>
      <c r="C3466" s="1"/>
      <c r="D3466" s="2" t="s">
        <v>751</v>
      </c>
      <c r="E3466" s="3" t="str">
        <f>IF(ISERROR(VLOOKUP(B3466,Failures!$A$1:$A$4000,1,FALSE)),"Keep","Delete")</f>
        <v>Keep</v>
      </c>
      <c r="F3466" t="str">
        <f>IF(ISNUMBER(SEARCH("#",B3466)), LEFT(B3466,FIND("#",B3466)-1), B3466)</f>
        <v xml:space="preserve">Security Barrier </v>
      </c>
      <c r="G3466" s="26">
        <v>6</v>
      </c>
      <c r="H3466" t="str">
        <f>IF(AND(regexMatch(B3466,".*#[0-9]*$"),ISNUMBER(SEARCH("#",B3466))),CONCATENATE(TRIM(F3466)," #",G3466),B3466)</f>
        <v>Security Barrier #6</v>
      </c>
    </row>
    <row r="3467" spans="1:8" ht="15.75" thickBot="1" x14ac:dyDescent="0.3">
      <c r="A3467" s="7" t="s">
        <v>4080</v>
      </c>
      <c r="B3467" s="9" t="s">
        <v>4448</v>
      </c>
      <c r="C3467" s="9"/>
      <c r="D3467" s="14" t="s">
        <v>751</v>
      </c>
      <c r="E3467" s="3" t="str">
        <f>IF(ISERROR(VLOOKUP(B3467,Failures!$A$1:$A$4000,1,FALSE)),"Keep","Delete")</f>
        <v>Keep</v>
      </c>
      <c r="F3467" t="str">
        <f>IF(ISNUMBER(SEARCH("#",B3467)), LEFT(B3467,FIND("#",B3467)-1), B3467)</f>
        <v>Security Barrier Base</v>
      </c>
      <c r="G3467" s="26">
        <f>IF(ISNUMBER(SEARCH("#",B3467)),VALUE(MID(B3467,FIND("#",B3467)+1,1000)),1)</f>
        <v>1</v>
      </c>
      <c r="H3467" t="str">
        <f>IF(AND(regexMatch(B3467,".*#[0-9]*$"),ISNUMBER(SEARCH("#",B3467))),CONCATENATE(TRIM(F3467)," #",G3467),B3467)</f>
        <v>Security Barrier Base</v>
      </c>
    </row>
    <row r="3468" spans="1:8" ht="15.75" thickBot="1" x14ac:dyDescent="0.3">
      <c r="A3468" s="1" t="s">
        <v>6025</v>
      </c>
      <c r="B3468" s="1" t="s">
        <v>10192</v>
      </c>
      <c r="C3468" s="1"/>
      <c r="D3468" s="2" t="s">
        <v>751</v>
      </c>
      <c r="E3468" s="3" t="str">
        <f>IF(ISERROR(VLOOKUP(B3468,Failures!$A$1:$A$4000,1,FALSE)),"Keep","Delete")</f>
        <v>Keep</v>
      </c>
      <c r="F3468" t="str">
        <f>IF(ISNUMBER(SEARCH("#",B3468)), LEFT(B3468,FIND("#",B3468)-1), B3468)</f>
        <v>Security Barrier Double</v>
      </c>
      <c r="G3468" s="26">
        <f>IF(ISNUMBER(SEARCH("#",B3468)),VALUE(MID(B3468,FIND("#",B3468)+1,1000)),1)</f>
        <v>1</v>
      </c>
      <c r="H3468" t="str">
        <f>IF(AND(regexMatch(B3468,".*#[0-9]*$"),ISNUMBER(SEARCH("#",B3468))),CONCATENATE(TRIM(F3468)," #",G3468),B3468)</f>
        <v>Security Barrier Double</v>
      </c>
    </row>
    <row r="3469" spans="1:8" ht="15.75" thickBot="1" x14ac:dyDescent="0.3">
      <c r="A3469" s="7" t="s">
        <v>4036</v>
      </c>
      <c r="B3469" s="9" t="s">
        <v>4446</v>
      </c>
      <c r="C3469" s="9"/>
      <c r="D3469" s="14" t="s">
        <v>751</v>
      </c>
      <c r="E3469" s="3" t="str">
        <f>IF(ISERROR(VLOOKUP(B3469,Failures!$A$1:$A$4000,1,FALSE)),"Keep","Delete")</f>
        <v>Keep</v>
      </c>
      <c r="F3469" t="str">
        <f>IF(ISNUMBER(SEARCH("#",B3469)), LEFT(B3469,FIND("#",B3469)-1), B3469)</f>
        <v xml:space="preserve">Security Barrier Pole </v>
      </c>
      <c r="G3469" s="26">
        <f>IF(ISNUMBER(SEARCH("#",B3469)),VALUE(MID(B3469,FIND("#",B3469)+1,1000)),1)</f>
        <v>1</v>
      </c>
      <c r="H3469" t="str">
        <f>IF(AND(regexMatch(B3469,".*#[0-9]*$"),ISNUMBER(SEARCH("#",B3469))),CONCATENATE(TRIM(F3469)," #",G3469),B3469)</f>
        <v>Security Barrier Pole #1</v>
      </c>
    </row>
    <row r="3470" spans="1:8" ht="15.75" thickBot="1" x14ac:dyDescent="0.3">
      <c r="A3470" s="7" t="s">
        <v>4037</v>
      </c>
      <c r="B3470" s="9" t="s">
        <v>4447</v>
      </c>
      <c r="C3470" s="9"/>
      <c r="D3470" s="14" t="s">
        <v>751</v>
      </c>
      <c r="E3470" s="3" t="str">
        <f>IF(ISERROR(VLOOKUP(B3470,Failures!$A$1:$A$4000,1,FALSE)),"Keep","Delete")</f>
        <v>Keep</v>
      </c>
      <c r="F3470" t="str">
        <f>IF(ISNUMBER(SEARCH("#",B3470)), LEFT(B3470,FIND("#",B3470)-1), B3470)</f>
        <v xml:space="preserve">Security Barrier Pole </v>
      </c>
      <c r="G3470" s="26">
        <f>IF(ISNUMBER(SEARCH("#",B3470)),VALUE(MID(B3470,FIND("#",B3470)+1,1000)),1)</f>
        <v>2</v>
      </c>
      <c r="H3470" t="str">
        <f>IF(AND(regexMatch(B3470,".*#[0-9]*$"),ISNUMBER(SEARCH("#",B3470))),CONCATENATE(TRIM(F3470)," #",G3470),B3470)</f>
        <v>Security Barrier Pole #2</v>
      </c>
    </row>
    <row r="3471" spans="1:8" ht="15.75" thickBot="1" x14ac:dyDescent="0.3">
      <c r="A3471" s="7" t="s">
        <v>4185</v>
      </c>
      <c r="B3471" s="11" t="s">
        <v>4415</v>
      </c>
      <c r="C3471" s="9"/>
      <c r="D3471" s="14" t="s">
        <v>751</v>
      </c>
      <c r="E3471" s="3" t="str">
        <f>IF(ISERROR(VLOOKUP(B3471,Failures!$A$1:$A$4000,1,FALSE)),"Keep","Delete")</f>
        <v>Keep</v>
      </c>
      <c r="F3471" t="str">
        <f>IF(ISNUMBER(SEARCH("#",B3471)), LEFT(B3471,FIND("#",B3471)-1), B3471)</f>
        <v>Toll Booth</v>
      </c>
      <c r="G3471" s="26">
        <f>IF(ISNUMBER(SEARCH("#",B3471)),VALUE(MID(B3471,FIND("#",B3471)+1,1000)),1)</f>
        <v>1</v>
      </c>
      <c r="H3471" t="str">
        <f>IF(AND(regexMatch(B3471,".*#[0-9]*$"),ISNUMBER(SEARCH("#",B3471))),CONCATENATE(TRIM(F3471)," #",G3471),B3471)</f>
        <v>Toll Booth</v>
      </c>
    </row>
    <row r="3472" spans="1:8" ht="15.75" thickBot="1" x14ac:dyDescent="0.3">
      <c r="A3472" s="1" t="s">
        <v>2436</v>
      </c>
      <c r="B3472" s="1" t="s">
        <v>2437</v>
      </c>
      <c r="C3472" s="2" t="s">
        <v>5</v>
      </c>
      <c r="D3472" s="2" t="s">
        <v>751</v>
      </c>
      <c r="E3472" s="3" t="str">
        <f>IF(ISERROR(VLOOKUP(B3472,Failures!$A$1:$A$4000,1,FALSE)),"Keep","Delete")</f>
        <v>Keep</v>
      </c>
      <c r="F3472" t="str">
        <f>IF(ISNUMBER(SEARCH("#",B3472)), LEFT(B3472,FIND("#",B3472)-1), B3472)</f>
        <v>Traffic Cone</v>
      </c>
      <c r="G3472" s="26">
        <f>IF(ISNUMBER(SEARCH("#",B3472)),VALUE(MID(B3472,FIND("#",B3472)+1,1000)),1)</f>
        <v>1</v>
      </c>
      <c r="H3472" t="str">
        <f>IF(AND(regexMatch(B3472,".*#[0-9]*$"),ISNUMBER(SEARCH("#",B3472))),CONCATENATE(TRIM(F3472)," #",G3472),B3472)</f>
        <v>Traffic Cone</v>
      </c>
    </row>
    <row r="3473" spans="1:8" ht="15.75" thickBot="1" x14ac:dyDescent="0.3">
      <c r="A3473" s="7" t="s">
        <v>4206</v>
      </c>
      <c r="B3473" s="11" t="s">
        <v>9751</v>
      </c>
      <c r="C3473" s="9"/>
      <c r="D3473" s="14" t="s">
        <v>751</v>
      </c>
      <c r="E3473" s="3" t="str">
        <f>IF(ISERROR(VLOOKUP(B3473,Failures!$A$1:$A$4000,1,FALSE)),"Keep","Delete")</f>
        <v>Keep</v>
      </c>
      <c r="F3473" t="str">
        <f>IF(ISNUMBER(SEARCH("#",B3473)), LEFT(B3473,FIND("#",B3473)-1), B3473)</f>
        <v xml:space="preserve">Traffic Electric Diversion Sign </v>
      </c>
      <c r="G3473" s="26">
        <f>IF(ISNUMBER(SEARCH("#",B3473)),VALUE(MID(B3473,FIND("#",B3473)+1,1000)),1)</f>
        <v>1</v>
      </c>
      <c r="H3473" t="str">
        <f>IF(AND(regexMatch(B3473,".*#[0-9]*$"),ISNUMBER(SEARCH("#",B3473))),CONCATENATE(TRIM(F3473)," #",G3473),B3473)</f>
        <v>Traffic Electric Diversion Sign #1</v>
      </c>
    </row>
    <row r="3474" spans="1:8" ht="15.75" thickBot="1" x14ac:dyDescent="0.3">
      <c r="A3474" s="1" t="s">
        <v>5979</v>
      </c>
      <c r="B3474" s="1" t="s">
        <v>10352</v>
      </c>
      <c r="C3474" s="1"/>
      <c r="D3474" s="2" t="s">
        <v>751</v>
      </c>
      <c r="E3474" s="3" t="str">
        <f>IF(ISERROR(VLOOKUP(B3474,Failures!$A$1:$A$4000,1,FALSE)),"Keep","Delete")</f>
        <v>Keep</v>
      </c>
      <c r="F3474" t="str">
        <f>IF(ISNUMBER(SEARCH("#",B3474)), LEFT(B3474,FIND("#",B3474)-1), B3474)</f>
        <v xml:space="preserve">Traffic Electric Diversion Sign </v>
      </c>
      <c r="G3474" s="26">
        <f>IF(ISNUMBER(SEARCH("#",B3474)),VALUE(MID(B3474,FIND("#",B3474)+1,1000)),1)</f>
        <v>2</v>
      </c>
      <c r="H3474" t="str">
        <f>IF(AND(regexMatch(B3474,".*#[0-9]*$"),ISNUMBER(SEARCH("#",B3474))),CONCATENATE(TRIM(F3474)," #",G3474),B3474)</f>
        <v>Traffic Electric Diversion Sign #2</v>
      </c>
    </row>
    <row r="3475" spans="1:8" ht="15.75" thickBot="1" x14ac:dyDescent="0.3">
      <c r="A3475" s="7" t="s">
        <v>4316</v>
      </c>
      <c r="B3475" s="11" t="s">
        <v>4413</v>
      </c>
      <c r="C3475" s="9"/>
      <c r="D3475" s="14" t="s">
        <v>751</v>
      </c>
      <c r="E3475" s="3" t="str">
        <f>IF(ISERROR(VLOOKUP(B3475,Failures!$A$1:$A$4000,1,FALSE)),"Keep","Delete")</f>
        <v>Keep</v>
      </c>
      <c r="F3475" t="str">
        <f>IF(ISNUMBER(SEARCH("#",B3475)), LEFT(B3475,FIND("#",B3475)-1), B3475)</f>
        <v>Traffic Light</v>
      </c>
      <c r="G3475" s="26">
        <f>IF(ISNUMBER(SEARCH("#",B3475)),VALUE(MID(B3475,FIND("#",B3475)+1,1000)),1)</f>
        <v>1</v>
      </c>
      <c r="H3475" t="str">
        <f>IF(AND(regexMatch(B3475,".*#[0-9]*$"),ISNUMBER(SEARCH("#",B3475))),CONCATENATE(TRIM(F3475)," #",G3475),B3475)</f>
        <v>Traffic Light</v>
      </c>
    </row>
    <row r="3476" spans="1:8" ht="15.75" thickBot="1" x14ac:dyDescent="0.3">
      <c r="A3476" s="1" t="s">
        <v>5974</v>
      </c>
      <c r="B3476" s="1" t="s">
        <v>10347</v>
      </c>
      <c r="C3476" s="1"/>
      <c r="D3476" s="2" t="s">
        <v>751</v>
      </c>
      <c r="E3476" s="3" t="str">
        <f>IF(ISERROR(VLOOKUP(B3476,Failures!$A$1:$A$4000,1,FALSE)),"Keep","Delete")</f>
        <v>Keep</v>
      </c>
      <c r="F3476" t="str">
        <f>IF(ISNUMBER(SEARCH("#",B3476)), LEFT(B3476,FIND("#",B3476)-1), B3476)</f>
        <v xml:space="preserve">Traffic Light </v>
      </c>
      <c r="G3476" s="26">
        <v>2</v>
      </c>
      <c r="H3476" t="str">
        <f>IF(AND(regexMatch(B3476,".*#[0-9]*$"),ISNUMBER(SEARCH("#",B3476))),CONCATENATE(TRIM(F3476)," #",G3476),B3476)</f>
        <v>Traffic Light #2</v>
      </c>
    </row>
    <row r="3477" spans="1:8" ht="15.75" thickBot="1" x14ac:dyDescent="0.3">
      <c r="A3477" s="1" t="s">
        <v>5972</v>
      </c>
      <c r="B3477" s="1" t="s">
        <v>10349</v>
      </c>
      <c r="C3477" s="1"/>
      <c r="D3477" s="2" t="s">
        <v>751</v>
      </c>
      <c r="E3477" s="3" t="str">
        <f>IF(ISERROR(VLOOKUP(B3477,Failures!$A$1:$A$4000,1,FALSE)),"Keep","Delete")</f>
        <v>Keep</v>
      </c>
      <c r="F3477" t="str">
        <f>IF(ISNUMBER(SEARCH("#",B3477)), LEFT(B3477,FIND("#",B3477)-1), B3477)</f>
        <v>Traffic Light Four Way Loose</v>
      </c>
      <c r="G3477" s="26">
        <f>IF(ISNUMBER(SEARCH("#",B3477)),VALUE(MID(B3477,FIND("#",B3477)+1,1000)),1)</f>
        <v>1</v>
      </c>
      <c r="H3477" t="str">
        <f>IF(AND(regexMatch(B3477,".*#[0-9]*$"),ISNUMBER(SEARCH("#",B3477))),CONCATENATE(TRIM(F3477)," #",G3477),B3477)</f>
        <v>Traffic Light Four Way Loose</v>
      </c>
    </row>
    <row r="3478" spans="1:8" ht="15.75" thickBot="1" x14ac:dyDescent="0.3">
      <c r="A3478" s="1" t="s">
        <v>5973</v>
      </c>
      <c r="B3478" s="1" t="s">
        <v>10348</v>
      </c>
      <c r="C3478" s="1"/>
      <c r="D3478" s="2" t="s">
        <v>751</v>
      </c>
      <c r="E3478" s="3" t="str">
        <f>IF(ISERROR(VLOOKUP(B3478,Failures!$A$1:$A$4000,1,FALSE)),"Keep","Delete")</f>
        <v>Keep</v>
      </c>
      <c r="F3478" t="str">
        <f>IF(ISNUMBER(SEARCH("#",B3478)), LEFT(B3478,FIND("#",B3478)-1), B3478)</f>
        <v>Traffic Light Pedestrian</v>
      </c>
      <c r="G3478" s="26">
        <f>IF(ISNUMBER(SEARCH("#",B3478)),VALUE(MID(B3478,FIND("#",B3478)+1,1000)),1)</f>
        <v>1</v>
      </c>
      <c r="H3478" t="str">
        <f>IF(AND(regexMatch(B3478,".*#[0-9]*$"),ISNUMBER(SEARCH("#",B3478))),CONCATENATE(TRIM(F3478)," #",G3478),B3478)</f>
        <v>Traffic Light Pedestrian</v>
      </c>
    </row>
    <row r="3479" spans="1:8" ht="15.75" thickBot="1" x14ac:dyDescent="0.3">
      <c r="A3479" s="1" t="s">
        <v>5978</v>
      </c>
      <c r="B3479" s="1" t="s">
        <v>10346</v>
      </c>
      <c r="C3479" s="1"/>
      <c r="D3479" s="2" t="s">
        <v>751</v>
      </c>
      <c r="E3479" s="3" t="str">
        <f>IF(ISERROR(VLOOKUP(B3479,Failures!$A$1:$A$4000,1,FALSE)),"Keep","Delete")</f>
        <v>Keep</v>
      </c>
      <c r="F3479" t="str">
        <f>IF(ISNUMBER(SEARCH("#",B3479)), LEFT(B3479,FIND("#",B3479)-1), B3479)</f>
        <v xml:space="preserve">Traffic Light Set </v>
      </c>
      <c r="G3479" s="26">
        <v>1</v>
      </c>
      <c r="H3479" t="str">
        <f>IF(AND(regexMatch(B3479,".*#[0-9]*$"),ISNUMBER(SEARCH("#",B3479))),CONCATENATE(TRIM(F3479)," #",G3479),B3479)</f>
        <v>Traffic Light Set #1</v>
      </c>
    </row>
    <row r="3480" spans="1:8" ht="15.75" thickBot="1" x14ac:dyDescent="0.3">
      <c r="A3480" s="1" t="s">
        <v>5977</v>
      </c>
      <c r="B3480" s="1" t="s">
        <v>10346</v>
      </c>
      <c r="C3480" s="1"/>
      <c r="D3480" s="2" t="s">
        <v>751</v>
      </c>
      <c r="E3480" s="3" t="str">
        <f>IF(ISERROR(VLOOKUP(B3480,Failures!$A$1:$A$4000,1,FALSE)),"Keep","Delete")</f>
        <v>Keep</v>
      </c>
      <c r="F3480" t="str">
        <f>IF(ISNUMBER(SEARCH("#",B3480)), LEFT(B3480,FIND("#",B3480)-1), B3480)</f>
        <v xml:space="preserve">Traffic Light Set </v>
      </c>
      <c r="G3480" s="26">
        <v>2</v>
      </c>
      <c r="H3480" t="str">
        <f>IF(AND(regexMatch(B3480,".*#[0-9]*$"),ISNUMBER(SEARCH("#",B3480))),CONCATENATE(TRIM(F3480)," #",G3480),B3480)</f>
        <v>Traffic Light Set #2</v>
      </c>
    </row>
    <row r="3481" spans="1:8" ht="15.75" thickBot="1" x14ac:dyDescent="0.3">
      <c r="A3481" s="1" t="s">
        <v>5971</v>
      </c>
      <c r="B3481" s="1" t="s">
        <v>10351</v>
      </c>
      <c r="C3481" s="1"/>
      <c r="D3481" s="2" t="s">
        <v>751</v>
      </c>
      <c r="E3481" s="3" t="str">
        <f>IF(ISERROR(VLOOKUP(B3481,Failures!$A$1:$A$4000,1,FALSE)),"Keep","Delete")</f>
        <v>Keep</v>
      </c>
      <c r="F3481" t="str">
        <f>IF(ISNUMBER(SEARCH("#",B3481)), LEFT(B3481,FIND("#",B3481)-1), B3481)</f>
        <v>Traffic Lights For Rail Crossing</v>
      </c>
      <c r="G3481" s="26">
        <f>IF(ISNUMBER(SEARCH("#",B3481)),VALUE(MID(B3481,FIND("#",B3481)+1,1000)),1)</f>
        <v>1</v>
      </c>
      <c r="H3481" t="str">
        <f>IF(AND(regexMatch(B3481,".*#[0-9]*$"),ISNUMBER(SEARCH("#",B3481))),CONCATENATE(TRIM(F3481)," #",G3481),B3481)</f>
        <v>Traffic Lights For Rail Crossing</v>
      </c>
    </row>
    <row r="3482" spans="1:8" ht="15.75" thickBot="1" x14ac:dyDescent="0.3">
      <c r="A3482" s="22" t="s">
        <v>5588</v>
      </c>
      <c r="B3482" s="22" t="s">
        <v>10173</v>
      </c>
      <c r="C3482" s="1"/>
      <c r="D3482" s="23" t="s">
        <v>751</v>
      </c>
      <c r="E3482" s="3" t="str">
        <f>IF(ISERROR(VLOOKUP(B3482,Failures!$A$1:$A$4000,1,FALSE)),"Keep","Delete")</f>
        <v>Keep</v>
      </c>
      <c r="F3482" t="str">
        <f>IF(ISNUMBER(SEARCH("#",B3482)), LEFT(B3482,FIND("#",B3482)-1), B3482)</f>
        <v>Traffic Pole</v>
      </c>
      <c r="G3482" s="26">
        <f>IF(ISNUMBER(SEARCH("#",B3482)),VALUE(MID(B3482,FIND("#",B3482)+1,1000)),1)</f>
        <v>1</v>
      </c>
      <c r="H3482" t="str">
        <f>IF(AND(regexMatch(B3482,".*#[0-9]*$"),ISNUMBER(SEARCH("#",B3482))),CONCATENATE(TRIM(F3482)," #",G3482),B3482)</f>
        <v>Traffic Pole</v>
      </c>
    </row>
    <row r="3483" spans="1:8" ht="15.75" thickBot="1" x14ac:dyDescent="0.3">
      <c r="A3483" s="7" t="s">
        <v>4166</v>
      </c>
      <c r="B3483" s="11" t="s">
        <v>4401</v>
      </c>
      <c r="C3483" s="9"/>
      <c r="D3483" s="14" t="s">
        <v>751</v>
      </c>
      <c r="E3483" s="3" t="str">
        <f>IF(ISERROR(VLOOKUP(B3483,Failures!$A$1:$A$4000,1,FALSE)),"Keep","Delete")</f>
        <v>Keep</v>
      </c>
      <c r="F3483" t="str">
        <f>IF(ISNUMBER(SEARCH("#",B3483)), LEFT(B3483,FIND("#",B3483)-1), B3483)</f>
        <v xml:space="preserve">Tyre Wall </v>
      </c>
      <c r="G3483" s="26">
        <f>IF(ISNUMBER(SEARCH("#",B3483)),VALUE(MID(B3483,FIND("#",B3483)+1,1000)),1)</f>
        <v>1</v>
      </c>
      <c r="H3483" t="str">
        <f>IF(AND(regexMatch(B3483,".*#[0-9]*$"),ISNUMBER(SEARCH("#",B3483))),CONCATENATE(TRIM(F3483)," #",G3483),B3483)</f>
        <v>Tyre Wall #1</v>
      </c>
    </row>
    <row r="3484" spans="1:8" ht="15.75" thickBot="1" x14ac:dyDescent="0.3">
      <c r="A3484" s="7" t="s">
        <v>4171</v>
      </c>
      <c r="B3484" s="11" t="s">
        <v>4402</v>
      </c>
      <c r="C3484" s="9"/>
      <c r="D3484" s="14" t="s">
        <v>751</v>
      </c>
      <c r="E3484" s="3" t="str">
        <f>IF(ISERROR(VLOOKUP(B3484,Failures!$A$1:$A$4000,1,FALSE)),"Keep","Delete")</f>
        <v>Keep</v>
      </c>
      <c r="F3484" t="str">
        <f>IF(ISNUMBER(SEARCH("#",B3484)), LEFT(B3484,FIND("#",B3484)-1), B3484)</f>
        <v xml:space="preserve">Tyre Wall </v>
      </c>
      <c r="G3484" s="26">
        <f>IF(ISNUMBER(SEARCH("#",B3484)),VALUE(MID(B3484,FIND("#",B3484)+1,1000)),1)</f>
        <v>2</v>
      </c>
      <c r="H3484" t="str">
        <f>IF(AND(regexMatch(B3484,".*#[0-9]*$"),ISNUMBER(SEARCH("#",B3484))),CONCATENATE(TRIM(F3484)," #",G3484),B3484)</f>
        <v>Tyre Wall #2</v>
      </c>
    </row>
    <row r="3485" spans="1:8" ht="15.75" thickBot="1" x14ac:dyDescent="0.3">
      <c r="A3485" s="7" t="s">
        <v>4174</v>
      </c>
      <c r="B3485" s="11" t="s">
        <v>4403</v>
      </c>
      <c r="C3485" s="9"/>
      <c r="D3485" s="14" t="s">
        <v>751</v>
      </c>
      <c r="E3485" s="3" t="str">
        <f>IF(ISERROR(VLOOKUP(B3485,Failures!$A$1:$A$4000,1,FALSE)),"Keep","Delete")</f>
        <v>Keep</v>
      </c>
      <c r="F3485" t="str">
        <f>IF(ISNUMBER(SEARCH("#",B3485)), LEFT(B3485,FIND("#",B3485)-1), B3485)</f>
        <v xml:space="preserve">Tyre Wall </v>
      </c>
      <c r="G3485" s="26">
        <f>IF(ISNUMBER(SEARCH("#",B3485)),VALUE(MID(B3485,FIND("#",B3485)+1,1000)),1)</f>
        <v>3</v>
      </c>
      <c r="H3485" t="str">
        <f>IF(AND(regexMatch(B3485,".*#[0-9]*$"),ISNUMBER(SEARCH("#",B3485))),CONCATENATE(TRIM(F3485)," #",G3485),B3485)</f>
        <v>Tyre Wall #3</v>
      </c>
    </row>
    <row r="3486" spans="1:8" ht="15.75" thickBot="1" x14ac:dyDescent="0.3">
      <c r="A3486" s="7" t="s">
        <v>4167</v>
      </c>
      <c r="B3486" s="11" t="s">
        <v>4404</v>
      </c>
      <c r="C3486" s="9"/>
      <c r="D3486" s="14" t="s">
        <v>751</v>
      </c>
      <c r="E3486" s="3" t="str">
        <f>IF(ISERROR(VLOOKUP(B3486,Failures!$A$1:$A$4000,1,FALSE)),"Keep","Delete")</f>
        <v>Keep</v>
      </c>
      <c r="F3486" t="str">
        <f>IF(ISNUMBER(SEARCH("#",B3486)), LEFT(B3486,FIND("#",B3486)-1), B3486)</f>
        <v xml:space="preserve">Tyre Wall </v>
      </c>
      <c r="G3486" s="26">
        <f>IF(ISNUMBER(SEARCH("#",B3486)),VALUE(MID(B3486,FIND("#",B3486)+1,1000)),1)</f>
        <v>4</v>
      </c>
      <c r="H3486" t="str">
        <f>IF(AND(regexMatch(B3486,".*#[0-9]*$"),ISNUMBER(SEARCH("#",B3486))),CONCATENATE(TRIM(F3486)," #",G3486),B3486)</f>
        <v>Tyre Wall #4</v>
      </c>
    </row>
    <row r="3487" spans="1:8" ht="15.75" thickBot="1" x14ac:dyDescent="0.3">
      <c r="A3487" s="7" t="s">
        <v>4172</v>
      </c>
      <c r="B3487" s="11" t="s">
        <v>4405</v>
      </c>
      <c r="C3487" s="9"/>
      <c r="D3487" s="14" t="s">
        <v>751</v>
      </c>
      <c r="E3487" s="3" t="str">
        <f>IF(ISERROR(VLOOKUP(B3487,Failures!$A$1:$A$4000,1,FALSE)),"Keep","Delete")</f>
        <v>Keep</v>
      </c>
      <c r="F3487" t="str">
        <f>IF(ISNUMBER(SEARCH("#",B3487)), LEFT(B3487,FIND("#",B3487)-1), B3487)</f>
        <v xml:space="preserve">Tyre Wall </v>
      </c>
      <c r="G3487" s="26">
        <f>IF(ISNUMBER(SEARCH("#",B3487)),VALUE(MID(B3487,FIND("#",B3487)+1,1000)),1)</f>
        <v>5</v>
      </c>
      <c r="H3487" t="str">
        <f>IF(AND(regexMatch(B3487,".*#[0-9]*$"),ISNUMBER(SEARCH("#",B3487))),CONCATENATE(TRIM(F3487)," #",G3487),B3487)</f>
        <v>Tyre Wall #5</v>
      </c>
    </row>
    <row r="3488" spans="1:8" ht="15.75" thickBot="1" x14ac:dyDescent="0.3">
      <c r="A3488" s="7" t="s">
        <v>4175</v>
      </c>
      <c r="B3488" s="11" t="s">
        <v>4406</v>
      </c>
      <c r="C3488" s="9"/>
      <c r="D3488" s="14" t="s">
        <v>751</v>
      </c>
      <c r="E3488" s="3" t="str">
        <f>IF(ISERROR(VLOOKUP(B3488,Failures!$A$1:$A$4000,1,FALSE)),"Keep","Delete")</f>
        <v>Keep</v>
      </c>
      <c r="F3488" t="str">
        <f>IF(ISNUMBER(SEARCH("#",B3488)), LEFT(B3488,FIND("#",B3488)-1), B3488)</f>
        <v xml:space="preserve">Tyre Wall </v>
      </c>
      <c r="G3488" s="26">
        <f>IF(ISNUMBER(SEARCH("#",B3488)),VALUE(MID(B3488,FIND("#",B3488)+1,1000)),1)</f>
        <v>6</v>
      </c>
      <c r="H3488" t="str">
        <f>IF(AND(regexMatch(B3488,".*#[0-9]*$"),ISNUMBER(SEARCH("#",B3488))),CONCATENATE(TRIM(F3488)," #",G3488),B3488)</f>
        <v>Tyre Wall #6</v>
      </c>
    </row>
    <row r="3489" spans="1:8" ht="15.75" thickBot="1" x14ac:dyDescent="0.3">
      <c r="A3489" s="7" t="s">
        <v>4168</v>
      </c>
      <c r="B3489" s="11" t="s">
        <v>4407</v>
      </c>
      <c r="C3489" s="9"/>
      <c r="D3489" s="14" t="s">
        <v>751</v>
      </c>
      <c r="E3489" s="3" t="str">
        <f>IF(ISERROR(VLOOKUP(B3489,Failures!$A$1:$A$4000,1,FALSE)),"Keep","Delete")</f>
        <v>Keep</v>
      </c>
      <c r="F3489" t="str">
        <f>IF(ISNUMBER(SEARCH("#",B3489)), LEFT(B3489,FIND("#",B3489)-1), B3489)</f>
        <v xml:space="preserve">Tyre Wall </v>
      </c>
      <c r="G3489" s="26">
        <f>IF(ISNUMBER(SEARCH("#",B3489)),VALUE(MID(B3489,FIND("#",B3489)+1,1000)),1)</f>
        <v>7</v>
      </c>
      <c r="H3489" t="str">
        <f>IF(AND(regexMatch(B3489,".*#[0-9]*$"),ISNUMBER(SEARCH("#",B3489))),CONCATENATE(TRIM(F3489)," #",G3489),B3489)</f>
        <v>Tyre Wall #7</v>
      </c>
    </row>
    <row r="3490" spans="1:8" ht="15.75" thickBot="1" x14ac:dyDescent="0.3">
      <c r="A3490" s="7" t="s">
        <v>4173</v>
      </c>
      <c r="B3490" s="11" t="s">
        <v>4408</v>
      </c>
      <c r="C3490" s="9"/>
      <c r="D3490" s="14" t="s">
        <v>751</v>
      </c>
      <c r="E3490" s="3" t="str">
        <f>IF(ISERROR(VLOOKUP(B3490,Failures!$A$1:$A$4000,1,FALSE)),"Keep","Delete")</f>
        <v>Keep</v>
      </c>
      <c r="F3490" t="str">
        <f>IF(ISNUMBER(SEARCH("#",B3490)), LEFT(B3490,FIND("#",B3490)-1), B3490)</f>
        <v xml:space="preserve">Tyre Wall </v>
      </c>
      <c r="G3490" s="26">
        <f>IF(ISNUMBER(SEARCH("#",B3490)),VALUE(MID(B3490,FIND("#",B3490)+1,1000)),1)</f>
        <v>8</v>
      </c>
      <c r="H3490" t="str">
        <f>IF(AND(regexMatch(B3490,".*#[0-9]*$"),ISNUMBER(SEARCH("#",B3490))),CONCATENATE(TRIM(F3490)," #",G3490),B3490)</f>
        <v>Tyre Wall #8</v>
      </c>
    </row>
    <row r="3491" spans="1:8" ht="15.75" thickBot="1" x14ac:dyDescent="0.3">
      <c r="A3491" s="7" t="s">
        <v>4176</v>
      </c>
      <c r="B3491" s="11" t="s">
        <v>4409</v>
      </c>
      <c r="C3491" s="9"/>
      <c r="D3491" s="14" t="s">
        <v>751</v>
      </c>
      <c r="E3491" s="3" t="str">
        <f>IF(ISERROR(VLOOKUP(B3491,Failures!$A$1:$A$4000,1,FALSE)),"Keep","Delete")</f>
        <v>Keep</v>
      </c>
      <c r="F3491" t="str">
        <f>IF(ISNUMBER(SEARCH("#",B3491)), LEFT(B3491,FIND("#",B3491)-1), B3491)</f>
        <v xml:space="preserve">Tyre Wall </v>
      </c>
      <c r="G3491" s="26">
        <f>IF(ISNUMBER(SEARCH("#",B3491)),VALUE(MID(B3491,FIND("#",B3491)+1,1000)),1)</f>
        <v>9</v>
      </c>
      <c r="H3491" t="str">
        <f>IF(AND(regexMatch(B3491,".*#[0-9]*$"),ISNUMBER(SEARCH("#",B3491))),CONCATENATE(TRIM(F3491)," #",G3491),B3491)</f>
        <v>Tyre Wall #9</v>
      </c>
    </row>
    <row r="3492" spans="1:8" ht="15.75" thickBot="1" x14ac:dyDescent="0.3">
      <c r="A3492" s="7" t="s">
        <v>4169</v>
      </c>
      <c r="B3492" s="11" t="s">
        <v>4410</v>
      </c>
      <c r="C3492" s="9"/>
      <c r="D3492" s="14" t="s">
        <v>751</v>
      </c>
      <c r="E3492" s="3" t="str">
        <f>IF(ISERROR(VLOOKUP(B3492,Failures!$A$1:$A$4000,1,FALSE)),"Keep","Delete")</f>
        <v>Keep</v>
      </c>
      <c r="F3492" t="str">
        <f>IF(ISNUMBER(SEARCH("#",B3492)), LEFT(B3492,FIND("#",B3492)-1), B3492)</f>
        <v xml:space="preserve">Tyre Wall </v>
      </c>
      <c r="G3492" s="26">
        <f>IF(ISNUMBER(SEARCH("#",B3492)),VALUE(MID(B3492,FIND("#",B3492)+1,1000)),1)</f>
        <v>10</v>
      </c>
      <c r="H3492" t="str">
        <f>IF(AND(regexMatch(B3492,".*#[0-9]*$"),ISNUMBER(SEARCH("#",B3492))),CONCATENATE(TRIM(F3492)," #",G3492),B3492)</f>
        <v>Tyre Wall #10</v>
      </c>
    </row>
    <row r="3493" spans="1:8" ht="15.75" thickBot="1" x14ac:dyDescent="0.3">
      <c r="A3493" s="7" t="s">
        <v>4170</v>
      </c>
      <c r="B3493" s="11" t="s">
        <v>4411</v>
      </c>
      <c r="C3493" s="9"/>
      <c r="D3493" s="14" t="s">
        <v>751</v>
      </c>
      <c r="E3493" s="3" t="str">
        <f>IF(ISERROR(VLOOKUP(B3493,Failures!$A$1:$A$4000,1,FALSE)),"Keep","Delete")</f>
        <v>Keep</v>
      </c>
      <c r="F3493" t="str">
        <f>IF(ISNUMBER(SEARCH("#",B3493)), LEFT(B3493,FIND("#",B3493)-1), B3493)</f>
        <v xml:space="preserve">Tyre Wall </v>
      </c>
      <c r="G3493" s="26">
        <f>IF(ISNUMBER(SEARCH("#",B3493)),VALUE(MID(B3493,FIND("#",B3493)+1,1000)),1)</f>
        <v>11</v>
      </c>
      <c r="H3493" t="str">
        <f>IF(AND(regexMatch(B3493,".*#[0-9]*$"),ISNUMBER(SEARCH("#",B3493))),CONCATENATE(TRIM(F3493)," #",G3493),B3493)</f>
        <v>Tyre Wall #11</v>
      </c>
    </row>
    <row r="3494" spans="1:8" ht="15.75" thickBot="1" x14ac:dyDescent="0.3">
      <c r="A3494" s="1" t="s">
        <v>5601</v>
      </c>
      <c r="B3494" s="1" t="s">
        <v>9802</v>
      </c>
      <c r="C3494" s="1"/>
      <c r="D3494" s="2" t="s">
        <v>751</v>
      </c>
      <c r="E3494" s="3" t="str">
        <f>IF(ISERROR(VLOOKUP(B3494,Failures!$A$1:$A$4000,1,FALSE)),"Keep","Delete")</f>
        <v>Keep</v>
      </c>
      <c r="F3494" t="str">
        <f>IF(ISNUMBER(SEARCH("#",B3494)), LEFT(B3494,FIND("#",B3494)-1), B3494)</f>
        <v>Uneven Pavement Sign</v>
      </c>
      <c r="G3494" s="26">
        <f>IF(ISNUMBER(SEARCH("#",B3494)),VALUE(MID(B3494,FIND("#",B3494)+1,1000)),1)</f>
        <v>1</v>
      </c>
      <c r="H3494" t="str">
        <f>IF(AND(regexMatch(B3494,".*#[0-9]*$"),ISNUMBER(SEARCH("#",B3494))),CONCATENATE(TRIM(F3494)," #",G3494),B3494)</f>
        <v>Uneven Pavement Sign</v>
      </c>
    </row>
    <row r="3495" spans="1:8" ht="15.75" thickBot="1" x14ac:dyDescent="0.3">
      <c r="A3495" s="1" t="s">
        <v>6017</v>
      </c>
      <c r="B3495" s="1" t="s">
        <v>10481</v>
      </c>
      <c r="C3495" s="1"/>
      <c r="D3495" s="2" t="s">
        <v>751</v>
      </c>
      <c r="E3495" s="3" t="str">
        <f>IF(ISERROR(VLOOKUP(B3495,Failures!$A$1:$A$4000,1,FALSE)),"Keep","Delete")</f>
        <v>Keep</v>
      </c>
      <c r="F3495" t="str">
        <f>IF(ISNUMBER(SEARCH("#",B3495)), LEFT(B3495,FIND("#",B3495)-1), B3495)</f>
        <v>Vintage Gas Pump</v>
      </c>
      <c r="G3495" s="26">
        <f>IF(ISNUMBER(SEARCH("#",B3495)),VALUE(MID(B3495,FIND("#",B3495)+1,1000)),1)</f>
        <v>1</v>
      </c>
      <c r="H3495" t="str">
        <f>IF(AND(regexMatch(B3495,".*#[0-9]*$"),ISNUMBER(SEARCH("#",B3495))),CONCATENATE(TRIM(F3495)," #",G3495),B3495)</f>
        <v>Vintage Gas Pump</v>
      </c>
    </row>
    <row r="3496" spans="1:8" ht="15.75" thickBot="1" x14ac:dyDescent="0.3">
      <c r="A3496" s="1" t="s">
        <v>369</v>
      </c>
      <c r="B3496" s="1" t="s">
        <v>370</v>
      </c>
      <c r="C3496" s="2" t="s">
        <v>5</v>
      </c>
      <c r="D3496" s="2" t="s">
        <v>371</v>
      </c>
      <c r="E3496" s="3" t="str">
        <f>IF(ISERROR(VLOOKUP(B3496,Failures!$A$1:$A$4000,1,FALSE)),"Keep","Delete")</f>
        <v>Keep</v>
      </c>
      <c r="F3496" t="str">
        <f>IF(ISNUMBER(SEARCH("#",B3496)), LEFT(B3496,FIND("#",B3496)-1), B3496)</f>
        <v>Bison Winch</v>
      </c>
      <c r="G3496" s="26">
        <f>IF(ISNUMBER(SEARCH("#",B3496)),VALUE(MID(B3496,FIND("#",B3496)+1,1000)),1)</f>
        <v>1</v>
      </c>
      <c r="H3496" t="str">
        <f>IF(AND(regexMatch(B3496,".*#[0-9]*$"),ISNUMBER(SEARCH("#",B3496))),CONCATENATE(TRIM(F3496)," #",G3496),B3496)</f>
        <v>Bison Winch</v>
      </c>
    </row>
    <row r="3497" spans="1:8" ht="15.75" thickBot="1" x14ac:dyDescent="0.3">
      <c r="A3497" s="1" t="s">
        <v>1878</v>
      </c>
      <c r="B3497" s="1" t="s">
        <v>1879</v>
      </c>
      <c r="C3497" s="2" t="s">
        <v>145</v>
      </c>
      <c r="D3497" s="2" t="s">
        <v>371</v>
      </c>
      <c r="E3497" s="3" t="str">
        <f>IF(ISERROR(VLOOKUP(B3497,Failures!$A$1:$A$4000,1,FALSE)),"Keep","Delete")</f>
        <v>Keep</v>
      </c>
      <c r="F3497" t="str">
        <f>IF(ISNUMBER(SEARCH("#",B3497)), LEFT(B3497,FIND("#",B3497)-1), B3497)</f>
        <v>Cable</v>
      </c>
      <c r="G3497" s="26">
        <f>IF(ISNUMBER(SEARCH("#",B3497)),VALUE(MID(B3497,FIND("#",B3497)+1,1000)),1)</f>
        <v>1</v>
      </c>
      <c r="H3497" t="str">
        <f>IF(AND(regexMatch(B3497,".*#[0-9]*$"),ISNUMBER(SEARCH("#",B3497))),CONCATENATE(TRIM(F3497)," #",G3497),B3497)</f>
        <v>Cable</v>
      </c>
    </row>
    <row r="3498" spans="1:8" ht="15.75" thickBot="1" x14ac:dyDescent="0.3">
      <c r="A3498" s="1" t="s">
        <v>554</v>
      </c>
      <c r="B3498" s="1" t="s">
        <v>3548</v>
      </c>
      <c r="C3498" s="2" t="s">
        <v>5</v>
      </c>
      <c r="D3498" s="2" t="s">
        <v>371</v>
      </c>
      <c r="E3498" s="3" t="str">
        <f>IF(ISERROR(VLOOKUP(B3498,Failures!$A$1:$A$4000,1,FALSE)),"Keep","Delete")</f>
        <v>Keep</v>
      </c>
      <c r="F3498" t="str">
        <f>IF(ISNUMBER(SEARCH("#",B3498)), LEFT(B3498,FIND("#",B3498)-1), B3498)</f>
        <v>Cable Hook</v>
      </c>
      <c r="G3498" s="26">
        <f>IF(ISNUMBER(SEARCH("#",B3498)),VALUE(MID(B3498,FIND("#",B3498)+1,1000)),1)</f>
        <v>1</v>
      </c>
      <c r="H3498" t="str">
        <f>IF(AND(regexMatch(B3498,".*#[0-9]*$"),ISNUMBER(SEARCH("#",B3498))),CONCATENATE(TRIM(F3498)," #",G3498),B3498)</f>
        <v>Cable Hook</v>
      </c>
    </row>
    <row r="3499" spans="1:8" ht="15.75" thickBot="1" x14ac:dyDescent="0.3">
      <c r="A3499" s="1" t="s">
        <v>1880</v>
      </c>
      <c r="B3499" s="1" t="s">
        <v>3549</v>
      </c>
      <c r="C3499" s="2" t="s">
        <v>145</v>
      </c>
      <c r="D3499" s="2" t="s">
        <v>371</v>
      </c>
      <c r="E3499" s="3" t="str">
        <f>IF(ISERROR(VLOOKUP(B3499,Failures!$A$1:$A$4000,1,FALSE)),"Keep","Delete")</f>
        <v>Keep</v>
      </c>
      <c r="F3499" t="str">
        <f>IF(ISNUMBER(SEARCH("#",B3499)), LEFT(B3499,FIND("#",B3499)-1), B3499)</f>
        <v>Cable Tie</v>
      </c>
      <c r="G3499" s="26">
        <f>IF(ISNUMBER(SEARCH("#",B3499)),VALUE(MID(B3499,FIND("#",B3499)+1,1000)),1)</f>
        <v>1</v>
      </c>
      <c r="H3499" t="str">
        <f>IF(AND(regexMatch(B3499,".*#[0-9]*$"),ISNUMBER(SEARCH("#",B3499))),CONCATENATE(TRIM(F3499)," #",G3499),B3499)</f>
        <v>Cable Tie</v>
      </c>
    </row>
    <row r="3500" spans="1:8" ht="15.75" thickBot="1" x14ac:dyDescent="0.3">
      <c r="A3500" s="1" t="s">
        <v>1215</v>
      </c>
      <c r="B3500" s="1" t="s">
        <v>1216</v>
      </c>
      <c r="C3500" s="2" t="s">
        <v>5</v>
      </c>
      <c r="D3500" s="2" t="s">
        <v>371</v>
      </c>
      <c r="E3500" s="3" t="str">
        <f>IF(ISERROR(VLOOKUP(B3500,Failures!$A$1:$A$4000,1,FALSE)),"Keep","Delete")</f>
        <v>Keep</v>
      </c>
      <c r="F3500" t="str">
        <f>IF(ISNUMBER(SEARCH("#",B3500)), LEFT(B3500,FIND("#",B3500)-1), B3500)</f>
        <v>Devin Rope</v>
      </c>
      <c r="G3500" s="26">
        <f>IF(ISNUMBER(SEARCH("#",B3500)),VALUE(MID(B3500,FIND("#",B3500)+1,1000)),1)</f>
        <v>1</v>
      </c>
      <c r="H3500" t="str">
        <f>IF(AND(regexMatch(B3500,".*#[0-9]*$"),ISNUMBER(SEARCH("#",B3500))),CONCATENATE(TRIM(F3500)," #",G3500),B3500)</f>
        <v>Devin Rope</v>
      </c>
    </row>
    <row r="3501" spans="1:8" ht="15.75" thickBot="1" x14ac:dyDescent="0.3">
      <c r="A3501" s="1" t="s">
        <v>1421</v>
      </c>
      <c r="B3501" s="1" t="s">
        <v>3686</v>
      </c>
      <c r="C3501" s="2" t="s">
        <v>5</v>
      </c>
      <c r="D3501" s="2" t="s">
        <v>371</v>
      </c>
      <c r="E3501" s="3" t="str">
        <f>IF(ISERROR(VLOOKUP(B3501,Failures!$A$1:$A$4000,1,FALSE)),"Keep","Delete")</f>
        <v>Keep</v>
      </c>
      <c r="F3501" t="str">
        <f>IF(ISNUMBER(SEARCH("#",B3501)), LEFT(B3501,FIND("#",B3501)-1), B3501)</f>
        <v xml:space="preserve">Flatbed Strap </v>
      </c>
      <c r="G3501" s="26">
        <f>IF(ISNUMBER(SEARCH("#",B3501)),VALUE(MID(B3501,FIND("#",B3501)+1,1000)),1)</f>
        <v>1</v>
      </c>
      <c r="H3501" t="str">
        <f>IF(AND(regexMatch(B3501,".*#[0-9]*$"),ISNUMBER(SEARCH("#",B3501))),CONCATENATE(TRIM(F3501)," #",G3501),B3501)</f>
        <v>Flatbed Strap #1</v>
      </c>
    </row>
    <row r="3502" spans="1:8" ht="15.75" thickBot="1" x14ac:dyDescent="0.3">
      <c r="A3502" s="1" t="s">
        <v>1422</v>
      </c>
      <c r="B3502" s="1" t="s">
        <v>3687</v>
      </c>
      <c r="C3502" s="2" t="s">
        <v>5</v>
      </c>
      <c r="D3502" s="2" t="s">
        <v>371</v>
      </c>
      <c r="E3502" s="3" t="str">
        <f>IF(ISERROR(VLOOKUP(B3502,Failures!$A$1:$A$4000,1,FALSE)),"Keep","Delete")</f>
        <v>Keep</v>
      </c>
      <c r="F3502" t="str">
        <f>IF(ISNUMBER(SEARCH("#",B3502)), LEFT(B3502,FIND("#",B3502)-1), B3502)</f>
        <v xml:space="preserve">Flatbed Strap </v>
      </c>
      <c r="G3502" s="26">
        <f>IF(ISNUMBER(SEARCH("#",B3502)),VALUE(MID(B3502,FIND("#",B3502)+1,1000)),1)</f>
        <v>2</v>
      </c>
      <c r="H3502" t="str">
        <f>IF(AND(regexMatch(B3502,".*#[0-9]*$"),ISNUMBER(SEARCH("#",B3502))),CONCATENATE(TRIM(F3502)," #",G3502),B3502)</f>
        <v>Flatbed Strap #2</v>
      </c>
    </row>
    <row r="3503" spans="1:8" ht="15.75" thickBot="1" x14ac:dyDescent="0.3">
      <c r="A3503" s="1" t="s">
        <v>971</v>
      </c>
      <c r="B3503" s="1" t="s">
        <v>3720</v>
      </c>
      <c r="C3503" s="2" t="s">
        <v>145</v>
      </c>
      <c r="D3503" s="2" t="s">
        <v>371</v>
      </c>
      <c r="E3503" s="3" t="str">
        <f>IF(ISERROR(VLOOKUP(B3503,Failures!$A$1:$A$4000,1,FALSE)),"Keep","Delete")</f>
        <v>Keep</v>
      </c>
      <c r="F3503" t="str">
        <f>IF(ISNUMBER(SEARCH("#",B3503)), LEFT(B3503,FIND("#",B3503)-1), B3503)</f>
        <v xml:space="preserve">Heist Rope </v>
      </c>
      <c r="G3503" s="26">
        <f>IF(ISNUMBER(SEARCH("#",B3503)),VALUE(MID(B3503,FIND("#",B3503)+1,1000)),1)</f>
        <v>1</v>
      </c>
      <c r="H3503" t="str">
        <f>IF(AND(regexMatch(B3503,".*#[0-9]*$"),ISNUMBER(SEARCH("#",B3503))),CONCATENATE(TRIM(F3503)," #",G3503),B3503)</f>
        <v>Heist Rope #1</v>
      </c>
    </row>
    <row r="3504" spans="1:8" ht="15.75" thickBot="1" x14ac:dyDescent="0.3">
      <c r="A3504" s="1" t="s">
        <v>972</v>
      </c>
      <c r="B3504" s="1" t="s">
        <v>3721</v>
      </c>
      <c r="C3504" s="2" t="s">
        <v>145</v>
      </c>
      <c r="D3504" s="2" t="s">
        <v>371</v>
      </c>
      <c r="E3504" s="3" t="str">
        <f>IF(ISERROR(VLOOKUP(B3504,Failures!$A$1:$A$4000,1,FALSE)),"Keep","Delete")</f>
        <v>Keep</v>
      </c>
      <c r="F3504" t="str">
        <f>IF(ISNUMBER(SEARCH("#",B3504)), LEFT(B3504,FIND("#",B3504)-1), B3504)</f>
        <v xml:space="preserve">Heist Rope </v>
      </c>
      <c r="G3504" s="26">
        <f>IF(ISNUMBER(SEARCH("#",B3504)),VALUE(MID(B3504,FIND("#",B3504)+1,1000)),1)</f>
        <v>2</v>
      </c>
      <c r="H3504" t="str">
        <f>IF(AND(regexMatch(B3504,".*#[0-9]*$"),ISNUMBER(SEARCH("#",B3504))),CONCATENATE(TRIM(F3504)," #",G3504),B3504)</f>
        <v>Heist Rope #2</v>
      </c>
    </row>
    <row r="3505" spans="1:8" ht="15.75" thickBot="1" x14ac:dyDescent="0.3">
      <c r="A3505" s="1" t="s">
        <v>1938</v>
      </c>
      <c r="B3505" s="1" t="s">
        <v>1939</v>
      </c>
      <c r="C3505" s="2" t="s">
        <v>145</v>
      </c>
      <c r="D3505" s="2" t="s">
        <v>371</v>
      </c>
      <c r="E3505" s="3" t="str">
        <f>IF(ISERROR(VLOOKUP(B3505,Failures!$A$1:$A$4000,1,FALSE)),"Keep","Delete")</f>
        <v>Keep</v>
      </c>
      <c r="F3505" t="str">
        <f>IF(ISNUMBER(SEARCH("#",B3505)), LEFT(B3505,FIND("#",B3505)-1), B3505)</f>
        <v>Hook</v>
      </c>
      <c r="G3505" s="26">
        <f>IF(ISNUMBER(SEARCH("#",B3505)),VALUE(MID(B3505,FIND("#",B3505)+1,1000)),1)</f>
        <v>1</v>
      </c>
      <c r="H3505" t="str">
        <f>IF(AND(regexMatch(B3505,".*#[0-9]*$"),ISNUMBER(SEARCH("#",B3505))),CONCATENATE(TRIM(F3505)," #",G3505),B3505)</f>
        <v>Hook</v>
      </c>
    </row>
    <row r="3506" spans="1:8" ht="15.75" thickBot="1" x14ac:dyDescent="0.3">
      <c r="A3506" s="1" t="s">
        <v>1972</v>
      </c>
      <c r="B3506" s="1" t="s">
        <v>1973</v>
      </c>
      <c r="C3506" s="4" t="s">
        <v>145</v>
      </c>
      <c r="D3506" s="2" t="s">
        <v>371</v>
      </c>
      <c r="E3506" s="3" t="str">
        <f>IF(ISERROR(VLOOKUP(B3506,Failures!$A$1:$A$4000,1,FALSE)),"Keep","Delete")</f>
        <v>Keep</v>
      </c>
      <c r="F3506" t="str">
        <f>IF(ISNUMBER(SEARCH("#",B3506)), LEFT(B3506,FIND("#",B3506)-1), B3506)</f>
        <v>Rope</v>
      </c>
      <c r="G3506" s="26">
        <f>IF(ISNUMBER(SEARCH("#",B3506)),VALUE(MID(B3506,FIND("#",B3506)+1,1000)),1)</f>
        <v>1</v>
      </c>
      <c r="H3506" t="str">
        <f>IF(AND(regexMatch(B3506,".*#[0-9]*$"),ISNUMBER(SEARCH("#",B3506))),CONCATENATE(TRIM(F3506)," #",G3506),B3506)</f>
        <v>Rope</v>
      </c>
    </row>
    <row r="3507" spans="1:8" ht="15.75" thickBot="1" x14ac:dyDescent="0.3">
      <c r="A3507" s="1" t="s">
        <v>2681</v>
      </c>
      <c r="B3507" s="1" t="s">
        <v>3867</v>
      </c>
      <c r="C3507" s="2" t="s">
        <v>5</v>
      </c>
      <c r="D3507" s="2" t="s">
        <v>371</v>
      </c>
      <c r="E3507" s="3" t="str">
        <f>IF(ISERROR(VLOOKUP(B3507,Failures!$A$1:$A$4000,1,FALSE)),"Keep","Delete")</f>
        <v>Keep</v>
      </c>
      <c r="F3507" t="str">
        <f>IF(ISNUMBER(SEARCH("#",B3507)), LEFT(B3507,FIND("#",B3507)-1), B3507)</f>
        <v>Rope Hook</v>
      </c>
      <c r="G3507" s="26">
        <f>IF(ISNUMBER(SEARCH("#",B3507)),VALUE(MID(B3507,FIND("#",B3507)+1,1000)),1)</f>
        <v>1</v>
      </c>
      <c r="H3507" t="str">
        <f>IF(AND(regexMatch(B3507,".*#[0-9]*$"),ISNUMBER(SEARCH("#",B3507))),CONCATENATE(TRIM(F3507)," #",G3507),B3507)</f>
        <v>Rope Hook</v>
      </c>
    </row>
    <row r="3508" spans="1:8" ht="15.75" thickBot="1" x14ac:dyDescent="0.3">
      <c r="A3508" s="1" t="s">
        <v>1090</v>
      </c>
      <c r="B3508" s="1" t="s">
        <v>3868</v>
      </c>
      <c r="C3508" s="2" t="s">
        <v>5</v>
      </c>
      <c r="D3508" s="2" t="s">
        <v>371</v>
      </c>
      <c r="E3508" s="3" t="str">
        <f>IF(ISERROR(VLOOKUP(B3508,Failures!$A$1:$A$4000,1,FALSE)),"Keep","Delete")</f>
        <v>Keep</v>
      </c>
      <c r="F3508" t="str">
        <f>IF(ISNUMBER(SEARCH("#",B3508)), LEFT(B3508,FIND("#",B3508)-1), B3508)</f>
        <v>Rope Tie</v>
      </c>
      <c r="G3508" s="26">
        <f>IF(ISNUMBER(SEARCH("#",B3508)),VALUE(MID(B3508,FIND("#",B3508)+1,1000)),1)</f>
        <v>1</v>
      </c>
      <c r="H3508" t="str">
        <f>IF(AND(regexMatch(B3508,".*#[0-9]*$"),ISNUMBER(SEARCH("#",B3508))),CONCATENATE(TRIM(F3508)," #",G3508),B3508)</f>
        <v>Rope Tie</v>
      </c>
    </row>
    <row r="3509" spans="1:8" ht="15.75" thickBot="1" x14ac:dyDescent="0.3">
      <c r="A3509" s="1" t="s">
        <v>2679</v>
      </c>
      <c r="B3509" s="1" t="s">
        <v>2680</v>
      </c>
      <c r="C3509" s="2" t="s">
        <v>5</v>
      </c>
      <c r="D3509" s="2" t="s">
        <v>371</v>
      </c>
      <c r="E3509" s="3" t="str">
        <f>IF(ISERROR(VLOOKUP(B3509,Failures!$A$1:$A$4000,1,FALSE)),"Keep","Delete")</f>
        <v>Keep</v>
      </c>
      <c r="F3509" t="str">
        <f>IF(ISNUMBER(SEARCH("#",B3509)), LEFT(B3509,FIND("#",B3509)-1), B3509)</f>
        <v>Rope With Hook</v>
      </c>
      <c r="G3509" s="26">
        <f>IF(ISNUMBER(SEARCH("#",B3509)),VALUE(MID(B3509,FIND("#",B3509)+1,1000)),1)</f>
        <v>1</v>
      </c>
      <c r="H3509" t="str">
        <f>IF(AND(regexMatch(B3509,".*#[0-9]*$"),ISNUMBER(SEARCH("#",B3509))),CONCATENATE(TRIM(F3509)," #",G3509),B3509)</f>
        <v>Rope With Hook</v>
      </c>
    </row>
    <row r="3510" spans="1:8" ht="15.75" thickBot="1" x14ac:dyDescent="0.3">
      <c r="A3510" s="1" t="s">
        <v>2861</v>
      </c>
      <c r="B3510" s="1" t="s">
        <v>2862</v>
      </c>
      <c r="C3510" s="2" t="s">
        <v>5</v>
      </c>
      <c r="D3510" s="2" t="s">
        <v>371</v>
      </c>
      <c r="E3510" s="3" t="str">
        <f>IF(ISERROR(VLOOKUP(B3510,Failures!$A$1:$A$4000,1,FALSE)),"Keep","Delete")</f>
        <v>Keep</v>
      </c>
      <c r="F3510" t="str">
        <f>IF(ISNUMBER(SEARCH("#",B3510)), LEFT(B3510,FIND("#",B3510)-1), B3510)</f>
        <v>Sky Crane Magnet</v>
      </c>
      <c r="G3510" s="26">
        <f>IF(ISNUMBER(SEARCH("#",B3510)),VALUE(MID(B3510,FIND("#",B3510)+1,1000)),1)</f>
        <v>1</v>
      </c>
      <c r="H3510" t="str">
        <f>IF(AND(regexMatch(B3510,".*#[0-9]*$"),ISNUMBER(SEARCH("#",B3510))),CONCATENATE(TRIM(F3510)," #",G3510),B3510)</f>
        <v>Sky Crane Magnet</v>
      </c>
    </row>
    <row r="3511" spans="1:8" ht="15.75" thickBot="1" x14ac:dyDescent="0.3">
      <c r="A3511" s="1" t="s">
        <v>2967</v>
      </c>
      <c r="B3511" s="1" t="s">
        <v>2968</v>
      </c>
      <c r="C3511" s="2" t="s">
        <v>5</v>
      </c>
      <c r="D3511" s="2" t="s">
        <v>371</v>
      </c>
      <c r="E3511" s="3" t="str">
        <f>IF(ISERROR(VLOOKUP(B3511,Failures!$A$1:$A$4000,1,FALSE)),"Keep","Delete")</f>
        <v>Keep</v>
      </c>
      <c r="F3511" t="str">
        <f>IF(ISNUMBER(SEARCH("#",B3511)), LEFT(B3511,FIND("#",B3511)-1), B3511)</f>
        <v>Stag Do Rope</v>
      </c>
      <c r="G3511" s="26">
        <f>IF(ISNUMBER(SEARCH("#",B3511)),VALUE(MID(B3511,FIND("#",B3511)+1,1000)),1)</f>
        <v>1</v>
      </c>
      <c r="H3511" t="str">
        <f>IF(AND(regexMatch(B3511,".*#[0-9]*$"),ISNUMBER(SEARCH("#",B3511))),CONCATENATE(TRIM(F3511)," #",G3511),B3511)</f>
        <v>Stag Do Rope</v>
      </c>
    </row>
    <row r="3512" spans="1:8" ht="15.75" thickBot="1" x14ac:dyDescent="0.3">
      <c r="A3512" s="1" t="s">
        <v>3117</v>
      </c>
      <c r="B3512" s="1" t="s">
        <v>3118</v>
      </c>
      <c r="C3512" s="2" t="s">
        <v>5</v>
      </c>
      <c r="D3512" s="2" t="s">
        <v>371</v>
      </c>
      <c r="E3512" s="3" t="str">
        <f>IF(ISERROR(VLOOKUP(B3512,Failures!$A$1:$A$4000,1,FALSE)),"Keep","Delete")</f>
        <v>Keep</v>
      </c>
      <c r="F3512" t="str">
        <f>IF(ISNUMBER(SEARCH("#",B3512)), LEFT(B3512,FIND("#",B3512)-1), B3512)</f>
        <v>Tarpaulin Strap</v>
      </c>
      <c r="G3512" s="26">
        <f>IF(ISNUMBER(SEARCH("#",B3512)),VALUE(MID(B3512,FIND("#",B3512)+1,1000)),1)</f>
        <v>1</v>
      </c>
      <c r="H3512" t="str">
        <f>IF(AND(regexMatch(B3512,".*#[0-9]*$"),ISNUMBER(SEARCH("#",B3512))),CONCATENATE(TRIM(F3512)," #",G3512),B3512)</f>
        <v>Tarpaulin Strap</v>
      </c>
    </row>
    <row r="3513" spans="1:8" ht="15.75" thickBot="1" x14ac:dyDescent="0.3">
      <c r="A3513" s="1" t="s">
        <v>3261</v>
      </c>
      <c r="B3513" s="1" t="s">
        <v>3262</v>
      </c>
      <c r="C3513" s="2" t="s">
        <v>5</v>
      </c>
      <c r="D3513" s="2" t="s">
        <v>371</v>
      </c>
      <c r="E3513" s="3" t="str">
        <f>IF(ISERROR(VLOOKUP(B3513,Failures!$A$1:$A$4000,1,FALSE)),"Keep","Delete")</f>
        <v>Keep</v>
      </c>
      <c r="F3513" t="str">
        <f>IF(ISNUMBER(SEARCH("#",B3513)), LEFT(B3513,FIND("#",B3513)-1), B3513)</f>
        <v>Trevor's Rope</v>
      </c>
      <c r="G3513" s="26">
        <f>IF(ISNUMBER(SEARCH("#",B3513)),VALUE(MID(B3513,FIND("#",B3513)+1,1000)),1)</f>
        <v>1</v>
      </c>
      <c r="H3513" t="str">
        <f>IF(AND(regexMatch(B3513,".*#[0-9]*$"),ISNUMBER(SEARCH("#",B3513))),CONCATENATE(TRIM(F3513)," #",G3513),B3513)</f>
        <v>Trevor's Rope</v>
      </c>
    </row>
    <row r="3514" spans="1:8" ht="15.75" thickBot="1" x14ac:dyDescent="0.3">
      <c r="A3514" s="1" t="s">
        <v>3326</v>
      </c>
      <c r="B3514" s="1" t="s">
        <v>3327</v>
      </c>
      <c r="C3514" s="4" t="s">
        <v>145</v>
      </c>
      <c r="D3514" s="2" t="s">
        <v>371</v>
      </c>
      <c r="E3514" s="3" t="str">
        <f>IF(ISERROR(VLOOKUP(B3514,Failures!$A$1:$A$4000,1,FALSE)),"Keep","Delete")</f>
        <v>Keep</v>
      </c>
      <c r="F3514" t="str">
        <f>IF(ISNUMBER(SEARCH("#",B3514)), LEFT(B3514,FIND("#",B3514)-1), B3514)</f>
        <v>V Hook S</v>
      </c>
      <c r="G3514" s="26">
        <f>IF(ISNUMBER(SEARCH("#",B3514)),VALUE(MID(B3514,FIND("#",B3514)+1,1000)),1)</f>
        <v>1</v>
      </c>
      <c r="H3514" t="str">
        <f>IF(AND(regexMatch(B3514,".*#[0-9]*$"),ISNUMBER(SEARCH("#",B3514))),CONCATENATE(TRIM(F3514)," #",G3514),B3514)</f>
        <v>V Hook S</v>
      </c>
    </row>
    <row r="3515" spans="1:8" ht="15.75" thickBot="1" x14ac:dyDescent="0.3">
      <c r="A3515" s="1" t="s">
        <v>3339</v>
      </c>
      <c r="B3515" s="1" t="s">
        <v>3340</v>
      </c>
      <c r="C3515" s="2" t="s">
        <v>5</v>
      </c>
      <c r="D3515" s="2" t="s">
        <v>371</v>
      </c>
      <c r="E3515" s="3" t="str">
        <f>IF(ISERROR(VLOOKUP(B3515,Failures!$A$1:$A$4000,1,FALSE)),"Keep","Delete")</f>
        <v>Keep</v>
      </c>
      <c r="F3515" t="str">
        <f>IF(ISNUMBER(SEARCH("#",B3515)), LEFT(B3515,FIND("#",B3515)-1), B3515)</f>
        <v>Vehicle Hook</v>
      </c>
      <c r="G3515" s="26">
        <f>IF(ISNUMBER(SEARCH("#",B3515)),VALUE(MID(B3515,FIND("#",B3515)+1,1000)),1)</f>
        <v>1</v>
      </c>
      <c r="H3515" t="str">
        <f>IF(AND(regexMatch(B3515,".*#[0-9]*$"),ISNUMBER(SEARCH("#",B3515))),CONCATENATE(TRIM(F3515)," #",G3515),B3515)</f>
        <v>Vehicle Hook</v>
      </c>
    </row>
    <row r="3516" spans="1:8" ht="15.75" thickBot="1" x14ac:dyDescent="0.3">
      <c r="A3516" s="1" t="s">
        <v>3467</v>
      </c>
      <c r="B3516" s="1" t="s">
        <v>3468</v>
      </c>
      <c r="C3516" s="2" t="s">
        <v>5</v>
      </c>
      <c r="D3516" s="2" t="s">
        <v>371</v>
      </c>
      <c r="E3516" s="3" t="str">
        <f>IF(ISERROR(VLOOKUP(B3516,Failures!$A$1:$A$4000,1,FALSE)),"Keep","Delete")</f>
        <v>Keep</v>
      </c>
      <c r="F3516" t="str">
        <f>IF(ISNUMBER(SEARCH("#",B3516)), LEFT(B3516,FIND("#",B3516)-1), B3516)</f>
        <v>Winch Hook Long</v>
      </c>
      <c r="G3516" s="26">
        <f>IF(ISNUMBER(SEARCH("#",B3516)),VALUE(MID(B3516,FIND("#",B3516)+1,1000)),1)</f>
        <v>1</v>
      </c>
      <c r="H3516" t="str">
        <f>IF(AND(regexMatch(B3516,".*#[0-9]*$"),ISNUMBER(SEARCH("#",B3516))),CONCATENATE(TRIM(F3516)," #",G3516),B3516)</f>
        <v>Winch Hook Long</v>
      </c>
    </row>
    <row r="3517" spans="1:8" ht="15.75" thickBot="1" x14ac:dyDescent="0.3">
      <c r="A3517" s="1" t="s">
        <v>3465</v>
      </c>
      <c r="B3517" s="1" t="s">
        <v>3466</v>
      </c>
      <c r="C3517" s="2" t="s">
        <v>5</v>
      </c>
      <c r="D3517" s="2" t="s">
        <v>371</v>
      </c>
      <c r="E3517" s="3" t="str">
        <f>IF(ISERROR(VLOOKUP(B3517,Failures!$A$1:$A$4000,1,FALSE)),"Keep","Delete")</f>
        <v>Keep</v>
      </c>
      <c r="F3517" t="str">
        <f>IF(ISNUMBER(SEARCH("#",B3517)), LEFT(B3517,FIND("#",B3517)-1), B3517)</f>
        <v>Winch Hook Short</v>
      </c>
      <c r="G3517" s="26">
        <f>IF(ISNUMBER(SEARCH("#",B3517)),VALUE(MID(B3517,FIND("#",B3517)+1,1000)),1)</f>
        <v>1</v>
      </c>
      <c r="H3517" t="str">
        <f>IF(AND(regexMatch(B3517,".*#[0-9]*$"),ISNUMBER(SEARCH("#",B3517))),CONCATENATE(TRIM(F3517)," #",G3517),B3517)</f>
        <v>Winch Hook Short</v>
      </c>
    </row>
    <row r="3518" spans="1:8" ht="15.75" thickBot="1" x14ac:dyDescent="0.3">
      <c r="A3518" s="1" t="s">
        <v>5487</v>
      </c>
      <c r="B3518" s="1" t="s">
        <v>9782</v>
      </c>
      <c r="C3518" s="1"/>
      <c r="D3518" s="2" t="s">
        <v>3950</v>
      </c>
      <c r="E3518" s="3" t="str">
        <f>IF(ISERROR(VLOOKUP(B3518,Failures!$A$1:$A$4000,1,FALSE)),"Keep","Delete")</f>
        <v>Keep</v>
      </c>
      <c r="F3518" t="str">
        <f>IF(ISNUMBER(SEARCH("#",B3518)), LEFT(B3518,FIND("#",B3518)-1), B3518)</f>
        <v xml:space="preserve">Astrology Stall Table </v>
      </c>
      <c r="G3518" s="26">
        <f>IF(ISNUMBER(SEARCH("#",B3518)),VALUE(MID(B3518,FIND("#",B3518)+1,1000)),1)</f>
        <v>1</v>
      </c>
      <c r="H3518" t="str">
        <f>IF(AND(regexMatch(B3518,".*#[0-9]*$"),ISNUMBER(SEARCH("#",B3518))),CONCATENATE(TRIM(F3518)," #",G3518),B3518)</f>
        <v>Astrology Stall Table #1</v>
      </c>
    </row>
    <row r="3519" spans="1:8" ht="15.75" thickBot="1" x14ac:dyDescent="0.3">
      <c r="A3519" s="1" t="s">
        <v>5486</v>
      </c>
      <c r="B3519" s="1" t="s">
        <v>9783</v>
      </c>
      <c r="C3519" s="1"/>
      <c r="D3519" s="2" t="s">
        <v>3950</v>
      </c>
      <c r="E3519" s="3" t="str">
        <f>IF(ISERROR(VLOOKUP(B3519,Failures!$A$1:$A$4000,1,FALSE)),"Keep","Delete")</f>
        <v>Keep</v>
      </c>
      <c r="F3519" t="str">
        <f>IF(ISNUMBER(SEARCH("#",B3519)), LEFT(B3519,FIND("#",B3519)-1), B3519)</f>
        <v xml:space="preserve">Astrology Stall Table </v>
      </c>
      <c r="G3519" s="26">
        <f>IF(ISNUMBER(SEARCH("#",B3519)),VALUE(MID(B3519,FIND("#",B3519)+1,1000)),1)</f>
        <v>2</v>
      </c>
      <c r="H3519" t="str">
        <f>IF(AND(regexMatch(B3519,".*#[0-9]*$"),ISNUMBER(SEARCH("#",B3519))),CONCATENATE(TRIM(F3519)," #",G3519),B3519)</f>
        <v>Astrology Stall Table #2</v>
      </c>
    </row>
    <row r="3520" spans="1:8" ht="15.75" thickBot="1" x14ac:dyDescent="0.3">
      <c r="A3520" s="1" t="s">
        <v>5277</v>
      </c>
      <c r="B3520" s="1" t="s">
        <v>10423</v>
      </c>
      <c r="C3520" s="1"/>
      <c r="D3520" s="2" t="s">
        <v>3950</v>
      </c>
      <c r="E3520" s="3" t="str">
        <f>IF(ISERROR(VLOOKUP(B3520,Failures!$A$1:$A$4000,1,FALSE)),"Keep","Delete")</f>
        <v>Keep</v>
      </c>
      <c r="F3520" t="str">
        <f>IF(ISNUMBER(SEARCH("#",B3520)), LEFT(B3520,FIND("#",B3520)-1), B3520)</f>
        <v>Batteries Display</v>
      </c>
      <c r="G3520" s="26">
        <f>IF(ISNUMBER(SEARCH("#",B3520)),VALUE(MID(B3520,FIND("#",B3520)+1,1000)),1)</f>
        <v>1</v>
      </c>
      <c r="H3520" t="str">
        <f>IF(AND(regexMatch(B3520,".*#[0-9]*$"),ISNUMBER(SEARCH("#",B3520))),CONCATENATE(TRIM(F3520)," #",G3520),B3520)</f>
        <v>Batteries Display</v>
      </c>
    </row>
    <row r="3521" spans="1:8" ht="15.75" thickBot="1" x14ac:dyDescent="0.3">
      <c r="A3521" s="1" t="s">
        <v>5474</v>
      </c>
      <c r="B3521" s="1" t="s">
        <v>10046</v>
      </c>
      <c r="C3521" s="1"/>
      <c r="D3521" s="2" t="s">
        <v>3950</v>
      </c>
      <c r="E3521" s="3" t="str">
        <f>IF(ISERROR(VLOOKUP(B3521,Failures!$A$1:$A$4000,1,FALSE)),"Keep","Delete")</f>
        <v>Keep</v>
      </c>
      <c r="F3521" t="str">
        <f>IF(ISNUMBER(SEARCH("#",B3521)), LEFT(B3521,FIND("#",B3521)-1), B3521)</f>
        <v xml:space="preserve">Box of Horoscope Books </v>
      </c>
      <c r="G3521" s="26">
        <f>IF(ISNUMBER(SEARCH("#",B3521)),VALUE(MID(B3521,FIND("#",B3521)+1,1000)),1)</f>
        <v>1</v>
      </c>
      <c r="H3521" t="str">
        <f>IF(AND(regexMatch(B3521,".*#[0-9]*$"),ISNUMBER(SEARCH("#",B3521))),CONCATENATE(TRIM(F3521)," #",G3521),B3521)</f>
        <v>Box of Horoscope Books #1</v>
      </c>
    </row>
    <row r="3522" spans="1:8" ht="15.75" thickBot="1" x14ac:dyDescent="0.3">
      <c r="A3522" s="1" t="s">
        <v>5473</v>
      </c>
      <c r="B3522" s="1" t="s">
        <v>10047</v>
      </c>
      <c r="C3522" s="1"/>
      <c r="D3522" s="2" t="s">
        <v>3950</v>
      </c>
      <c r="E3522" s="3" t="str">
        <f>IF(ISERROR(VLOOKUP(B3522,Failures!$A$1:$A$4000,1,FALSE)),"Keep","Delete")</f>
        <v>Keep</v>
      </c>
      <c r="F3522" t="str">
        <f>IF(ISNUMBER(SEARCH("#",B3522)), LEFT(B3522,FIND("#",B3522)-1), B3522)</f>
        <v xml:space="preserve">Box of Horoscope Books </v>
      </c>
      <c r="G3522" s="26">
        <f>IF(ISNUMBER(SEARCH("#",B3522)),VALUE(MID(B3522,FIND("#",B3522)+1,1000)),1)</f>
        <v>2</v>
      </c>
      <c r="H3522" t="str">
        <f>IF(AND(regexMatch(B3522,".*#[0-9]*$"),ISNUMBER(SEARCH("#",B3522))),CONCATENATE(TRIM(F3522)," #",G3522),B3522)</f>
        <v>Box of Horoscope Books #2</v>
      </c>
    </row>
    <row r="3523" spans="1:8" ht="15.75" thickBot="1" x14ac:dyDescent="0.3">
      <c r="A3523" s="1" t="s">
        <v>4905</v>
      </c>
      <c r="B3523" s="1" t="s">
        <v>10358</v>
      </c>
      <c r="C3523" s="1"/>
      <c r="D3523" s="2" t="s">
        <v>3950</v>
      </c>
      <c r="E3523" s="3" t="str">
        <f>IF(ISERROR(VLOOKUP(B3523,Failures!$A$1:$A$4000,1,FALSE)),"Keep","Delete")</f>
        <v>Keep</v>
      </c>
      <c r="F3523" t="str">
        <f>IF(ISNUMBER(SEARCH("#",B3523)), LEFT(B3523,FIND("#",B3523)-1), B3523)</f>
        <v>Box of T-Shirts</v>
      </c>
      <c r="G3523" s="26">
        <f>IF(ISNUMBER(SEARCH("#",B3523)),VALUE(MID(B3523,FIND("#",B3523)+1,1000)),1)</f>
        <v>1</v>
      </c>
      <c r="H3523" t="str">
        <f>IF(AND(regexMatch(B3523,".*#[0-9]*$"),ISNUMBER(SEARCH("#",B3523))),CONCATENATE(TRIM(F3523)," #",G3523),B3523)</f>
        <v>Box of T-Shirts</v>
      </c>
    </row>
    <row r="3524" spans="1:8" ht="15.75" thickBot="1" x14ac:dyDescent="0.3">
      <c r="A3524" s="1" t="s">
        <v>4893</v>
      </c>
      <c r="B3524" s="1" t="s">
        <v>9835</v>
      </c>
      <c r="C3524" s="1"/>
      <c r="D3524" s="2" t="s">
        <v>3950</v>
      </c>
      <c r="E3524" s="3" t="str">
        <f>IF(ISERROR(VLOOKUP(B3524,Failures!$A$1:$A$4000,1,FALSE)),"Keep","Delete")</f>
        <v>Keep</v>
      </c>
      <c r="F3524" t="str">
        <f>IF(ISNUMBER(SEARCH("#",B3524)), LEFT(B3524,FIND("#",B3524)-1), B3524)</f>
        <v>Burger Stand</v>
      </c>
      <c r="G3524" s="26">
        <f>IF(ISNUMBER(SEARCH("#",B3524)),VALUE(MID(B3524,FIND("#",B3524)+1,1000)),1)</f>
        <v>1</v>
      </c>
      <c r="H3524" t="str">
        <f>IF(AND(regexMatch(B3524,".*#[0-9]*$"),ISNUMBER(SEARCH("#",B3524))),CONCATENATE(TRIM(F3524)," #",G3524),B3524)</f>
        <v>Burger Stand</v>
      </c>
    </row>
    <row r="3525" spans="1:8" ht="15.75" thickBot="1" x14ac:dyDescent="0.3">
      <c r="A3525" s="1" t="s">
        <v>5238</v>
      </c>
      <c r="B3525" s="1" t="s">
        <v>10459</v>
      </c>
      <c r="C3525" s="1"/>
      <c r="D3525" s="2" t="s">
        <v>3950</v>
      </c>
      <c r="E3525" s="3" t="str">
        <f>IF(ISERROR(VLOOKUP(B3525,Failures!$A$1:$A$4000,1,FALSE)),"Keep","Delete")</f>
        <v>Keep</v>
      </c>
      <c r="F3525" t="str">
        <f>IF(ISNUMBER(SEARCH("#",B3525)), LEFT(B3525,FIND("#",B3525)-1), B3525)</f>
        <v xml:space="preserve">Candy Packs: Pow </v>
      </c>
      <c r="G3525" s="26">
        <f>IF(ISNUMBER(SEARCH("#",B3525)),VALUE(MID(B3525,FIND("#",B3525)+1,1000)),1)</f>
        <v>1</v>
      </c>
      <c r="H3525" t="str">
        <f>IF(AND(regexMatch(B3525,".*#[0-9]*$"),ISNUMBER(SEARCH("#",B3525))),CONCATENATE(TRIM(F3525)," #",G3525),B3525)</f>
        <v>Candy Packs: Pow #1</v>
      </c>
    </row>
    <row r="3526" spans="1:8" ht="15.75" thickBot="1" x14ac:dyDescent="0.3">
      <c r="A3526" s="1" t="s">
        <v>5237</v>
      </c>
      <c r="B3526" s="1" t="s">
        <v>10460</v>
      </c>
      <c r="C3526" s="1"/>
      <c r="D3526" s="2" t="s">
        <v>3950</v>
      </c>
      <c r="E3526" s="3" t="str">
        <f>IF(ISERROR(VLOOKUP(B3526,Failures!$A$1:$A$4000,1,FALSE)),"Keep","Delete")</f>
        <v>Keep</v>
      </c>
      <c r="F3526" t="str">
        <f>IF(ISNUMBER(SEARCH("#",B3526)), LEFT(B3526,FIND("#",B3526)-1), B3526)</f>
        <v xml:space="preserve">Candy Packs: Pow </v>
      </c>
      <c r="G3526" s="26">
        <f>IF(ISNUMBER(SEARCH("#",B3526)),VALUE(MID(B3526,FIND("#",B3526)+1,1000)),1)</f>
        <v>2</v>
      </c>
      <c r="H3526" t="str">
        <f>IF(AND(regexMatch(B3526,".*#[0-9]*$"),ISNUMBER(SEARCH("#",B3526))),CONCATENATE(TRIM(F3526)," #",G3526),B3526)</f>
        <v>Candy Packs: Pow #2</v>
      </c>
    </row>
    <row r="3527" spans="1:8" ht="15.75" thickBot="1" x14ac:dyDescent="0.3">
      <c r="A3527" s="1" t="s">
        <v>5236</v>
      </c>
      <c r="B3527" s="1" t="s">
        <v>10461</v>
      </c>
      <c r="C3527" s="1"/>
      <c r="D3527" s="2" t="s">
        <v>3950</v>
      </c>
      <c r="E3527" s="3" t="str">
        <f>IF(ISERROR(VLOOKUP(B3527,Failures!$A$1:$A$4000,1,FALSE)),"Keep","Delete")</f>
        <v>Keep</v>
      </c>
      <c r="F3527" t="str">
        <f>IF(ISNUMBER(SEARCH("#",B3527)), LEFT(B3527,FIND("#",B3527)-1), B3527)</f>
        <v xml:space="preserve">Candy Packs: Pow </v>
      </c>
      <c r="G3527" s="26">
        <f>IF(ISNUMBER(SEARCH("#",B3527)),VALUE(MID(B3527,FIND("#",B3527)+1,1000)),1)</f>
        <v>3</v>
      </c>
      <c r="H3527" t="str">
        <f>IF(AND(regexMatch(B3527,".*#[0-9]*$"),ISNUMBER(SEARCH("#",B3527))),CONCATENATE(TRIM(F3527)," #",G3527),B3527)</f>
        <v>Candy Packs: Pow #3</v>
      </c>
    </row>
    <row r="3528" spans="1:8" ht="15.75" thickBot="1" x14ac:dyDescent="0.3">
      <c r="A3528" s="1" t="s">
        <v>5240</v>
      </c>
      <c r="B3528" s="1" t="s">
        <v>10457</v>
      </c>
      <c r="C3528" s="1"/>
      <c r="D3528" s="2" t="s">
        <v>3950</v>
      </c>
      <c r="E3528" s="3" t="str">
        <f>IF(ISERROR(VLOOKUP(B3528,Failures!$A$1:$A$4000,1,FALSE)),"Keep","Delete")</f>
        <v>Keep</v>
      </c>
      <c r="F3528" t="str">
        <f>IF(ISNUMBER(SEARCH("#",B3528)), LEFT(B3528,FIND("#",B3528)-1), B3528)</f>
        <v>Candy Packs: Ps And Qs</v>
      </c>
      <c r="G3528" s="26">
        <f>IF(ISNUMBER(SEARCH("#",B3528)),VALUE(MID(B3528,FIND("#",B3528)+1,1000)),1)</f>
        <v>1</v>
      </c>
      <c r="H3528" t="str">
        <f>IF(AND(regexMatch(B3528,".*#[0-9]*$"),ISNUMBER(SEARCH("#",B3528))),CONCATENATE(TRIM(F3528)," #",G3528),B3528)</f>
        <v>Candy Packs: Ps And Qs</v>
      </c>
    </row>
    <row r="3529" spans="1:8" ht="15.75" thickBot="1" x14ac:dyDescent="0.3">
      <c r="A3529" s="1" t="s">
        <v>5239</v>
      </c>
      <c r="B3529" s="1" t="s">
        <v>10458</v>
      </c>
      <c r="C3529" s="1"/>
      <c r="D3529" s="2" t="s">
        <v>3950</v>
      </c>
      <c r="E3529" s="3" t="str">
        <f>IF(ISERROR(VLOOKUP(B3529,Failures!$A$1:$A$4000,1,FALSE)),"Keep","Delete")</f>
        <v>Keep</v>
      </c>
      <c r="F3529" t="str">
        <f>IF(ISNUMBER(SEARCH("#",B3529)), LEFT(B3529,FIND("#",B3529)-1), B3529)</f>
        <v>Candy Packs: Sweet Nothings</v>
      </c>
      <c r="G3529" s="26">
        <f>IF(ISNUMBER(SEARCH("#",B3529)),VALUE(MID(B3529,FIND("#",B3529)+1,1000)),1)</f>
        <v>1</v>
      </c>
      <c r="H3529" t="str">
        <f>IF(AND(regexMatch(B3529,".*#[0-9]*$"),ISNUMBER(SEARCH("#",B3529))),CONCATENATE(TRIM(F3529)," #",G3529),B3529)</f>
        <v>Candy Packs: Sweet Nothings</v>
      </c>
    </row>
    <row r="3530" spans="1:8" ht="15.75" thickBot="1" x14ac:dyDescent="0.3">
      <c r="A3530" s="27" t="s">
        <v>7182</v>
      </c>
      <c r="B3530" s="22" t="s">
        <v>10696</v>
      </c>
      <c r="C3530" s="1"/>
      <c r="D3530" s="2" t="s">
        <v>3950</v>
      </c>
      <c r="E3530" s="3" t="str">
        <f>IF(ISERROR(VLOOKUP(B3530,Failures!$A$1:$A$4000,1,FALSE)),"Keep","Delete")</f>
        <v>Keep</v>
      </c>
      <c r="F3530" t="str">
        <f>IF(ISNUMBER(SEARCH("#",B3530)), LEFT(B3530,FIND("#",B3530)-1), B3530)</f>
        <v>Cans Of Pop Four Pack</v>
      </c>
      <c r="G3530" s="26">
        <f>IF(ISNUMBER(SEARCH("#",B3530)),VALUE(MID(B3530,FIND("#",B3530)+1,1000)),1)</f>
        <v>1</v>
      </c>
      <c r="H3530" t="str">
        <f>IF(AND(regexMatch(B3530,".*#[0-9]*$"),ISNUMBER(SEARCH("#",B3530))),CONCATENATE(TRIM(F3530)," #",G3530),B3530)</f>
        <v>Cans Of Pop Four Pack</v>
      </c>
    </row>
    <row r="3531" spans="1:8" ht="15.75" thickBot="1" x14ac:dyDescent="0.3">
      <c r="A3531" s="1" t="s">
        <v>597</v>
      </c>
      <c r="B3531" s="1" t="s">
        <v>3554</v>
      </c>
      <c r="C3531" s="4" t="s">
        <v>5</v>
      </c>
      <c r="D3531" s="2" t="s">
        <v>3950</v>
      </c>
      <c r="E3531" s="3" t="str">
        <f>IF(ISERROR(VLOOKUP(B3531,Failures!$A$1:$A$4000,1,FALSE)),"Keep","Delete")</f>
        <v>Keep</v>
      </c>
      <c r="F3531" t="str">
        <f>IF(ISNUMBER(SEARCH("#",B3531)), LEFT(B3531,FIND("#",B3531)-1), B3531)</f>
        <v>Carrier Bag</v>
      </c>
      <c r="G3531" s="26">
        <f>IF(ISNUMBER(SEARCH("#",B3531)),VALUE(MID(B3531,FIND("#",B3531)+1,1000)),1)</f>
        <v>1</v>
      </c>
      <c r="H3531" t="str">
        <f>IF(AND(regexMatch(B3531,".*#[0-9]*$"),ISNUMBER(SEARCH("#",B3531))),CONCATENATE(TRIM(F3531)," #",G3531),B3531)</f>
        <v>Carrier Bag</v>
      </c>
    </row>
    <row r="3532" spans="1:8" ht="15.75" thickBot="1" x14ac:dyDescent="0.3">
      <c r="A3532" s="1" t="s">
        <v>5241</v>
      </c>
      <c r="B3532" s="1" t="s">
        <v>10456</v>
      </c>
      <c r="C3532" s="1"/>
      <c r="D3532" s="2" t="s">
        <v>3950</v>
      </c>
      <c r="E3532" s="3" t="str">
        <f>IF(ISERROR(VLOOKUP(B3532,Failures!$A$1:$A$4000,1,FALSE)),"Keep","Delete")</f>
        <v>Keep</v>
      </c>
      <c r="F3532" t="str">
        <f>IF(ISNUMBER(SEARCH("#",B3532)), LEFT(B3532,FIND("#",B3532)-1), B3532)</f>
        <v>Chocolate Bars: Captain's Log</v>
      </c>
      <c r="G3532" s="26">
        <f>IF(ISNUMBER(SEARCH("#",B3532)),VALUE(MID(B3532,FIND("#",B3532)+1,1000)),1)</f>
        <v>1</v>
      </c>
      <c r="H3532" t="str">
        <f>IF(AND(regexMatch(B3532,".*#[0-9]*$"),ISNUMBER(SEARCH("#",B3532))),CONCATENATE(TRIM(F3532)," #",G3532),B3532)</f>
        <v>Chocolate Bars: Captain's Log</v>
      </c>
    </row>
    <row r="3533" spans="1:8" ht="15.75" thickBot="1" x14ac:dyDescent="0.3">
      <c r="A3533" s="1" t="s">
        <v>5235</v>
      </c>
      <c r="B3533" s="1" t="s">
        <v>10462</v>
      </c>
      <c r="C3533" s="1"/>
      <c r="D3533" s="2" t="s">
        <v>3950</v>
      </c>
      <c r="E3533" s="3" t="str">
        <f>IF(ISERROR(VLOOKUP(B3533,Failures!$A$1:$A$4000,1,FALSE)),"Keep","Delete")</f>
        <v>Keep</v>
      </c>
      <c r="F3533" t="str">
        <f>IF(ISNUMBER(SEARCH("#",B3533)), LEFT(B3533,FIND("#",B3533)-1), B3533)</f>
        <v>Chocolate Bars: Earthquakes</v>
      </c>
      <c r="G3533" s="26">
        <f>IF(ISNUMBER(SEARCH("#",B3533)),VALUE(MID(B3533,FIND("#",B3533)+1,1000)),1)</f>
        <v>1</v>
      </c>
      <c r="H3533" t="str">
        <f>IF(AND(regexMatch(B3533,".*#[0-9]*$"),ISNUMBER(SEARCH("#",B3533))),CONCATENATE(TRIM(F3533)," #",G3533),B3533)</f>
        <v>Chocolate Bars: Earthquakes</v>
      </c>
    </row>
    <row r="3534" spans="1:8" ht="15.75" thickBot="1" x14ac:dyDescent="0.3">
      <c r="A3534" s="1" t="s">
        <v>5233</v>
      </c>
      <c r="B3534" s="1" t="s">
        <v>10464</v>
      </c>
      <c r="C3534" s="1"/>
      <c r="D3534" s="2" t="s">
        <v>3950</v>
      </c>
      <c r="E3534" s="3" t="str">
        <f>IF(ISERROR(VLOOKUP(B3534,Failures!$A$1:$A$4000,1,FALSE)),"Keep","Delete")</f>
        <v>Keep</v>
      </c>
      <c r="F3534" t="str">
        <f>IF(ISNUMBER(SEARCH("#",B3534)), LEFT(B3534,FIND("#",B3534)-1), B3534)</f>
        <v>Chocolate Bars: Ego Chaser</v>
      </c>
      <c r="G3534" s="26">
        <f>IF(ISNUMBER(SEARCH("#",B3534)),VALUE(MID(B3534,FIND("#",B3534)+1,1000)),1)</f>
        <v>1</v>
      </c>
      <c r="H3534" t="str">
        <f>IF(AND(regexMatch(B3534,".*#[0-9]*$"),ISNUMBER(SEARCH("#",B3534))),CONCATENATE(TRIM(F3534)," #",G3534),B3534)</f>
        <v>Chocolate Bars: Ego Chaser</v>
      </c>
    </row>
    <row r="3535" spans="1:8" ht="15.75" thickBot="1" x14ac:dyDescent="0.3">
      <c r="A3535" s="1" t="s">
        <v>5242</v>
      </c>
      <c r="B3535" s="1" t="s">
        <v>10455</v>
      </c>
      <c r="C3535" s="1"/>
      <c r="D3535" s="2" t="s">
        <v>3950</v>
      </c>
      <c r="E3535" s="3" t="str">
        <f>IF(ISERROR(VLOOKUP(B3535,Failures!$A$1:$A$4000,1,FALSE)),"Keep","Delete")</f>
        <v>Keep</v>
      </c>
      <c r="F3535" t="str">
        <f>IF(ISNUMBER(SEARCH("#",B3535)), LEFT(B3535,FIND("#",B3535)-1), B3535)</f>
        <v>Chocolate Bars: Meteorite</v>
      </c>
      <c r="G3535" s="26">
        <f>IF(ISNUMBER(SEARCH("#",B3535)),VALUE(MID(B3535,FIND("#",B3535)+1,1000)),1)</f>
        <v>1</v>
      </c>
      <c r="H3535" t="str">
        <f>IF(AND(regexMatch(B3535,".*#[0-9]*$"),ISNUMBER(SEARCH("#",B3535))),CONCATENATE(TRIM(F3535)," #",G3535),B3535)</f>
        <v>Chocolate Bars: Meteorite</v>
      </c>
    </row>
    <row r="3536" spans="1:8" ht="15.75" thickBot="1" x14ac:dyDescent="0.3">
      <c r="A3536" s="1" t="s">
        <v>5234</v>
      </c>
      <c r="B3536" s="1" t="s">
        <v>10463</v>
      </c>
      <c r="C3536" s="1"/>
      <c r="D3536" s="2" t="s">
        <v>3950</v>
      </c>
      <c r="E3536" s="3" t="str">
        <f>IF(ISERROR(VLOOKUP(B3536,Failures!$A$1:$A$4000,1,FALSE)),"Keep","Delete")</f>
        <v>Keep</v>
      </c>
      <c r="F3536" t="str">
        <f>IF(ISNUMBER(SEARCH("#",B3536)), LEFT(B3536,FIND("#",B3536)-1), B3536)</f>
        <v>Chocolate Bars: Zebrabar</v>
      </c>
      <c r="G3536" s="26">
        <f>IF(ISNUMBER(SEARCH("#",B3536)),VALUE(MID(B3536,FIND("#",B3536)+1,1000)),1)</f>
        <v>1</v>
      </c>
      <c r="H3536" t="str">
        <f>IF(AND(regexMatch(B3536,".*#[0-9]*$"),ISNUMBER(SEARCH("#",B3536))),CONCATENATE(TRIM(F3536)," #",G3536),B3536)</f>
        <v>Chocolate Bars: Zebrabar</v>
      </c>
    </row>
    <row r="3537" spans="1:8" ht="15.75" thickBot="1" x14ac:dyDescent="0.3">
      <c r="A3537" s="1" t="s">
        <v>5288</v>
      </c>
      <c r="B3537" s="1" t="s">
        <v>10412</v>
      </c>
      <c r="C3537" s="1"/>
      <c r="D3537" s="2" t="s">
        <v>3950</v>
      </c>
      <c r="E3537" s="3" t="str">
        <f>IF(ISERROR(VLOOKUP(B3537,Failures!$A$1:$A$4000,1,FALSE)),"Keep","Delete")</f>
        <v>Keep</v>
      </c>
      <c r="F3537" t="str">
        <f>IF(ISNUMBER(SEARCH("#",B3537)), LEFT(B3537,FIND("#",B3537)-1), B3537)</f>
        <v>Cigarette Display</v>
      </c>
      <c r="G3537" s="26">
        <f>IF(ISNUMBER(SEARCH("#",B3537)),VALUE(MID(B3537,FIND("#",B3537)+1,1000)),1)</f>
        <v>1</v>
      </c>
      <c r="H3537" t="str">
        <f>IF(AND(regexMatch(B3537,".*#[0-9]*$"),ISNUMBER(SEARCH("#",B3537))),CONCATENATE(TRIM(F3537)," #",G3537),B3537)</f>
        <v>Cigarette Display</v>
      </c>
    </row>
    <row r="3538" spans="1:8" ht="15.75" thickBot="1" x14ac:dyDescent="0.3">
      <c r="A3538" s="27" t="s">
        <v>7324</v>
      </c>
      <c r="B3538" s="22" t="s">
        <v>10574</v>
      </c>
      <c r="C3538" s="1"/>
      <c r="D3538" s="2" t="s">
        <v>3950</v>
      </c>
      <c r="E3538" s="3" t="str">
        <f>IF(ISERROR(VLOOKUP(B3538,Failures!$A$1:$A$4000,1,FALSE)),"Keep","Delete")</f>
        <v>Keep</v>
      </c>
      <c r="F3538" t="str">
        <f>IF(ISNUMBER(SEARCH("#",B3538)), LEFT(B3538,FIND("#",B3538)-1), B3538)</f>
        <v>Coffee Cart Stall</v>
      </c>
      <c r="G3538" s="26">
        <f>IF(ISNUMBER(SEARCH("#",B3538)),VALUE(MID(B3538,FIND("#",B3538)+1,1000)),1)</f>
        <v>1</v>
      </c>
      <c r="H3538" t="str">
        <f>IF(AND(regexMatch(B3538,".*#[0-9]*$"),ISNUMBER(SEARCH("#",B3538))),CONCATENATE(TRIM(F3538)," #",G3538),B3538)</f>
        <v>Coffee Cart Stall</v>
      </c>
    </row>
    <row r="3539" spans="1:8" ht="15.75" thickBot="1" x14ac:dyDescent="0.3">
      <c r="A3539" s="1" t="s">
        <v>5278</v>
      </c>
      <c r="B3539" s="1" t="s">
        <v>10422</v>
      </c>
      <c r="C3539" s="1"/>
      <c r="D3539" s="2" t="s">
        <v>3950</v>
      </c>
      <c r="E3539" s="3" t="str">
        <f>IF(ISERROR(VLOOKUP(B3539,Failures!$A$1:$A$4000,1,FALSE)),"Keep","Delete")</f>
        <v>Keep</v>
      </c>
      <c r="F3539" t="str">
        <f>IF(ISNUMBER(SEARCH("#",B3539)), LEFT(B3539,FIND("#",B3539)-1), B3539)</f>
        <v>Deodorants Display</v>
      </c>
      <c r="G3539" s="26">
        <f>IF(ISNUMBER(SEARCH("#",B3539)),VALUE(MID(B3539,FIND("#",B3539)+1,1000)),1)</f>
        <v>1</v>
      </c>
      <c r="H3539" t="str">
        <f>IF(AND(regexMatch(B3539,".*#[0-9]*$"),ISNUMBER(SEARCH("#",B3539))),CONCATENATE(TRIM(F3539)," #",G3539),B3539)</f>
        <v>Deodorants Display</v>
      </c>
    </row>
    <row r="3540" spans="1:8" ht="15.75" thickBot="1" x14ac:dyDescent="0.3">
      <c r="A3540" s="1" t="s">
        <v>5287</v>
      </c>
      <c r="B3540" s="1" t="s">
        <v>10413</v>
      </c>
      <c r="C3540" s="1"/>
      <c r="D3540" s="2" t="s">
        <v>3950</v>
      </c>
      <c r="E3540" s="3" t="str">
        <f>IF(ISERROR(VLOOKUP(B3540,Failures!$A$1:$A$4000,1,FALSE)),"Keep","Delete")</f>
        <v>Keep</v>
      </c>
      <c r="F3540" t="str">
        <f>IF(ISNUMBER(SEARCH("#",B3540)), LEFT(B3540,FIND("#",B3540)-1), B3540)</f>
        <v>Donut Display</v>
      </c>
      <c r="G3540" s="26">
        <f>IF(ISNUMBER(SEARCH("#",B3540)),VALUE(MID(B3540,FIND("#",B3540)+1,1000)),1)</f>
        <v>1</v>
      </c>
      <c r="H3540" t="str">
        <f>IF(AND(regexMatch(B3540,".*#[0-9]*$"),ISNUMBER(SEARCH("#",B3540))),CONCATENATE(TRIM(F3540)," #",G3540),B3540)</f>
        <v>Donut Display</v>
      </c>
    </row>
    <row r="3541" spans="1:8" ht="15.75" thickBot="1" x14ac:dyDescent="0.3">
      <c r="A3541" s="1" t="s">
        <v>1265</v>
      </c>
      <c r="B3541" s="1" t="s">
        <v>1266</v>
      </c>
      <c r="C3541" s="2" t="s">
        <v>5</v>
      </c>
      <c r="D3541" s="2" t="s">
        <v>3950</v>
      </c>
      <c r="E3541" s="3" t="str">
        <f>IF(ISERROR(VLOOKUP(B3541,Failures!$A$1:$A$4000,1,FALSE)),"Keep","Delete")</f>
        <v>Keep</v>
      </c>
      <c r="F3541" t="str">
        <f>IF(ISNUMBER(SEARCH("#",B3541)), LEFT(B3541,FIND("#",B3541)-1), B3541)</f>
        <v xml:space="preserve">Dress Display </v>
      </c>
      <c r="G3541" s="26">
        <f>IF(ISNUMBER(SEARCH("#",B3541)),VALUE(MID(B3541,FIND("#",B3541)+1,1000)),1)</f>
        <v>1</v>
      </c>
      <c r="H3541" t="str">
        <f>IF(AND(regexMatch(B3541,".*#[0-9]*$"),ISNUMBER(SEARCH("#",B3541))),CONCATENATE(TRIM(F3541)," #",G3541),B3541)</f>
        <v>Dress Display #1</v>
      </c>
    </row>
    <row r="3542" spans="1:8" ht="15.75" thickBot="1" x14ac:dyDescent="0.3">
      <c r="A3542" s="1" t="s">
        <v>1267</v>
      </c>
      <c r="B3542" s="1" t="s">
        <v>1268</v>
      </c>
      <c r="C3542" s="2" t="s">
        <v>5</v>
      </c>
      <c r="D3542" s="2" t="s">
        <v>3950</v>
      </c>
      <c r="E3542" s="3" t="str">
        <f>IF(ISERROR(VLOOKUP(B3542,Failures!$A$1:$A$4000,1,FALSE)),"Keep","Delete")</f>
        <v>Keep</v>
      </c>
      <c r="F3542" t="str">
        <f>IF(ISNUMBER(SEARCH("#",B3542)), LEFT(B3542,FIND("#",B3542)-1), B3542)</f>
        <v xml:space="preserve">Dress Display </v>
      </c>
      <c r="G3542" s="26">
        <f>IF(ISNUMBER(SEARCH("#",B3542)),VALUE(MID(B3542,FIND("#",B3542)+1,1000)),1)</f>
        <v>2</v>
      </c>
      <c r="H3542" t="str">
        <f>IF(AND(regexMatch(B3542,".*#[0-9]*$"),ISNUMBER(SEARCH("#",B3542))),CONCATENATE(TRIM(F3542)," #",G3542),B3542)</f>
        <v>Dress Display #2</v>
      </c>
    </row>
    <row r="3543" spans="1:8" ht="15.75" thickBot="1" x14ac:dyDescent="0.3">
      <c r="A3543" s="1" t="s">
        <v>1269</v>
      </c>
      <c r="B3543" s="1" t="s">
        <v>1270</v>
      </c>
      <c r="C3543" s="2" t="s">
        <v>5</v>
      </c>
      <c r="D3543" s="2" t="s">
        <v>3950</v>
      </c>
      <c r="E3543" s="3" t="str">
        <f>IF(ISERROR(VLOOKUP(B3543,Failures!$A$1:$A$4000,1,FALSE)),"Keep","Delete")</f>
        <v>Keep</v>
      </c>
      <c r="F3543" t="str">
        <f>IF(ISNUMBER(SEARCH("#",B3543)), LEFT(B3543,FIND("#",B3543)-1), B3543)</f>
        <v xml:space="preserve">Dress Display </v>
      </c>
      <c r="G3543" s="26">
        <f>IF(ISNUMBER(SEARCH("#",B3543)),VALUE(MID(B3543,FIND("#",B3543)+1,1000)),1)</f>
        <v>3</v>
      </c>
      <c r="H3543" t="str">
        <f>IF(AND(regexMatch(B3543,".*#[0-9]*$"),ISNUMBER(SEARCH("#",B3543))),CONCATENATE(TRIM(F3543)," #",G3543),B3543)</f>
        <v>Dress Display #3</v>
      </c>
    </row>
    <row r="3544" spans="1:8" ht="15.75" thickBot="1" x14ac:dyDescent="0.3">
      <c r="A3544" s="1" t="s">
        <v>1271</v>
      </c>
      <c r="B3544" s="1" t="s">
        <v>1272</v>
      </c>
      <c r="C3544" s="2" t="s">
        <v>5</v>
      </c>
      <c r="D3544" s="2" t="s">
        <v>3950</v>
      </c>
      <c r="E3544" s="3" t="str">
        <f>IF(ISERROR(VLOOKUP(B3544,Failures!$A$1:$A$4000,1,FALSE)),"Keep","Delete")</f>
        <v>Keep</v>
      </c>
      <c r="F3544" t="str">
        <f>IF(ISNUMBER(SEARCH("#",B3544)), LEFT(B3544,FIND("#",B3544)-1), B3544)</f>
        <v xml:space="preserve">Dress Display </v>
      </c>
      <c r="G3544" s="26">
        <f>IF(ISNUMBER(SEARCH("#",B3544)),VALUE(MID(B3544,FIND("#",B3544)+1,1000)),1)</f>
        <v>4</v>
      </c>
      <c r="H3544" t="str">
        <f>IF(AND(regexMatch(B3544,".*#[0-9]*$"),ISNUMBER(SEARCH("#",B3544))),CONCATENATE(TRIM(F3544)," #",G3544),B3544)</f>
        <v>Dress Display #4</v>
      </c>
    </row>
    <row r="3545" spans="1:8" ht="15.75" thickBot="1" x14ac:dyDescent="0.3">
      <c r="A3545" s="1" t="s">
        <v>5294</v>
      </c>
      <c r="B3545" s="1" t="s">
        <v>10426</v>
      </c>
      <c r="C3545" s="1"/>
      <c r="D3545" s="2" t="s">
        <v>3950</v>
      </c>
      <c r="E3545" s="3" t="str">
        <f>IF(ISERROR(VLOOKUP(B3545,Failures!$A$1:$A$4000,1,FALSE)),"Keep","Delete")</f>
        <v>Keep</v>
      </c>
      <c r="F3545" t="str">
        <f>IF(ISNUMBER(SEARCH("#",B3545)), LEFT(B3545,FIND("#",B3545)-1), B3545)</f>
        <v xml:space="preserve">Food Shelves </v>
      </c>
      <c r="G3545" s="26">
        <f>IF(ISNUMBER(SEARCH("#",B3545)),VALUE(MID(B3545,FIND("#",B3545)+1,1000)),1)</f>
        <v>1</v>
      </c>
      <c r="H3545" t="str">
        <f>IF(AND(regexMatch(B3545,".*#[0-9]*$"),ISNUMBER(SEARCH("#",B3545))),CONCATENATE(TRIM(F3545)," #",G3545),B3545)</f>
        <v>Food Shelves #1</v>
      </c>
    </row>
    <row r="3546" spans="1:8" ht="15.75" thickBot="1" x14ac:dyDescent="0.3">
      <c r="A3546" s="1" t="s">
        <v>5293</v>
      </c>
      <c r="B3546" s="1" t="s">
        <v>10427</v>
      </c>
      <c r="C3546" s="1"/>
      <c r="D3546" s="2" t="s">
        <v>3950</v>
      </c>
      <c r="E3546" s="3" t="str">
        <f>IF(ISERROR(VLOOKUP(B3546,Failures!$A$1:$A$4000,1,FALSE)),"Keep","Delete")</f>
        <v>Keep</v>
      </c>
      <c r="F3546" t="str">
        <f>IF(ISNUMBER(SEARCH("#",B3546)), LEFT(B3546,FIND("#",B3546)-1), B3546)</f>
        <v xml:space="preserve">Food Shelves </v>
      </c>
      <c r="G3546" s="26">
        <f>IF(ISNUMBER(SEARCH("#",B3546)),VALUE(MID(B3546,FIND("#",B3546)+1,1000)),1)</f>
        <v>2</v>
      </c>
      <c r="H3546" t="str">
        <f>IF(AND(regexMatch(B3546,".*#[0-9]*$"),ISNUMBER(SEARCH("#",B3546))),CONCATENATE(TRIM(F3546)," #",G3546),B3546)</f>
        <v>Food Shelves #2</v>
      </c>
    </row>
    <row r="3547" spans="1:8" ht="15.75" thickBot="1" x14ac:dyDescent="0.3">
      <c r="A3547" s="1" t="s">
        <v>5292</v>
      </c>
      <c r="B3547" s="1" t="s">
        <v>10428</v>
      </c>
      <c r="C3547" s="1"/>
      <c r="D3547" s="2" t="s">
        <v>3950</v>
      </c>
      <c r="E3547" s="3" t="str">
        <f>IF(ISERROR(VLOOKUP(B3547,Failures!$A$1:$A$4000,1,FALSE)),"Keep","Delete")</f>
        <v>Keep</v>
      </c>
      <c r="F3547" t="str">
        <f>IF(ISNUMBER(SEARCH("#",B3547)), LEFT(B3547,FIND("#",B3547)-1), B3547)</f>
        <v xml:space="preserve">Food Shelves </v>
      </c>
      <c r="G3547" s="26">
        <f>IF(ISNUMBER(SEARCH("#",B3547)),VALUE(MID(B3547,FIND("#",B3547)+1,1000)),1)</f>
        <v>3</v>
      </c>
      <c r="H3547" t="str">
        <f>IF(AND(regexMatch(B3547,".*#[0-9]*$"),ISNUMBER(SEARCH("#",B3547))),CONCATENATE(TRIM(F3547)," #",G3547),B3547)</f>
        <v>Food Shelves #3</v>
      </c>
    </row>
    <row r="3548" spans="1:8" ht="15.75" thickBot="1" x14ac:dyDescent="0.3">
      <c r="A3548" s="1" t="s">
        <v>5291</v>
      </c>
      <c r="B3548" s="1" t="s">
        <v>10429</v>
      </c>
      <c r="C3548" s="1"/>
      <c r="D3548" s="2" t="s">
        <v>3950</v>
      </c>
      <c r="E3548" s="3" t="str">
        <f>IF(ISERROR(VLOOKUP(B3548,Failures!$A$1:$A$4000,1,FALSE)),"Keep","Delete")</f>
        <v>Keep</v>
      </c>
      <c r="F3548" t="str">
        <f>IF(ISNUMBER(SEARCH("#",B3548)), LEFT(B3548,FIND("#",B3548)-1), B3548)</f>
        <v xml:space="preserve">Food Shelves </v>
      </c>
      <c r="G3548" s="26">
        <f>IF(ISNUMBER(SEARCH("#",B3548)),VALUE(MID(B3548,FIND("#",B3548)+1,1000)),1)</f>
        <v>4</v>
      </c>
      <c r="H3548" t="str">
        <f>IF(AND(regexMatch(B3548,".*#[0-9]*$"),ISNUMBER(SEARCH("#",B3548))),CONCATENATE(TRIM(F3548)," #",G3548),B3548)</f>
        <v>Food Shelves #4</v>
      </c>
    </row>
    <row r="3549" spans="1:8" ht="15.75" thickBot="1" x14ac:dyDescent="0.3">
      <c r="A3549" s="1" t="s">
        <v>5290</v>
      </c>
      <c r="B3549" s="1" t="s">
        <v>10430</v>
      </c>
      <c r="C3549" s="1"/>
      <c r="D3549" s="2" t="s">
        <v>3950</v>
      </c>
      <c r="E3549" s="3" t="str">
        <f>IF(ISERROR(VLOOKUP(B3549,Failures!$A$1:$A$4000,1,FALSE)),"Keep","Delete")</f>
        <v>Keep</v>
      </c>
      <c r="F3549" t="str">
        <f>IF(ISNUMBER(SEARCH("#",B3549)), LEFT(B3549,FIND("#",B3549)-1), B3549)</f>
        <v xml:space="preserve">Food Shelves </v>
      </c>
      <c r="G3549" s="26">
        <f>IF(ISNUMBER(SEARCH("#",B3549)),VALUE(MID(B3549,FIND("#",B3549)+1,1000)),1)</f>
        <v>5</v>
      </c>
      <c r="H3549" t="str">
        <f>IF(AND(regexMatch(B3549,".*#[0-9]*$"),ISNUMBER(SEARCH("#",B3549))),CONCATENATE(TRIM(F3549)," #",G3549),B3549)</f>
        <v>Food Shelves #5</v>
      </c>
    </row>
    <row r="3550" spans="1:8" ht="15.75" thickBot="1" x14ac:dyDescent="0.3">
      <c r="A3550" s="1" t="s">
        <v>5285</v>
      </c>
      <c r="B3550" s="1" t="s">
        <v>10415</v>
      </c>
      <c r="C3550" s="1"/>
      <c r="D3550" s="2" t="s">
        <v>3950</v>
      </c>
      <c r="E3550" s="3" t="str">
        <f>IF(ISERROR(VLOOKUP(B3550,Failures!$A$1:$A$4000,1,FALSE)),"Keep","Delete")</f>
        <v>Keep</v>
      </c>
      <c r="F3550" t="str">
        <f>IF(ISNUMBER(SEARCH("#",B3550)), LEFT(B3550,FIND("#",B3550)-1), B3550)</f>
        <v>Fruit Display</v>
      </c>
      <c r="G3550" s="26">
        <f>IF(ISNUMBER(SEARCH("#",B3550)),VALUE(MID(B3550,FIND("#",B3550)+1,1000)),1)</f>
        <v>1</v>
      </c>
      <c r="H3550" t="str">
        <f>IF(AND(regexMatch(B3550,".*#[0-9]*$"),ISNUMBER(SEARCH("#",B3550))),CONCATENATE(TRIM(F3550)," #",G3550),B3550)</f>
        <v>Fruit Display</v>
      </c>
    </row>
    <row r="3551" spans="1:8" ht="15.75" thickBot="1" x14ac:dyDescent="0.3">
      <c r="A3551" s="1" t="s">
        <v>5377</v>
      </c>
      <c r="B3551" s="1" t="s">
        <v>4586</v>
      </c>
      <c r="C3551" s="1"/>
      <c r="D3551" s="2" t="s">
        <v>3950</v>
      </c>
      <c r="E3551" s="3" t="str">
        <f>IF(ISERROR(VLOOKUP(B3551,Failures!$A$1:$A$4000,1,FALSE)),"Keep","Delete")</f>
        <v>Keep</v>
      </c>
      <c r="F3551" t="str">
        <f>IF(ISNUMBER(SEARCH("#",B3551)), LEFT(B3551,FIND("#",B3551)-1), B3551)</f>
        <v xml:space="preserve">Fruit Stand </v>
      </c>
      <c r="G3551" s="26">
        <f>IF(ISNUMBER(SEARCH("#",B3551)),VALUE(MID(B3551,FIND("#",B3551)+1,1000)),1)</f>
        <v>1</v>
      </c>
      <c r="H3551" t="str">
        <f>IF(AND(regexMatch(B3551,".*#[0-9]*$"),ISNUMBER(SEARCH("#",B3551))),CONCATENATE(TRIM(F3551)," #",G3551),B3551)</f>
        <v>Fruit Stand #1</v>
      </c>
    </row>
    <row r="3552" spans="1:8" ht="15.75" thickBot="1" x14ac:dyDescent="0.3">
      <c r="A3552" s="1" t="s">
        <v>5376</v>
      </c>
      <c r="B3552" s="1" t="s">
        <v>4587</v>
      </c>
      <c r="C3552" s="1"/>
      <c r="D3552" s="2" t="s">
        <v>3950</v>
      </c>
      <c r="E3552" s="3" t="str">
        <f>IF(ISERROR(VLOOKUP(B3552,Failures!$A$1:$A$4000,1,FALSE)),"Keep","Delete")</f>
        <v>Keep</v>
      </c>
      <c r="F3552" t="str">
        <f>IF(ISNUMBER(SEARCH("#",B3552)), LEFT(B3552,FIND("#",B3552)-1), B3552)</f>
        <v xml:space="preserve">Fruit Stand </v>
      </c>
      <c r="G3552" s="26">
        <f>IF(ISNUMBER(SEARCH("#",B3552)),VALUE(MID(B3552,FIND("#",B3552)+1,1000)),1)</f>
        <v>2</v>
      </c>
      <c r="H3552" t="str">
        <f>IF(AND(regexMatch(B3552,".*#[0-9]*$"),ISNUMBER(SEARCH("#",B3552))),CONCATENATE(TRIM(F3552)," #",G3552),B3552)</f>
        <v>Fruit Stand #2</v>
      </c>
    </row>
    <row r="3553" spans="1:8" ht="15.75" thickBot="1" x14ac:dyDescent="0.3">
      <c r="A3553" s="1" t="s">
        <v>5375</v>
      </c>
      <c r="B3553" s="1" t="s">
        <v>6203</v>
      </c>
      <c r="C3553" s="1"/>
      <c r="D3553" s="2" t="s">
        <v>3950</v>
      </c>
      <c r="E3553" s="3" t="str">
        <f>IF(ISERROR(VLOOKUP(B3553,Failures!$A$1:$A$4000,1,FALSE)),"Keep","Delete")</f>
        <v>Keep</v>
      </c>
      <c r="F3553" t="str">
        <f>IF(ISNUMBER(SEARCH("#",B3553)), LEFT(B3553,FIND("#",B3553)-1), B3553)</f>
        <v xml:space="preserve">Fruit Stand </v>
      </c>
      <c r="G3553" s="26">
        <f>IF(ISNUMBER(SEARCH("#",B3553)),VALUE(MID(B3553,FIND("#",B3553)+1,1000)),1)</f>
        <v>3</v>
      </c>
      <c r="H3553" t="str">
        <f>IF(AND(regexMatch(B3553,".*#[0-9]*$"),ISNUMBER(SEARCH("#",B3553))),CONCATENATE(TRIM(F3553)," #",G3553),B3553)</f>
        <v>Fruit Stand #3</v>
      </c>
    </row>
    <row r="3554" spans="1:8" ht="15.75" thickBot="1" x14ac:dyDescent="0.3">
      <c r="A3554" s="1" t="s">
        <v>1502</v>
      </c>
      <c r="B3554" s="1" t="s">
        <v>4731</v>
      </c>
      <c r="C3554" s="2" t="s">
        <v>5</v>
      </c>
      <c r="D3554" s="2" t="s">
        <v>3950</v>
      </c>
      <c r="E3554" s="3" t="str">
        <f>IF(ISERROR(VLOOKUP(B3554,Failures!$A$1:$A$4000,1,FALSE)),"Keep","Delete")</f>
        <v>Keep</v>
      </c>
      <c r="F3554" t="str">
        <f>IF(ISNUMBER(SEARCH("#",B3554)), LEFT(B3554,FIND("#",B3554)-1), B3554)</f>
        <v>Fruit Stand (Empty)</v>
      </c>
      <c r="G3554" s="26">
        <f>IF(ISNUMBER(SEARCH("#",B3554)),VALUE(MID(B3554,FIND("#",B3554)+1,1000)),1)</f>
        <v>1</v>
      </c>
      <c r="H3554" t="str">
        <f>IF(AND(regexMatch(B3554,".*#[0-9]*$"),ISNUMBER(SEARCH("#",B3554))),CONCATENATE(TRIM(F3554)," #",G3554),B3554)</f>
        <v>Fruit Stand (Empty)</v>
      </c>
    </row>
    <row r="3555" spans="1:8" ht="15.75" thickBot="1" x14ac:dyDescent="0.3">
      <c r="A3555" s="7" t="s">
        <v>4258</v>
      </c>
      <c r="B3555" s="1" t="s">
        <v>4730</v>
      </c>
      <c r="C3555" s="9"/>
      <c r="D3555" s="2" t="s">
        <v>3950</v>
      </c>
      <c r="E3555" s="3" t="str">
        <f>IF(ISERROR(VLOOKUP(B3555,Failures!$A$1:$A$4000,1,FALSE)),"Keep","Delete")</f>
        <v>Keep</v>
      </c>
      <c r="F3555" t="str">
        <f>IF(ISNUMBER(SEARCH("#",B3555)), LEFT(B3555,FIND("#",B3555)-1), B3555)</f>
        <v>Fruit Stand (Full)</v>
      </c>
      <c r="G3555" s="26">
        <f>IF(ISNUMBER(SEARCH("#",B3555)),VALUE(MID(B3555,FIND("#",B3555)+1,1000)),1)</f>
        <v>1</v>
      </c>
      <c r="H3555" t="str">
        <f>IF(AND(regexMatch(B3555,".*#[0-9]*$"),ISNUMBER(SEARCH("#",B3555))),CONCATENATE(TRIM(F3555)," #",G3555),B3555)</f>
        <v>Fruit Stand (Full)</v>
      </c>
    </row>
    <row r="3556" spans="1:8" ht="15.75" thickBot="1" x14ac:dyDescent="0.3">
      <c r="A3556" s="1" t="s">
        <v>5556</v>
      </c>
      <c r="B3556" s="1" t="s">
        <v>10013</v>
      </c>
      <c r="C3556" s="1"/>
      <c r="D3556" s="2" t="s">
        <v>3950</v>
      </c>
      <c r="E3556" s="3" t="str">
        <f>IF(ISERROR(VLOOKUP(B3556,Failures!$A$1:$A$4000,1,FALSE)),"Keep","Delete")</f>
        <v>Keep</v>
      </c>
      <c r="F3556" t="str">
        <f>IF(ISNUMBER(SEARCH("#",B3556)), LEFT(B3556,FIND("#",B3556)-1), B3556)</f>
        <v>Fruit Stand Marquee</v>
      </c>
      <c r="G3556" s="26">
        <f>IF(ISNUMBER(SEARCH("#",B3556)),VALUE(MID(B3556,FIND("#",B3556)+1,1000)),1)</f>
        <v>1</v>
      </c>
      <c r="H3556" t="str">
        <f>IF(AND(regexMatch(B3556,".*#[0-9]*$"),ISNUMBER(SEARCH("#",B3556))),CONCATENATE(TRIM(F3556)," #",G3556),B3556)</f>
        <v>Fruit Stand Marquee</v>
      </c>
    </row>
    <row r="3557" spans="1:8" ht="15.75" thickBot="1" x14ac:dyDescent="0.3">
      <c r="A3557" s="1" t="s">
        <v>5270</v>
      </c>
      <c r="B3557" s="1" t="s">
        <v>10431</v>
      </c>
      <c r="C3557" s="1"/>
      <c r="D3557" s="2" t="s">
        <v>3950</v>
      </c>
      <c r="E3557" s="3" t="str">
        <f>IF(ISERROR(VLOOKUP(B3557,Failures!$A$1:$A$4000,1,FALSE)),"Keep","Delete")</f>
        <v>Keep</v>
      </c>
      <c r="F3557" t="str">
        <f>IF(ISNUMBER(SEARCH("#",B3557)), LEFT(B3557,FIND("#",B3557)-1), B3557)</f>
        <v>Gas Station Sweet Counter</v>
      </c>
      <c r="G3557" s="26">
        <f>IF(ISNUMBER(SEARCH("#",B3557)),VALUE(MID(B3557,FIND("#",B3557)+1,1000)),1)</f>
        <v>1</v>
      </c>
      <c r="H3557" t="str">
        <f>IF(AND(regexMatch(B3557,".*#[0-9]*$"),ISNUMBER(SEARCH("#",B3557))),CONCATENATE(TRIM(F3557)," #",G3557),B3557)</f>
        <v>Gas Station Sweet Counter</v>
      </c>
    </row>
    <row r="3558" spans="1:8" ht="15.75" thickBot="1" x14ac:dyDescent="0.3">
      <c r="A3558" s="1" t="s">
        <v>5269</v>
      </c>
      <c r="B3558" s="1" t="s">
        <v>10432</v>
      </c>
      <c r="C3558" s="1"/>
      <c r="D3558" s="2" t="s">
        <v>3950</v>
      </c>
      <c r="E3558" s="3" t="str">
        <f>IF(ISERROR(VLOOKUP(B3558,Failures!$A$1:$A$4000,1,FALSE)),"Keep","Delete")</f>
        <v>Keep</v>
      </c>
      <c r="F3558" t="str">
        <f>IF(ISNUMBER(SEARCH("#",B3558)), LEFT(B3558,FIND("#",B3558)-1), B3558)</f>
        <v>Gas Station Sweet Display</v>
      </c>
      <c r="G3558" s="26">
        <f>IF(ISNUMBER(SEARCH("#",B3558)),VALUE(MID(B3558,FIND("#",B3558)+1,1000)),1)</f>
        <v>1</v>
      </c>
      <c r="H3558" t="str">
        <f>IF(AND(regexMatch(B3558,".*#[0-9]*$"),ISNUMBER(SEARCH("#",B3558))),CONCATENATE(TRIM(F3558)," #",G3558),B3558)</f>
        <v>Gas Station Sweet Display</v>
      </c>
    </row>
    <row r="3559" spans="1:8" ht="15.75" thickBot="1" x14ac:dyDescent="0.3">
      <c r="A3559" s="1" t="s">
        <v>1642</v>
      </c>
      <c r="B3559" s="1" t="s">
        <v>1643</v>
      </c>
      <c r="C3559" s="2" t="s">
        <v>5</v>
      </c>
      <c r="D3559" s="2" t="s">
        <v>3950</v>
      </c>
      <c r="E3559" s="3" t="str">
        <f>IF(ISERROR(VLOOKUP(B3559,Failures!$A$1:$A$4000,1,FALSE)),"Keep","Delete")</f>
        <v>Keep</v>
      </c>
      <c r="F3559" t="str">
        <f>IF(ISNUMBER(SEARCH("#",B3559)), LEFT(B3559,FIND("#",B3559)-1), B3559)</f>
        <v xml:space="preserve">Henna Display </v>
      </c>
      <c r="G3559" s="26">
        <f>IF(ISNUMBER(SEARCH("#",B3559)),VALUE(MID(B3559,FIND("#",B3559)+1,1000)),1)</f>
        <v>1</v>
      </c>
      <c r="H3559" t="str">
        <f>IF(AND(regexMatch(B3559,".*#[0-9]*$"),ISNUMBER(SEARCH("#",B3559))),CONCATENATE(TRIM(F3559)," #",G3559),B3559)</f>
        <v>Henna Display #1</v>
      </c>
    </row>
    <row r="3560" spans="1:8" ht="15.75" thickBot="1" x14ac:dyDescent="0.3">
      <c r="A3560" s="1" t="s">
        <v>1644</v>
      </c>
      <c r="B3560" s="1" t="s">
        <v>1645</v>
      </c>
      <c r="C3560" s="2" t="s">
        <v>5</v>
      </c>
      <c r="D3560" s="2" t="s">
        <v>3950</v>
      </c>
      <c r="E3560" s="3" t="str">
        <f>IF(ISERROR(VLOOKUP(B3560,Failures!$A$1:$A$4000,1,FALSE)),"Keep","Delete")</f>
        <v>Keep</v>
      </c>
      <c r="F3560" t="str">
        <f>IF(ISNUMBER(SEARCH("#",B3560)), LEFT(B3560,FIND("#",B3560)-1), B3560)</f>
        <v xml:space="preserve">Henna Display </v>
      </c>
      <c r="G3560" s="26">
        <f>IF(ISNUMBER(SEARCH("#",B3560)),VALUE(MID(B3560,FIND("#",B3560)+1,1000)),1)</f>
        <v>2</v>
      </c>
      <c r="H3560" t="str">
        <f>IF(AND(regexMatch(B3560,".*#[0-9]*$"),ISNUMBER(SEARCH("#",B3560))),CONCATENATE(TRIM(F3560)," #",G3560),B3560)</f>
        <v>Henna Display #2</v>
      </c>
    </row>
    <row r="3561" spans="1:8" ht="15.75" thickBot="1" x14ac:dyDescent="0.3">
      <c r="A3561" s="1" t="s">
        <v>1646</v>
      </c>
      <c r="B3561" s="1" t="s">
        <v>1647</v>
      </c>
      <c r="C3561" s="2" t="s">
        <v>5</v>
      </c>
      <c r="D3561" s="2" t="s">
        <v>3950</v>
      </c>
      <c r="E3561" s="3" t="str">
        <f>IF(ISERROR(VLOOKUP(B3561,Failures!$A$1:$A$4000,1,FALSE)),"Keep","Delete")</f>
        <v>Keep</v>
      </c>
      <c r="F3561" t="str">
        <f>IF(ISNUMBER(SEARCH("#",B3561)), LEFT(B3561,FIND("#",B3561)-1), B3561)</f>
        <v xml:space="preserve">Henna Display </v>
      </c>
      <c r="G3561" s="26">
        <f>IF(ISNUMBER(SEARCH("#",B3561)),VALUE(MID(B3561,FIND("#",B3561)+1,1000)),1)</f>
        <v>3</v>
      </c>
      <c r="H3561" t="str">
        <f>IF(AND(regexMatch(B3561,".*#[0-9]*$"),ISNUMBER(SEARCH("#",B3561))),CONCATENATE(TRIM(F3561)," #",G3561),B3561)</f>
        <v>Henna Display #3</v>
      </c>
    </row>
    <row r="3562" spans="1:8" ht="15.75" thickBot="1" x14ac:dyDescent="0.3">
      <c r="A3562" s="1" t="s">
        <v>4888</v>
      </c>
      <c r="B3562" s="1" t="s">
        <v>10048</v>
      </c>
      <c r="C3562" s="1"/>
      <c r="D3562" s="2" t="s">
        <v>3950</v>
      </c>
      <c r="E3562" s="3" t="str">
        <f>IF(ISERROR(VLOOKUP(B3562,Failures!$A$1:$A$4000,1,FALSE)),"Keep","Delete")</f>
        <v>Keep</v>
      </c>
      <c r="F3562" t="str">
        <f>IF(ISNUMBER(SEARCH("#",B3562)), LEFT(B3562,FIND("#",B3562)-1), B3562)</f>
        <v>Hot Dog Stand</v>
      </c>
      <c r="G3562" s="26">
        <f>IF(ISNUMBER(SEARCH("#",B3562)),VALUE(MID(B3562,FIND("#",B3562)+1,1000)),1)</f>
        <v>1</v>
      </c>
      <c r="H3562" t="str">
        <f>IF(AND(regexMatch(B3562,".*#[0-9]*$"),ISNUMBER(SEARCH("#",B3562))),CONCATENATE(TRIM(F3562)," #",G3562),B3562)</f>
        <v>Hot Dog Stand</v>
      </c>
    </row>
    <row r="3563" spans="1:8" ht="15.75" thickBot="1" x14ac:dyDescent="0.3">
      <c r="A3563" s="1" t="s">
        <v>977</v>
      </c>
      <c r="B3563" s="1" t="s">
        <v>978</v>
      </c>
      <c r="C3563" s="2" t="s">
        <v>5</v>
      </c>
      <c r="D3563" s="2" t="s">
        <v>3950</v>
      </c>
      <c r="E3563" s="3" t="str">
        <f>IF(ISERROR(VLOOKUP(B3563,Failures!$A$1:$A$4000,1,FALSE)),"Keep","Delete")</f>
        <v>Keep</v>
      </c>
      <c r="F3563" t="str">
        <f>IF(ISNUMBER(SEARCH("#",B3563)), LEFT(B3563,FIND("#",B3563)-1), B3563)</f>
        <v>Ice Locker</v>
      </c>
      <c r="G3563" s="26">
        <f>IF(ISNUMBER(SEARCH("#",B3563)),VALUE(MID(B3563,FIND("#",B3563)+1,1000)),1)</f>
        <v>1</v>
      </c>
      <c r="H3563" t="str">
        <f>IF(AND(regexMatch(B3563,".*#[0-9]*$"),ISNUMBER(SEARCH("#",B3563))),CONCATENATE(TRIM(F3563)," #",G3563),B3563)</f>
        <v>Ice Locker</v>
      </c>
    </row>
    <row r="3564" spans="1:8" ht="15.75" thickBot="1" x14ac:dyDescent="0.3">
      <c r="A3564" s="1" t="s">
        <v>979</v>
      </c>
      <c r="B3564" s="1" t="s">
        <v>980</v>
      </c>
      <c r="C3564" s="2" t="s">
        <v>5</v>
      </c>
      <c r="D3564" s="2" t="s">
        <v>3950</v>
      </c>
      <c r="E3564" s="3" t="str">
        <f>IF(ISERROR(VLOOKUP(B3564,Failures!$A$1:$A$4000,1,FALSE)),"Keep","Delete")</f>
        <v>Keep</v>
      </c>
      <c r="F3564" t="str">
        <f>IF(ISNUMBER(SEARCH("#",B3564)), LEFT(B3564,FIND("#",B3564)-1), B3564)</f>
        <v>Ice Locker Door L</v>
      </c>
      <c r="G3564" s="26">
        <f>IF(ISNUMBER(SEARCH("#",B3564)),VALUE(MID(B3564,FIND("#",B3564)+1,1000)),1)</f>
        <v>1</v>
      </c>
      <c r="H3564" t="str">
        <f>IF(AND(regexMatch(B3564,".*#[0-9]*$"),ISNUMBER(SEARCH("#",B3564))),CONCATENATE(TRIM(F3564)," #",G3564),B3564)</f>
        <v>Ice Locker Door L</v>
      </c>
    </row>
    <row r="3565" spans="1:8" ht="15.75" thickBot="1" x14ac:dyDescent="0.3">
      <c r="A3565" s="1" t="s">
        <v>981</v>
      </c>
      <c r="B3565" s="1" t="s">
        <v>982</v>
      </c>
      <c r="C3565" s="2" t="s">
        <v>5</v>
      </c>
      <c r="D3565" s="2" t="s">
        <v>3950</v>
      </c>
      <c r="E3565" s="3" t="str">
        <f>IF(ISERROR(VLOOKUP(B3565,Failures!$A$1:$A$4000,1,FALSE)),"Keep","Delete")</f>
        <v>Keep</v>
      </c>
      <c r="F3565" t="str">
        <f>IF(ISNUMBER(SEARCH("#",B3565)), LEFT(B3565,FIND("#",B3565)-1), B3565)</f>
        <v>Ice Locker Door R</v>
      </c>
      <c r="G3565" s="26">
        <f>IF(ISNUMBER(SEARCH("#",B3565)),VALUE(MID(B3565,FIND("#",B3565)+1,1000)),1)</f>
        <v>1</v>
      </c>
      <c r="H3565" t="str">
        <f>IF(AND(regexMatch(B3565,".*#[0-9]*$"),ISNUMBER(SEARCH("#",B3565))),CONCATENATE(TRIM(F3565)," #",G3565),B3565)</f>
        <v>Ice Locker Door R</v>
      </c>
    </row>
    <row r="3566" spans="1:8" ht="15.75" thickBot="1" x14ac:dyDescent="0.3">
      <c r="A3566" s="1" t="s">
        <v>5284</v>
      </c>
      <c r="B3566" s="1" t="s">
        <v>10416</v>
      </c>
      <c r="C3566" s="1"/>
      <c r="D3566" s="2" t="s">
        <v>3950</v>
      </c>
      <c r="E3566" s="3" t="str">
        <f>IF(ISERROR(VLOOKUP(B3566,Failures!$A$1:$A$4000,1,FALSE)),"Keep","Delete")</f>
        <v>Keep</v>
      </c>
      <c r="F3566" t="str">
        <f>IF(ISNUMBER(SEARCH("#",B3566)), LEFT(B3566,FIND("#",B3566)-1), B3566)</f>
        <v>Ketchup Packs</v>
      </c>
      <c r="G3566" s="26">
        <f>IF(ISNUMBER(SEARCH("#",B3566)),VALUE(MID(B3566,FIND("#",B3566)+1,1000)),1)</f>
        <v>1</v>
      </c>
      <c r="H3566" t="str">
        <f>IF(AND(regexMatch(B3566,".*#[0-9]*$"),ISNUMBER(SEARCH("#",B3566))),CONCATENATE(TRIM(F3566)," #",G3566),B3566)</f>
        <v>Ketchup Packs</v>
      </c>
    </row>
    <row r="3567" spans="1:8" ht="15.75" thickBot="1" x14ac:dyDescent="0.3">
      <c r="A3567" s="1" t="s">
        <v>5283</v>
      </c>
      <c r="B3567" s="1" t="s">
        <v>10417</v>
      </c>
      <c r="C3567" s="1"/>
      <c r="D3567" s="2" t="s">
        <v>3950</v>
      </c>
      <c r="E3567" s="3" t="str">
        <f>IF(ISERROR(VLOOKUP(B3567,Failures!$A$1:$A$4000,1,FALSE)),"Keep","Delete")</f>
        <v>Keep</v>
      </c>
      <c r="F3567" t="str">
        <f>IF(ISNUMBER(SEARCH("#",B3567)), LEFT(B3567,FIND("#",B3567)-1), B3567)</f>
        <v>Lottery Cards Display</v>
      </c>
      <c r="G3567" s="26">
        <f>IF(ISNUMBER(SEARCH("#",B3567)),VALUE(MID(B3567,FIND("#",B3567)+1,1000)),1)</f>
        <v>1</v>
      </c>
      <c r="H3567" t="str">
        <f>IF(AND(regexMatch(B3567,".*#[0-9]*$"),ISNUMBER(SEARCH("#",B3567))),CONCATENATE(TRIM(F3567)," #",G3567),B3567)</f>
        <v>Lottery Cards Display</v>
      </c>
    </row>
    <row r="3568" spans="1:8" ht="15.75" thickBot="1" x14ac:dyDescent="0.3">
      <c r="A3568" s="1" t="s">
        <v>5282</v>
      </c>
      <c r="B3568" s="1" t="s">
        <v>10418</v>
      </c>
      <c r="C3568" s="1"/>
      <c r="D3568" s="2" t="s">
        <v>3950</v>
      </c>
      <c r="E3568" s="3" t="str">
        <f>IF(ISERROR(VLOOKUP(B3568,Failures!$A$1:$A$4000,1,FALSE)),"Keep","Delete")</f>
        <v>Keep</v>
      </c>
      <c r="F3568" t="str">
        <f>IF(ISNUMBER(SEARCH("#",B3568)), LEFT(B3568,FIND("#",B3568)-1), B3568)</f>
        <v>Lotto Sign</v>
      </c>
      <c r="G3568" s="26">
        <f>IF(ISNUMBER(SEARCH("#",B3568)),VALUE(MID(B3568,FIND("#",B3568)+1,1000)),1)</f>
        <v>1</v>
      </c>
      <c r="H3568" t="str">
        <f>IF(AND(regexMatch(B3568,".*#[0-9]*$"),ISNUMBER(SEARCH("#",B3568))),CONCATENATE(TRIM(F3568)," #",G3568),B3568)</f>
        <v>Lotto Sign</v>
      </c>
    </row>
    <row r="3569" spans="1:8" ht="15.75" thickBot="1" x14ac:dyDescent="0.3">
      <c r="A3569" s="1" t="s">
        <v>1293</v>
      </c>
      <c r="B3569" s="1" t="s">
        <v>1294</v>
      </c>
      <c r="C3569" s="4" t="s">
        <v>5</v>
      </c>
      <c r="D3569" s="2" t="s">
        <v>3950</v>
      </c>
      <c r="E3569" s="3" t="str">
        <f>IF(ISERROR(VLOOKUP(B3569,Failures!$A$1:$A$4000,1,FALSE)),"Keep","Delete")</f>
        <v>Keep</v>
      </c>
      <c r="F3569" t="str">
        <f>IF(ISNUMBER(SEARCH("#",B3569)), LEFT(B3569,FIND("#",B3569)-1), B3569)</f>
        <v>Mannequin</v>
      </c>
      <c r="G3569" s="26">
        <f>IF(ISNUMBER(SEARCH("#",B3569)),VALUE(MID(B3569,FIND("#",B3569)+1,1000)),1)</f>
        <v>1</v>
      </c>
      <c r="H3569" t="str">
        <f>IF(AND(regexMatch(B3569,".*#[0-9]*$"),ISNUMBER(SEARCH("#",B3569))),CONCATENATE(TRIM(F3569)," #",G3569),B3569)</f>
        <v>Mannequin</v>
      </c>
    </row>
    <row r="3570" spans="1:8" ht="15.75" thickBot="1" x14ac:dyDescent="0.3">
      <c r="A3570" s="1" t="s">
        <v>5281</v>
      </c>
      <c r="B3570" s="1" t="s">
        <v>10419</v>
      </c>
      <c r="C3570" s="1"/>
      <c r="D3570" s="2" t="s">
        <v>3950</v>
      </c>
      <c r="E3570" s="3" t="str">
        <f>IF(ISERROR(VLOOKUP(B3570,Failures!$A$1:$A$4000,1,FALSE)),"Keep","Delete")</f>
        <v>Keep</v>
      </c>
      <c r="F3570" t="str">
        <f>IF(ISNUMBER(SEARCH("#",B3570)), LEFT(B3570,FIND("#",B3570)-1), B3570)</f>
        <v>Mustard Packs</v>
      </c>
      <c r="G3570" s="26">
        <f>IF(ISNUMBER(SEARCH("#",B3570)),VALUE(MID(B3570,FIND("#",B3570)+1,1000)),1)</f>
        <v>1</v>
      </c>
      <c r="H3570" t="str">
        <f>IF(AND(regexMatch(B3570,".*#[0-9]*$"),ISNUMBER(SEARCH("#",B3570))),CONCATENATE(TRIM(F3570)," #",G3570),B3570)</f>
        <v>Mustard Packs</v>
      </c>
    </row>
    <row r="3571" spans="1:8" ht="15.75" thickBot="1" x14ac:dyDescent="0.3">
      <c r="A3571" s="27" t="s">
        <v>7310</v>
      </c>
      <c r="B3571" s="1" t="s">
        <v>10607</v>
      </c>
      <c r="C3571" s="1"/>
      <c r="D3571" s="2" t="s">
        <v>3950</v>
      </c>
      <c r="E3571" s="3" t="str">
        <f>IF(ISERROR(VLOOKUP(B3571,Failures!$A$1:$A$4000,1,FALSE)),"Keep","Delete")</f>
        <v>Keep</v>
      </c>
      <c r="F3571" t="str">
        <f>IF(ISNUMBER(SEARCH("#",B3571)), LEFT(B3571,FIND("#",B3571)-1), B3571)</f>
        <v xml:space="preserve">Pharmacy Cabinet </v>
      </c>
      <c r="G3571" s="26">
        <f>IF(ISNUMBER(SEARCH("#",B3571)),VALUE(MID(B3571,FIND("#",B3571)+1,1000)),1)</f>
        <v>1</v>
      </c>
      <c r="H3571" t="str">
        <f>IF(AND(regexMatch(B3571,".*#[0-9]*$"),ISNUMBER(SEARCH("#",B3571))),CONCATENATE(TRIM(F3571)," #",G3571),B3571)</f>
        <v>Pharmacy Cabinet #1</v>
      </c>
    </row>
    <row r="3572" spans="1:8" ht="15.75" thickBot="1" x14ac:dyDescent="0.3">
      <c r="A3572" s="27" t="s">
        <v>7309</v>
      </c>
      <c r="B3572" s="1" t="s">
        <v>10608</v>
      </c>
      <c r="C3572" s="1"/>
      <c r="D3572" s="2" t="s">
        <v>3950</v>
      </c>
      <c r="E3572" s="3" t="str">
        <f>IF(ISERROR(VLOOKUP(B3572,Failures!$A$1:$A$4000,1,FALSE)),"Keep","Delete")</f>
        <v>Keep</v>
      </c>
      <c r="F3572" t="str">
        <f>IF(ISNUMBER(SEARCH("#",B3572)), LEFT(B3572,FIND("#",B3572)-1), B3572)</f>
        <v xml:space="preserve">Pharmacy Cabinet </v>
      </c>
      <c r="G3572" s="26">
        <f>IF(ISNUMBER(SEARCH("#",B3572)),VALUE(MID(B3572,FIND("#",B3572)+1,1000)),1)</f>
        <v>2</v>
      </c>
      <c r="H3572" t="str">
        <f>IF(AND(regexMatch(B3572,".*#[0-9]*$"),ISNUMBER(SEARCH("#",B3572))),CONCATENATE(TRIM(F3572)," #",G3572),B3572)</f>
        <v>Pharmacy Cabinet #2</v>
      </c>
    </row>
    <row r="3573" spans="1:8" ht="15.75" thickBot="1" x14ac:dyDescent="0.3">
      <c r="A3573" s="1" t="s">
        <v>5280</v>
      </c>
      <c r="B3573" s="1" t="s">
        <v>10420</v>
      </c>
      <c r="C3573" s="1"/>
      <c r="D3573" s="2" t="s">
        <v>3950</v>
      </c>
      <c r="E3573" s="3" t="str">
        <f>IF(ISERROR(VLOOKUP(B3573,Failures!$A$1:$A$4000,1,FALSE)),"Keep","Delete")</f>
        <v>Keep</v>
      </c>
      <c r="F3573" t="str">
        <f>IF(ISNUMBER(SEARCH("#",B3573)), LEFT(B3573,FIND("#",B3573)-1), B3573)</f>
        <v xml:space="preserve">Pharmacy Display </v>
      </c>
      <c r="G3573" s="26">
        <f>IF(ISNUMBER(SEARCH("#",B3573)),VALUE(MID(B3573,FIND("#",B3573)+1,1000)),1)</f>
        <v>1</v>
      </c>
      <c r="H3573" t="str">
        <f>IF(AND(regexMatch(B3573,".*#[0-9]*$"),ISNUMBER(SEARCH("#",B3573))),CONCATENATE(TRIM(F3573)," #",G3573),B3573)</f>
        <v>Pharmacy Display #1</v>
      </c>
    </row>
    <row r="3574" spans="1:8" ht="15.75" thickBot="1" x14ac:dyDescent="0.3">
      <c r="A3574" s="1" t="s">
        <v>5279</v>
      </c>
      <c r="B3574" s="1" t="s">
        <v>10421</v>
      </c>
      <c r="C3574" s="1"/>
      <c r="D3574" s="2" t="s">
        <v>3950</v>
      </c>
      <c r="E3574" s="3" t="str">
        <f>IF(ISERROR(VLOOKUP(B3574,Failures!$A$1:$A$4000,1,FALSE)),"Keep","Delete")</f>
        <v>Keep</v>
      </c>
      <c r="F3574" t="str">
        <f>IF(ISNUMBER(SEARCH("#",B3574)), LEFT(B3574,FIND("#",B3574)-1), B3574)</f>
        <v xml:space="preserve">Pharmacy Display </v>
      </c>
      <c r="G3574" s="26">
        <f>IF(ISNUMBER(SEARCH("#",B3574)),VALUE(MID(B3574,FIND("#",B3574)+1,1000)),1)</f>
        <v>2</v>
      </c>
      <c r="H3574" t="str">
        <f>IF(AND(regexMatch(B3574,".*#[0-9]*$"),ISNUMBER(SEARCH("#",B3574))),CONCATENATE(TRIM(F3574)," #",G3574),B3574)</f>
        <v>Pharmacy Display #2</v>
      </c>
    </row>
    <row r="3575" spans="1:8" ht="15.75" thickBot="1" x14ac:dyDescent="0.3">
      <c r="A3575" s="1" t="s">
        <v>2492</v>
      </c>
      <c r="B3575" s="1" t="s">
        <v>3828</v>
      </c>
      <c r="C3575" s="4" t="s">
        <v>5</v>
      </c>
      <c r="D3575" s="2" t="s">
        <v>3950</v>
      </c>
      <c r="E3575" s="3" t="str">
        <f>IF(ISERROR(VLOOKUP(B3575,Failures!$A$1:$A$4000,1,FALSE)),"Keep","Delete")</f>
        <v>Keep</v>
      </c>
      <c r="F3575" t="str">
        <f>IF(ISNUMBER(SEARCH("#",B3575)), LEFT(B3575,FIND("#",B3575)-1), B3575)</f>
        <v>Plastic Bag</v>
      </c>
      <c r="G3575" s="26">
        <f>IF(ISNUMBER(SEARCH("#",B3575)),VALUE(MID(B3575,FIND("#",B3575)+1,1000)),1)</f>
        <v>1</v>
      </c>
      <c r="H3575" t="str">
        <f>IF(AND(regexMatch(B3575,".*#[0-9]*$"),ISNUMBER(SEARCH("#",B3575))),CONCATENATE(TRIM(F3575)," #",G3575),B3575)</f>
        <v>Plastic Bag</v>
      </c>
    </row>
    <row r="3576" spans="1:8" ht="15.75" thickBot="1" x14ac:dyDescent="0.3">
      <c r="A3576" s="1" t="s">
        <v>2553</v>
      </c>
      <c r="B3576" s="1" t="s">
        <v>2554</v>
      </c>
      <c r="C3576" s="2" t="s">
        <v>5</v>
      </c>
      <c r="D3576" s="2" t="s">
        <v>3950</v>
      </c>
      <c r="E3576" s="3" t="str">
        <f>IF(ISERROR(VLOOKUP(B3576,Failures!$A$1:$A$4000,1,FALSE)),"Keep","Delete")</f>
        <v>Keep</v>
      </c>
      <c r="F3576" t="str">
        <f>IF(ISNUMBER(SEARCH("#",B3576)), LEFT(B3576,FIND("#",B3576)-1), B3576)</f>
        <v>Postcard Rack</v>
      </c>
      <c r="G3576" s="26">
        <f>IF(ISNUMBER(SEARCH("#",B3576)),VALUE(MID(B3576,FIND("#",B3576)+1,1000)),1)</f>
        <v>1</v>
      </c>
      <c r="H3576" t="str">
        <f>IF(AND(regexMatch(B3576,".*#[0-9]*$"),ISNUMBER(SEARCH("#",B3576))),CONCATENATE(TRIM(F3576)," #",G3576),B3576)</f>
        <v>Postcard Rack</v>
      </c>
    </row>
    <row r="3577" spans="1:8" ht="15.75" thickBot="1" x14ac:dyDescent="0.3">
      <c r="A3577" s="27" t="s">
        <v>7184</v>
      </c>
      <c r="B3577" s="22" t="s">
        <v>10694</v>
      </c>
      <c r="C3577" s="1"/>
      <c r="D3577" s="2" t="s">
        <v>3950</v>
      </c>
      <c r="E3577" s="3" t="str">
        <f>IF(ISERROR(VLOOKUP(B3577,Failures!$A$1:$A$4000,1,FALSE)),"Keep","Delete")</f>
        <v>Keep</v>
      </c>
      <c r="F3577" t="str">
        <f>IF(ISNUMBER(SEARCH("#",B3577)), LEFT(B3577,FIND("#",B3577)-1), B3577)</f>
        <v xml:space="preserve">Pot Noodle Four Pack </v>
      </c>
      <c r="G3577" s="26">
        <f>IF(ISNUMBER(SEARCH("#",B3577)),VALUE(MID(B3577,FIND("#",B3577)+1,1000)),1)</f>
        <v>1</v>
      </c>
      <c r="H3577" t="str">
        <f>IF(AND(regexMatch(B3577,".*#[0-9]*$"),ISNUMBER(SEARCH("#",B3577))),CONCATENATE(TRIM(F3577)," #",G3577),B3577)</f>
        <v>Pot Noodle Four Pack #1</v>
      </c>
    </row>
    <row r="3578" spans="1:8" ht="15.75" thickBot="1" x14ac:dyDescent="0.3">
      <c r="A3578" s="27" t="s">
        <v>7183</v>
      </c>
      <c r="B3578" s="22" t="s">
        <v>10695</v>
      </c>
      <c r="C3578" s="1"/>
      <c r="D3578" s="2" t="s">
        <v>3950</v>
      </c>
      <c r="E3578" s="3" t="str">
        <f>IF(ISERROR(VLOOKUP(B3578,Failures!$A$1:$A$4000,1,FALSE)),"Keep","Delete")</f>
        <v>Keep</v>
      </c>
      <c r="F3578" t="str">
        <f>IF(ISNUMBER(SEARCH("#",B3578)), LEFT(B3578,FIND("#",B3578)-1), B3578)</f>
        <v xml:space="preserve">Pot Noodle Four Pack </v>
      </c>
      <c r="G3578" s="26">
        <f>IF(ISNUMBER(SEARCH("#",B3578)),VALUE(MID(B3578,FIND("#",B3578)+1,1000)),1)</f>
        <v>2</v>
      </c>
      <c r="H3578" t="str">
        <f>IF(AND(regexMatch(B3578,".*#[0-9]*$"),ISNUMBER(SEARCH("#",B3578))),CONCATENATE(TRIM(F3578)," #",G3578),B3578)</f>
        <v>Pot Noodle Four Pack #2</v>
      </c>
    </row>
    <row r="3579" spans="1:8" ht="15.75" thickBot="1" x14ac:dyDescent="0.3">
      <c r="A3579" s="7" t="s">
        <v>4046</v>
      </c>
      <c r="B3579" s="11" t="s">
        <v>3874</v>
      </c>
      <c r="C3579" s="9"/>
      <c r="D3579" s="2" t="s">
        <v>3950</v>
      </c>
      <c r="E3579" s="3" t="str">
        <f>IF(ISERROR(VLOOKUP(B3579,Failures!$A$1:$A$4000,1,FALSE)),"Keep","Delete")</f>
        <v>Keep</v>
      </c>
      <c r="F3579" t="str">
        <f>IF(ISNUMBER(SEARCH("#",B3579)), LEFT(B3579,FIND("#",B3579)-1), B3579)</f>
        <v xml:space="preserve">Shop Till </v>
      </c>
      <c r="G3579" s="26">
        <f>IF(ISNUMBER(SEARCH("#",B3579)),VALUE(MID(B3579,FIND("#",B3579)+1,1000)),1)</f>
        <v>1</v>
      </c>
      <c r="H3579" t="str">
        <f>IF(AND(regexMatch(B3579,".*#[0-9]*$"),ISNUMBER(SEARCH("#",B3579))),CONCATENATE(TRIM(F3579)," #",G3579),B3579)</f>
        <v>Shop Till #1</v>
      </c>
    </row>
    <row r="3580" spans="1:8" ht="15.75" thickBot="1" x14ac:dyDescent="0.3">
      <c r="A3580" s="1" t="s">
        <v>3156</v>
      </c>
      <c r="B3580" s="1" t="s">
        <v>3157</v>
      </c>
      <c r="C3580" s="2" t="s">
        <v>5</v>
      </c>
      <c r="D3580" s="2" t="s">
        <v>3950</v>
      </c>
      <c r="E3580" s="3" t="str">
        <f>IF(ISERROR(VLOOKUP(B3580,Failures!$A$1:$A$4000,1,FALSE)),"Keep","Delete")</f>
        <v>Keep</v>
      </c>
      <c r="F3580" t="str">
        <f>IF(ISNUMBER(SEARCH("#",B3580)), LEFT(B3580,FIND("#",B3580)-1), B3580)</f>
        <v xml:space="preserve">Shop Till </v>
      </c>
      <c r="G3580" s="26">
        <v>1</v>
      </c>
      <c r="H3580" t="str">
        <f>IF(AND(regexMatch(B3580,".*#[0-9]*$"),ISNUMBER(SEARCH("#",B3580))),CONCATENATE(TRIM(F3580)," #",G3580),B3580)</f>
        <v>Shop Till #1 Damaged</v>
      </c>
    </row>
    <row r="3581" spans="1:8" ht="15.75" thickBot="1" x14ac:dyDescent="0.3">
      <c r="A3581" s="1" t="s">
        <v>3158</v>
      </c>
      <c r="B3581" s="1" t="s">
        <v>3160</v>
      </c>
      <c r="C3581" s="2" t="s">
        <v>5</v>
      </c>
      <c r="D3581" s="2" t="s">
        <v>3950</v>
      </c>
      <c r="E3581" s="3" t="str">
        <f>IF(ISERROR(VLOOKUP(B3581,Failures!$A$1:$A$4000,1,FALSE)),"Keep","Delete")</f>
        <v>Keep</v>
      </c>
      <c r="F3581" t="str">
        <f>IF(ISNUMBER(SEARCH("#",B3581)), LEFT(B3581,FIND("#",B3581)-1), B3581)</f>
        <v xml:space="preserve">Shop Till </v>
      </c>
      <c r="G3581" s="26">
        <f>IF(ISNUMBER(SEARCH("#",B3581)),VALUE(MID(B3581,FIND("#",B3581)+1,1000)),1)</f>
        <v>2</v>
      </c>
      <c r="H3581" t="str">
        <f>IF(AND(regexMatch(B3581,".*#[0-9]*$"),ISNUMBER(SEARCH("#",B3581))),CONCATENATE(TRIM(F3581)," #",G3581),B3581)</f>
        <v>Shop Till #2</v>
      </c>
    </row>
    <row r="3582" spans="1:8" ht="15.75" thickBot="1" x14ac:dyDescent="0.3">
      <c r="A3582" s="1" t="s">
        <v>3159</v>
      </c>
      <c r="B3582" s="1" t="s">
        <v>4414</v>
      </c>
      <c r="C3582" s="2" t="s">
        <v>5</v>
      </c>
      <c r="D3582" s="2" t="s">
        <v>3950</v>
      </c>
      <c r="E3582" s="3" t="str">
        <f>IF(ISERROR(VLOOKUP(B3582,Failures!$A$1:$A$4000,1,FALSE)),"Keep","Delete")</f>
        <v>Keep</v>
      </c>
      <c r="F3582" t="str">
        <f>IF(ISNUMBER(SEARCH("#",B3582)), LEFT(B3582,FIND("#",B3582)-1), B3582)</f>
        <v xml:space="preserve">Shop Till </v>
      </c>
      <c r="G3582" s="26">
        <f>IF(ISNUMBER(SEARCH("#",B3582)),VALUE(MID(B3582,FIND("#",B3582)+1,1000)),1)</f>
        <v>3</v>
      </c>
      <c r="H3582" t="str">
        <f>IF(AND(regexMatch(B3582,".*#[0-9]*$"),ISNUMBER(SEARCH("#",B3582))),CONCATENATE(TRIM(F3582)," #",G3582),B3582)</f>
        <v>Shop Till #3</v>
      </c>
    </row>
    <row r="3583" spans="1:8" ht="15.75" thickBot="1" x14ac:dyDescent="0.3">
      <c r="A3583" s="1" t="s">
        <v>1113</v>
      </c>
      <c r="B3583" s="1" t="s">
        <v>1114</v>
      </c>
      <c r="C3583" s="4" t="s">
        <v>5</v>
      </c>
      <c r="D3583" s="2" t="s">
        <v>3950</v>
      </c>
      <c r="E3583" s="3" t="str">
        <f>IF(ISERROR(VLOOKUP(B3583,Failures!$A$1:$A$4000,1,FALSE)),"Keep","Delete")</f>
        <v>Keep</v>
      </c>
      <c r="F3583" t="str">
        <f>IF(ISNUMBER(SEARCH("#",B3583)), LEFT(B3583,FIND("#",B3583)-1), B3583)</f>
        <v>Shopping Bag</v>
      </c>
      <c r="G3583" s="26">
        <f>IF(ISNUMBER(SEARCH("#",B3583)),VALUE(MID(B3583,FIND("#",B3583)+1,1000)),1)</f>
        <v>1</v>
      </c>
      <c r="H3583" t="str">
        <f>IF(AND(regexMatch(B3583,".*#[0-9]*$"),ISNUMBER(SEARCH("#",B3583))),CONCATENATE(TRIM(F3583)," #",G3583),B3583)</f>
        <v>Shopping Bag</v>
      </c>
    </row>
    <row r="3584" spans="1:8" ht="15.75" thickBot="1" x14ac:dyDescent="0.3">
      <c r="A3584" s="1" t="s">
        <v>2808</v>
      </c>
      <c r="B3584" s="1" t="s">
        <v>2809</v>
      </c>
      <c r="C3584" s="2" t="s">
        <v>5</v>
      </c>
      <c r="D3584" s="2" t="s">
        <v>3950</v>
      </c>
      <c r="E3584" s="3" t="str">
        <f>IF(ISERROR(VLOOKUP(B3584,Failures!$A$1:$A$4000,1,FALSE)),"Keep","Delete")</f>
        <v>Keep</v>
      </c>
      <c r="F3584" t="str">
        <f>IF(ISNUMBER(SEARCH("#",B3584)), LEFT(B3584,FIND("#",B3584)-1), B3584)</f>
        <v xml:space="preserve">Shopping Bags </v>
      </c>
      <c r="G3584" s="26">
        <f>IF(ISNUMBER(SEARCH("#",B3584)),VALUE(MID(B3584,FIND("#",B3584)+1,1000)),1)</f>
        <v>1</v>
      </c>
      <c r="H3584" t="str">
        <f>IF(AND(regexMatch(B3584,".*#[0-9]*$"),ISNUMBER(SEARCH("#",B3584))),CONCATENATE(TRIM(F3584)," #",G3584),B3584)</f>
        <v>Shopping Bags #1</v>
      </c>
    </row>
    <row r="3585" spans="1:8" ht="15.75" thickBot="1" x14ac:dyDescent="0.3">
      <c r="A3585" s="1" t="s">
        <v>2810</v>
      </c>
      <c r="B3585" s="1" t="s">
        <v>2811</v>
      </c>
      <c r="C3585" s="2" t="s">
        <v>5</v>
      </c>
      <c r="D3585" s="2" t="s">
        <v>3950</v>
      </c>
      <c r="E3585" s="3" t="str">
        <f>IF(ISERROR(VLOOKUP(B3585,Failures!$A$1:$A$4000,1,FALSE)),"Keep","Delete")</f>
        <v>Keep</v>
      </c>
      <c r="F3585" t="str">
        <f>IF(ISNUMBER(SEARCH("#",B3585)), LEFT(B3585,FIND("#",B3585)-1), B3585)</f>
        <v xml:space="preserve">Shopping Bags </v>
      </c>
      <c r="G3585" s="26">
        <f>IF(ISNUMBER(SEARCH("#",B3585)),VALUE(MID(B3585,FIND("#",B3585)+1,1000)),1)</f>
        <v>2</v>
      </c>
      <c r="H3585" t="str">
        <f>IF(AND(regexMatch(B3585,".*#[0-9]*$"),ISNUMBER(SEARCH("#",B3585))),CONCATENATE(TRIM(F3585)," #",G3585),B3585)</f>
        <v>Shopping Bags #2</v>
      </c>
    </row>
    <row r="3586" spans="1:8" ht="15.75" thickBot="1" x14ac:dyDescent="0.3">
      <c r="A3586" s="1" t="s">
        <v>4912</v>
      </c>
      <c r="B3586" s="1" t="s">
        <v>6106</v>
      </c>
      <c r="C3586" s="1"/>
      <c r="D3586" s="2" t="s">
        <v>3950</v>
      </c>
      <c r="E3586" s="3" t="str">
        <f>IF(ISERROR(VLOOKUP(B3586,Failures!$A$1:$A$4000,1,FALSE)),"Keep","Delete")</f>
        <v>Keep</v>
      </c>
      <c r="F3586" t="str">
        <f>IF(ISNUMBER(SEARCH("#",B3586)), LEFT(B3586,FIND("#",B3586)-1), B3586)</f>
        <v xml:space="preserve">Sock Box </v>
      </c>
      <c r="G3586" s="26">
        <f>IF(ISNUMBER(SEARCH("#",B3586)),VALUE(MID(B3586,FIND("#",B3586)+1,1000)),1)</f>
        <v>1</v>
      </c>
      <c r="H3586" t="str">
        <f>IF(AND(regexMatch(B3586,".*#[0-9]*$"),ISNUMBER(SEARCH("#",B3586))),CONCATENATE(TRIM(F3586)," #",G3586),B3586)</f>
        <v>Sock Box #1</v>
      </c>
    </row>
    <row r="3587" spans="1:8" ht="15.75" thickBot="1" x14ac:dyDescent="0.3">
      <c r="A3587" s="1" t="s">
        <v>4913</v>
      </c>
      <c r="B3587" s="1" t="s">
        <v>10194</v>
      </c>
      <c r="C3587" s="1"/>
      <c r="D3587" s="2" t="s">
        <v>3950</v>
      </c>
      <c r="E3587" s="3" t="str">
        <f>IF(ISERROR(VLOOKUP(B3587,Failures!$A$1:$A$4000,1,FALSE)),"Keep","Delete")</f>
        <v>Keep</v>
      </c>
      <c r="F3587" t="str">
        <f>IF(ISNUMBER(SEARCH("#",B3587)), LEFT(B3587,FIND("#",B3587)-1), B3587)</f>
        <v>Sunglasses Stand</v>
      </c>
      <c r="G3587" s="26">
        <f>IF(ISNUMBER(SEARCH("#",B3587)),VALUE(MID(B3587,FIND("#",B3587)+1,1000)),1)</f>
        <v>1</v>
      </c>
      <c r="H3587" t="str">
        <f>IF(AND(regexMatch(B3587,".*#[0-9]*$"),ISNUMBER(SEARCH("#",B3587))),CONCATENATE(TRIM(F3587)," #",G3587),B3587)</f>
        <v>Sunglasses Stand</v>
      </c>
    </row>
    <row r="3588" spans="1:8" ht="15.75" thickBot="1" x14ac:dyDescent="0.3">
      <c r="A3588" s="1" t="s">
        <v>2719</v>
      </c>
      <c r="B3588" s="1" t="s">
        <v>2720</v>
      </c>
      <c r="C3588" s="2" t="s">
        <v>5</v>
      </c>
      <c r="D3588" s="2" t="s">
        <v>3950</v>
      </c>
      <c r="E3588" s="3" t="str">
        <f>IF(ISERROR(VLOOKUP(B3588,Failures!$A$1:$A$4000,1,FALSE)),"Keep","Delete")</f>
        <v>Keep</v>
      </c>
      <c r="F3588" t="str">
        <f>IF(ISNUMBER(SEARCH("#",B3588)), LEFT(B3588,FIND("#",B3588)-1), B3588)</f>
        <v>Supermarket Trolley</v>
      </c>
      <c r="G3588" s="26">
        <f>IF(ISNUMBER(SEARCH("#",B3588)),VALUE(MID(B3588,FIND("#",B3588)+1,1000)),1)</f>
        <v>1</v>
      </c>
      <c r="H3588" t="str">
        <f>IF(AND(regexMatch(B3588,".*#[0-9]*$"),ISNUMBER(SEARCH("#",B3588))),CONCATENATE(TRIM(F3588)," #",G3588),B3588)</f>
        <v>Supermarket Trolley</v>
      </c>
    </row>
    <row r="3589" spans="1:8" ht="15.75" thickBot="1" x14ac:dyDescent="0.3">
      <c r="A3589" s="1" t="s">
        <v>5275</v>
      </c>
      <c r="B3589" s="1" t="s">
        <v>10425</v>
      </c>
      <c r="C3589" s="1"/>
      <c r="D3589" s="2" t="s">
        <v>3950</v>
      </c>
      <c r="E3589" s="3" t="str">
        <f>IF(ISERROR(VLOOKUP(B3589,Failures!$A$1:$A$4000,1,FALSE)),"Keep","Delete")</f>
        <v>Keep</v>
      </c>
      <c r="F3589" t="str">
        <f>IF(ISNUMBER(SEARCH("#",B3589)), LEFT(B3589,FIND("#",B3589)-1), B3589)</f>
        <v>Sweets Display</v>
      </c>
      <c r="G3589" s="26">
        <f>IF(ISNUMBER(SEARCH("#",B3589)),VALUE(MID(B3589,FIND("#",B3589)+1,1000)),1)</f>
        <v>1</v>
      </c>
      <c r="H3589" t="str">
        <f>IF(AND(regexMatch(B3589,".*#[0-9]*$"),ISNUMBER(SEARCH("#",B3589))),CONCATENATE(TRIM(F3589)," #",G3589),B3589)</f>
        <v>Sweets Display</v>
      </c>
    </row>
    <row r="3590" spans="1:8" ht="15.75" thickBot="1" x14ac:dyDescent="0.3">
      <c r="A3590" s="27" t="s">
        <v>7178</v>
      </c>
      <c r="B3590" s="22" t="s">
        <v>10700</v>
      </c>
      <c r="C3590" s="1"/>
      <c r="D3590" s="2" t="s">
        <v>3950</v>
      </c>
      <c r="E3590" s="3" t="str">
        <f>IF(ISERROR(VLOOKUP(B3590,Failures!$A$1:$A$4000,1,FALSE)),"Keep","Delete")</f>
        <v>Keep</v>
      </c>
      <c r="F3590" t="str">
        <f>IF(ISNUMBER(SEARCH("#",B3590)), LEFT(B3590,FIND("#",B3590)-1), B3590)</f>
        <v>Tin Of Tuna Four Pack</v>
      </c>
      <c r="G3590" s="26">
        <f>IF(ISNUMBER(SEARCH("#",B3590)),VALUE(MID(B3590,FIND("#",B3590)+1,1000)),1)</f>
        <v>1</v>
      </c>
      <c r="H3590" t="str">
        <f>IF(AND(regexMatch(B3590,".*#[0-9]*$"),ISNUMBER(SEARCH("#",B3590))),CONCATENATE(TRIM(F3590)," #",G3590),B3590)</f>
        <v>Tin Of Tuna Four Pack</v>
      </c>
    </row>
    <row r="3591" spans="1:8" ht="15.75" thickBot="1" x14ac:dyDescent="0.3">
      <c r="A3591" s="27" t="s">
        <v>7188</v>
      </c>
      <c r="B3591" s="22" t="s">
        <v>10691</v>
      </c>
      <c r="C3591" s="1"/>
      <c r="D3591" s="23" t="s">
        <v>3950</v>
      </c>
      <c r="E3591" s="3" t="str">
        <f>IF(ISERROR(VLOOKUP(B3591,Failures!$A$1:$A$4000,1,FALSE)),"Keep","Delete")</f>
        <v>Keep</v>
      </c>
      <c r="F3591" t="str">
        <f>IF(ISNUMBER(SEARCH("#",B3591)), LEFT(B3591,FIND("#",B3591)-1), B3591)</f>
        <v>Tins Of Chopped Tomatoes</v>
      </c>
      <c r="G3591" s="26">
        <f>IF(ISNUMBER(SEARCH("#",B3591)),VALUE(MID(B3591,FIND("#",B3591)+1,1000)),1)</f>
        <v>1</v>
      </c>
      <c r="H3591" t="str">
        <f>IF(AND(regexMatch(B3591,".*#[0-9]*$"),ISNUMBER(SEARCH("#",B3591))),CONCATENATE(TRIM(F3591)," #",G3591),B3591)</f>
        <v>Tins Of Chopped Tomatoes</v>
      </c>
    </row>
    <row r="3592" spans="1:8" ht="15.75" thickBot="1" x14ac:dyDescent="0.3">
      <c r="A3592" s="27" t="s">
        <v>7179</v>
      </c>
      <c r="B3592" s="22" t="s">
        <v>10699</v>
      </c>
      <c r="C3592" s="1"/>
      <c r="D3592" s="2" t="s">
        <v>3950</v>
      </c>
      <c r="E3592" s="3" t="str">
        <f>IF(ISERROR(VLOOKUP(B3592,Failures!$A$1:$A$4000,1,FALSE)),"Keep","Delete")</f>
        <v>Keep</v>
      </c>
      <c r="F3592" t="str">
        <f>IF(ISNUMBER(SEARCH("#",B3592)), LEFT(B3592,FIND("#",B3592)-1), B3592)</f>
        <v>Tomato Soup Four Pack</v>
      </c>
      <c r="G3592" s="26">
        <f>IF(ISNUMBER(SEARCH("#",B3592)),VALUE(MID(B3592,FIND("#",B3592)+1,1000)),1)</f>
        <v>1</v>
      </c>
      <c r="H3592" t="str">
        <f>IF(AND(regexMatch(B3592,".*#[0-9]*$"),ISNUMBER(SEARCH("#",B3592))),CONCATENATE(TRIM(F3592)," #",G3592),B3592)</f>
        <v>Tomato Soup Four Pack</v>
      </c>
    </row>
    <row r="3593" spans="1:8" ht="15.75" thickBot="1" x14ac:dyDescent="0.3">
      <c r="A3593" s="27" t="s">
        <v>7177</v>
      </c>
      <c r="B3593" s="22" t="s">
        <v>10701</v>
      </c>
      <c r="C3593" s="1"/>
      <c r="D3593" s="2" t="s">
        <v>3950</v>
      </c>
      <c r="E3593" s="3" t="str">
        <f>IF(ISERROR(VLOOKUP(B3593,Failures!$A$1:$A$4000,1,FALSE)),"Keep","Delete")</f>
        <v>Keep</v>
      </c>
      <c r="F3593" t="str">
        <f>IF(ISNUMBER(SEARCH("#",B3593)), LEFT(B3593,FIND("#",B3593)-1), B3593)</f>
        <v>Veg Soup Four Pack</v>
      </c>
      <c r="G3593" s="26">
        <f>IF(ISNUMBER(SEARCH("#",B3593)),VALUE(MID(B3593,FIND("#",B3593)+1,1000)),1)</f>
        <v>1</v>
      </c>
      <c r="H3593" t="str">
        <f>IF(AND(regexMatch(B3593,".*#[0-9]*$"),ISNUMBER(SEARCH("#",B3593))),CONCATENATE(TRIM(F3593)," #",G3593),B3593)</f>
        <v>Veg Soup Four Pack</v>
      </c>
    </row>
    <row r="3594" spans="1:8" ht="15.75" thickBot="1" x14ac:dyDescent="0.3">
      <c r="A3594" s="7" t="s">
        <v>4370</v>
      </c>
      <c r="B3594" s="9" t="s">
        <v>4646</v>
      </c>
      <c r="C3594" s="9"/>
      <c r="D3594" s="14" t="s">
        <v>32</v>
      </c>
      <c r="E3594" s="3" t="str">
        <f>IF(ISERROR(VLOOKUP(B3594,Failures!$A$1:$A$4000,1,FALSE)),"Keep","Delete")</f>
        <v>Keep</v>
      </c>
      <c r="F3594" t="str">
        <f>IF(ISNUMBER(SEARCH("#",B3594)), LEFT(B3594,FIND("#",B3594)-1), B3594)</f>
        <v>Airport For Sale Sign</v>
      </c>
      <c r="G3594" s="26">
        <f>IF(ISNUMBER(SEARCH("#",B3594)),VALUE(MID(B3594,FIND("#",B3594)+1,1000)),1)</f>
        <v>1</v>
      </c>
      <c r="H3594" t="str">
        <f>IF(AND(regexMatch(B3594,".*#[0-9]*$"),ISNUMBER(SEARCH("#",B3594))),CONCATENATE(TRIM(F3594)," #",G3594),B3594)</f>
        <v>Airport For Sale Sign</v>
      </c>
    </row>
    <row r="3595" spans="1:8" ht="15.75" thickBot="1" x14ac:dyDescent="0.3">
      <c r="A3595" s="1" t="s">
        <v>295</v>
      </c>
      <c r="B3595" s="1" t="s">
        <v>296</v>
      </c>
      <c r="C3595" s="2" t="s">
        <v>5</v>
      </c>
      <c r="D3595" s="2" t="s">
        <v>32</v>
      </c>
      <c r="E3595" s="3" t="str">
        <f>IF(ISERROR(VLOOKUP(B3595,Failures!$A$1:$A$4000,1,FALSE)),"Keep","Delete")</f>
        <v>Keep</v>
      </c>
      <c r="F3595" t="str">
        <f>IF(ISNUMBER(SEARCH("#",B3595)), LEFT(B3595,FIND("#",B3595)-1), B3595)</f>
        <v xml:space="preserve">Beggar Sign </v>
      </c>
      <c r="G3595" s="26">
        <f>IF(ISNUMBER(SEARCH("#",B3595)),VALUE(MID(B3595,FIND("#",B3595)+1,1000)),1)</f>
        <v>1</v>
      </c>
      <c r="H3595" t="str">
        <f>IF(AND(regexMatch(B3595,".*#[0-9]*$"),ISNUMBER(SEARCH("#",B3595))),CONCATENATE(TRIM(F3595)," #",G3595),B3595)</f>
        <v>Beggar Sign #1</v>
      </c>
    </row>
    <row r="3596" spans="1:8" ht="15.75" thickBot="1" x14ac:dyDescent="0.3">
      <c r="A3596" s="1" t="s">
        <v>297</v>
      </c>
      <c r="B3596" s="1" t="s">
        <v>298</v>
      </c>
      <c r="C3596" s="2" t="s">
        <v>5</v>
      </c>
      <c r="D3596" s="2" t="s">
        <v>32</v>
      </c>
      <c r="E3596" s="3" t="str">
        <f>IF(ISERROR(VLOOKUP(B3596,Failures!$A$1:$A$4000,1,FALSE)),"Keep","Delete")</f>
        <v>Keep</v>
      </c>
      <c r="F3596" t="str">
        <f>IF(ISNUMBER(SEARCH("#",B3596)), LEFT(B3596,FIND("#",B3596)-1), B3596)</f>
        <v xml:space="preserve">Beggar Sign </v>
      </c>
      <c r="G3596" s="26">
        <f>IF(ISNUMBER(SEARCH("#",B3596)),VALUE(MID(B3596,FIND("#",B3596)+1,1000)),1)</f>
        <v>2</v>
      </c>
      <c r="H3596" t="str">
        <f>IF(AND(regexMatch(B3596,".*#[0-9]*$"),ISNUMBER(SEARCH("#",B3596))),CONCATENATE(TRIM(F3596)," #",G3596),B3596)</f>
        <v>Beggar Sign #2</v>
      </c>
    </row>
    <row r="3597" spans="1:8" ht="15.75" thickBot="1" x14ac:dyDescent="0.3">
      <c r="A3597" s="1" t="s">
        <v>299</v>
      </c>
      <c r="B3597" s="1" t="s">
        <v>300</v>
      </c>
      <c r="C3597" s="2" t="s">
        <v>5</v>
      </c>
      <c r="D3597" s="2" t="s">
        <v>32</v>
      </c>
      <c r="E3597" s="3" t="str">
        <f>IF(ISERROR(VLOOKUP(B3597,Failures!$A$1:$A$4000,1,FALSE)),"Keep","Delete")</f>
        <v>Keep</v>
      </c>
      <c r="F3597" t="str">
        <f>IF(ISNUMBER(SEARCH("#",B3597)), LEFT(B3597,FIND("#",B3597)-1), B3597)</f>
        <v xml:space="preserve">Beggar Sign </v>
      </c>
      <c r="G3597" s="26">
        <f>IF(ISNUMBER(SEARCH("#",B3597)),VALUE(MID(B3597,FIND("#",B3597)+1,1000)),1)</f>
        <v>3</v>
      </c>
      <c r="H3597" t="str">
        <f>IF(AND(regexMatch(B3597,".*#[0-9]*$"),ISNUMBER(SEARCH("#",B3597))),CONCATENATE(TRIM(F3597)," #",G3597),B3597)</f>
        <v>Beggar Sign #3</v>
      </c>
    </row>
    <row r="3598" spans="1:8" ht="15.75" thickBot="1" x14ac:dyDescent="0.3">
      <c r="A3598" s="1" t="s">
        <v>301</v>
      </c>
      <c r="B3598" s="1" t="s">
        <v>302</v>
      </c>
      <c r="C3598" s="2" t="s">
        <v>5</v>
      </c>
      <c r="D3598" s="2" t="s">
        <v>32</v>
      </c>
      <c r="E3598" s="3" t="str">
        <f>IF(ISERROR(VLOOKUP(B3598,Failures!$A$1:$A$4000,1,FALSE)),"Keep","Delete")</f>
        <v>Keep</v>
      </c>
      <c r="F3598" t="str">
        <f>IF(ISNUMBER(SEARCH("#",B3598)), LEFT(B3598,FIND("#",B3598)-1), B3598)</f>
        <v xml:space="preserve">Beggar Sign </v>
      </c>
      <c r="G3598" s="26">
        <f>IF(ISNUMBER(SEARCH("#",B3598)),VALUE(MID(B3598,FIND("#",B3598)+1,1000)),1)</f>
        <v>4</v>
      </c>
      <c r="H3598" t="str">
        <f>IF(AND(regexMatch(B3598,".*#[0-9]*$"),ISNUMBER(SEARCH("#",B3598))),CONCATENATE(TRIM(F3598)," #",G3598),B3598)</f>
        <v>Beggar Sign #4</v>
      </c>
    </row>
    <row r="3599" spans="1:8" ht="15.75" thickBot="1" x14ac:dyDescent="0.3">
      <c r="A3599" s="1" t="s">
        <v>314</v>
      </c>
      <c r="B3599" s="1" t="s">
        <v>315</v>
      </c>
      <c r="C3599" s="2" t="s">
        <v>5</v>
      </c>
      <c r="D3599" s="2" t="s">
        <v>32</v>
      </c>
      <c r="E3599" s="3" t="str">
        <f>IF(ISERROR(VLOOKUP(B3599,Failures!$A$1:$A$4000,1,FALSE)),"Keep","Delete")</f>
        <v>Keep</v>
      </c>
      <c r="F3599" t="str">
        <f>IF(ISNUMBER(SEARCH("#",B3599)), LEFT(B3599,FIND("#",B3599)-1), B3599)</f>
        <v>Beware Dog Sign</v>
      </c>
      <c r="G3599" s="26">
        <f>IF(ISNUMBER(SEARCH("#",B3599)),VALUE(MID(B3599,FIND("#",B3599)+1,1000)),1)</f>
        <v>1</v>
      </c>
      <c r="H3599" t="str">
        <f>IF(AND(regexMatch(B3599,".*#[0-9]*$"),ISNUMBER(SEARCH("#",B3599))),CONCATENATE(TRIM(F3599)," #",G3599),B3599)</f>
        <v>Beware Dog Sign</v>
      </c>
    </row>
    <row r="3600" spans="1:8" ht="15.75" thickBot="1" x14ac:dyDescent="0.3">
      <c r="A3600" s="1" t="s">
        <v>5774</v>
      </c>
      <c r="B3600" s="1" t="s">
        <v>9762</v>
      </c>
      <c r="C3600" s="1"/>
      <c r="D3600" s="2" t="s">
        <v>32</v>
      </c>
      <c r="E3600" s="3" t="str">
        <f>IF(ISERROR(VLOOKUP(B3600,Failures!$A$1:$A$4000,1,FALSE)),"Keep","Delete")</f>
        <v>Keep</v>
      </c>
      <c r="F3600" t="str">
        <f>IF(ISNUMBER(SEARCH("#",B3600)), LEFT(B3600,FIND("#",B3600)-1), B3600)</f>
        <v>Check In Road Sign</v>
      </c>
      <c r="G3600" s="26">
        <f>IF(ISNUMBER(SEARCH("#",B3600)),VALUE(MID(B3600,FIND("#",B3600)+1,1000)),1)</f>
        <v>1</v>
      </c>
      <c r="H3600" t="str">
        <f>IF(AND(regexMatch(B3600,".*#[0-9]*$"),ISNUMBER(SEARCH("#",B3600))),CONCATENATE(TRIM(F3600)," #",G3600),B3600)</f>
        <v>Check In Road Sign</v>
      </c>
    </row>
    <row r="3601" spans="1:8" ht="15.75" thickBot="1" x14ac:dyDescent="0.3">
      <c r="A3601" s="1" t="s">
        <v>5775</v>
      </c>
      <c r="B3601" s="1" t="s">
        <v>9761</v>
      </c>
      <c r="C3601" s="1"/>
      <c r="D3601" s="2" t="s">
        <v>32</v>
      </c>
      <c r="E3601" s="3" t="str">
        <f>IF(ISERROR(VLOOKUP(B3601,Failures!$A$1:$A$4000,1,FALSE)),"Keep","Delete")</f>
        <v>Keep</v>
      </c>
      <c r="F3601" t="str">
        <f>IF(ISNUMBER(SEARCH("#",B3601)), LEFT(B3601,FIND("#",B3601)-1), B3601)</f>
        <v>End Of Pier Sign</v>
      </c>
      <c r="G3601" s="26">
        <f>IF(ISNUMBER(SEARCH("#",B3601)),VALUE(MID(B3601,FIND("#",B3601)+1,1000)),1)</f>
        <v>1</v>
      </c>
      <c r="H3601" t="str">
        <f>IF(AND(regexMatch(B3601,".*#[0-9]*$"),ISNUMBER(SEARCH("#",B3601))),CONCATENATE(TRIM(F3601)," #",G3601),B3601)</f>
        <v>End Of Pier Sign</v>
      </c>
    </row>
    <row r="3602" spans="1:8" ht="15.75" thickBot="1" x14ac:dyDescent="0.3">
      <c r="A3602" s="1" t="s">
        <v>5360</v>
      </c>
      <c r="B3602" s="1" t="s">
        <v>10087</v>
      </c>
      <c r="C3602" s="1"/>
      <c r="D3602" s="2" t="s">
        <v>32</v>
      </c>
      <c r="E3602" s="3" t="str">
        <f>IF(ISERROR(VLOOKUP(B3602,Failures!$A$1:$A$4000,1,FALSE)),"Keep","Delete")</f>
        <v>Keep</v>
      </c>
      <c r="F3602" t="str">
        <f>IF(ISNUMBER(SEARCH("#",B3602)), LEFT(B3602,FIND("#",B3602)-1), B3602)</f>
        <v>Film Advert</v>
      </c>
      <c r="G3602" s="26">
        <f>IF(ISNUMBER(SEARCH("#",B3602)),VALUE(MID(B3602,FIND("#",B3602)+1,1000)),1)</f>
        <v>1</v>
      </c>
      <c r="H3602" t="str">
        <f>IF(AND(regexMatch(B3602,".*#[0-9]*$"),ISNUMBER(SEARCH("#",B3602))),CONCATENATE(TRIM(F3602)," #",G3602),B3602)</f>
        <v>Film Advert</v>
      </c>
    </row>
    <row r="3603" spans="1:8" ht="15.75" thickBot="1" x14ac:dyDescent="0.3">
      <c r="A3603" s="7" t="s">
        <v>4048</v>
      </c>
      <c r="B3603" s="1" t="s">
        <v>4725</v>
      </c>
      <c r="C3603" s="9"/>
      <c r="D3603" s="2" t="s">
        <v>32</v>
      </c>
      <c r="E3603" s="3" t="str">
        <f>IF(ISERROR(VLOOKUP(B3603,Failures!$A$1:$A$4000,1,FALSE)),"Keep","Delete")</f>
        <v>Keep</v>
      </c>
      <c r="F3603" t="str">
        <f>IF(ISNUMBER(SEARCH("#",B3603)), LEFT(B3603,FIND("#",B3603)-1), B3603)</f>
        <v xml:space="preserve">For Sale Sign (Dynasty </v>
      </c>
      <c r="G3603" s="26">
        <v>1</v>
      </c>
      <c r="H3603" t="str">
        <f>IF(AND(regexMatch(B3603,".*#[0-9]*$"),ISNUMBER(SEARCH("#",B3603))),CONCATENATE(TRIM(F3603)," #",G3603),B3603)</f>
        <v>For Sale Sign (Dynasty #1)</v>
      </c>
    </row>
    <row r="3604" spans="1:8" ht="15.75" thickBot="1" x14ac:dyDescent="0.3">
      <c r="A3604" s="7" t="s">
        <v>4049</v>
      </c>
      <c r="B3604" s="1" t="s">
        <v>4726</v>
      </c>
      <c r="C3604" s="9"/>
      <c r="D3604" s="2" t="s">
        <v>32</v>
      </c>
      <c r="E3604" s="3" t="str">
        <f>IF(ISERROR(VLOOKUP(B3604,Failures!$A$1:$A$4000,1,FALSE)),"Keep","Delete")</f>
        <v>Keep</v>
      </c>
      <c r="F3604" t="str">
        <f>IF(ISNUMBER(SEARCH("#",B3604)), LEFT(B3604,FIND("#",B3604)-1), B3604)</f>
        <v xml:space="preserve">For Sale Sign (Dynasty </v>
      </c>
      <c r="G3604" s="26">
        <v>2</v>
      </c>
      <c r="H3604" t="str">
        <f>IF(AND(regexMatch(B3604,".*#[0-9]*$"),ISNUMBER(SEARCH("#",B3604))),CONCATENATE(TRIM(F3604)," #",G3604),B3604)</f>
        <v>For Sale Sign (Dynasty #2)</v>
      </c>
    </row>
    <row r="3605" spans="1:8" ht="15.75" thickBot="1" x14ac:dyDescent="0.3">
      <c r="A3605" s="1" t="s">
        <v>1485</v>
      </c>
      <c r="B3605" s="1" t="s">
        <v>4727</v>
      </c>
      <c r="C3605" s="4" t="s">
        <v>5</v>
      </c>
      <c r="D3605" s="2" t="s">
        <v>32</v>
      </c>
      <c r="E3605" s="3" t="str">
        <f>IF(ISERROR(VLOOKUP(B3605,Failures!$A$1:$A$4000,1,FALSE)),"Keep","Delete")</f>
        <v>Keep</v>
      </c>
      <c r="F3605" t="str">
        <f>IF(ISNUMBER(SEARCH("#",B3605)), LEFT(B3605,FIND("#",B3605)-1), B3605)</f>
        <v xml:space="preserve">For Sale Sign (Johnsons </v>
      </c>
      <c r="G3605" s="26">
        <v>1</v>
      </c>
      <c r="H3605" t="str">
        <f>IF(AND(regexMatch(B3605,".*#[0-9]*$"),ISNUMBER(SEARCH("#",B3605))),CONCATENATE(TRIM(F3605)," #",G3605),B3605)</f>
        <v>For Sale Sign (Johnsons #1)</v>
      </c>
    </row>
    <row r="3606" spans="1:8" ht="15.75" thickBot="1" x14ac:dyDescent="0.3">
      <c r="A3606" s="1" t="s">
        <v>1486</v>
      </c>
      <c r="B3606" s="1" t="s">
        <v>4728</v>
      </c>
      <c r="C3606" s="4" t="s">
        <v>5</v>
      </c>
      <c r="D3606" s="2" t="s">
        <v>32</v>
      </c>
      <c r="E3606" s="3" t="str">
        <f>IF(ISERROR(VLOOKUP(B3606,Failures!$A$1:$A$4000,1,FALSE)),"Keep","Delete")</f>
        <v>Keep</v>
      </c>
      <c r="F3606" t="str">
        <f>IF(ISNUMBER(SEARCH("#",B3606)), LEFT(B3606,FIND("#",B3606)-1), B3606)</f>
        <v xml:space="preserve">For Sale Sign (Johnsons </v>
      </c>
      <c r="G3606" s="26">
        <v>2</v>
      </c>
      <c r="H3606" t="str">
        <f>IF(AND(regexMatch(B3606,".*#[0-9]*$"),ISNUMBER(SEARCH("#",B3606))),CONCATENATE(TRIM(F3606)," #",G3606),B3606)</f>
        <v>For Sale Sign (Johnsons #2)</v>
      </c>
    </row>
    <row r="3607" spans="1:8" ht="15.75" thickBot="1" x14ac:dyDescent="0.3">
      <c r="A3607" s="1" t="s">
        <v>1487</v>
      </c>
      <c r="B3607" s="1" t="s">
        <v>4729</v>
      </c>
      <c r="C3607" s="4" t="s">
        <v>5</v>
      </c>
      <c r="D3607" s="2" t="s">
        <v>32</v>
      </c>
      <c r="E3607" s="3" t="str">
        <f>IF(ISERROR(VLOOKUP(B3607,Failures!$A$1:$A$4000,1,FALSE)),"Keep","Delete")</f>
        <v>Keep</v>
      </c>
      <c r="F3607" t="str">
        <f>IF(ISNUMBER(SEARCH("#",B3607)), LEFT(B3607,FIND("#",B3607)-1), B3607)</f>
        <v xml:space="preserve">For Sale Sign (Johnsons </v>
      </c>
      <c r="G3607" s="26">
        <v>3</v>
      </c>
      <c r="H3607" t="str">
        <f>IF(AND(regexMatch(B3607,".*#[0-9]*$"),ISNUMBER(SEARCH("#",B3607))),CONCATENATE(TRIM(F3607)," #",G3607),B3607)</f>
        <v>For Sale Sign (Johnsons #3)</v>
      </c>
    </row>
    <row r="3608" spans="1:8" ht="15.75" thickBot="1" x14ac:dyDescent="0.3">
      <c r="A3608" s="1" t="s">
        <v>5569</v>
      </c>
      <c r="B3608" s="1" t="s">
        <v>9992</v>
      </c>
      <c r="C3608" s="1"/>
      <c r="D3608" s="2" t="s">
        <v>32</v>
      </c>
      <c r="E3608" s="3" t="str">
        <f>IF(ISERROR(VLOOKUP(B3608,Failures!$A$1:$A$4000,1,FALSE)),"Keep","Delete")</f>
        <v>Keep</v>
      </c>
      <c r="F3608" t="str">
        <f>IF(ISNUMBER(SEARCH("#",B3608)), LEFT(B3608,FIND("#",B3608)-1), B3608)</f>
        <v xml:space="preserve">For Sale Sign (Johnsons) </v>
      </c>
      <c r="G3608" s="26">
        <f>IF(ISNUMBER(SEARCH("#",B3608)),VALUE(MID(B3608,FIND("#",B3608)+1,1000)),1)</f>
        <v>1</v>
      </c>
      <c r="H3608" t="str">
        <f>IF(AND(regexMatch(B3608,".*#[0-9]*$"),ISNUMBER(SEARCH("#",B3608))),CONCATENATE(TRIM(F3608)," #",G3608),B3608)</f>
        <v>For Sale Sign (Johnsons) #1</v>
      </c>
    </row>
    <row r="3609" spans="1:8" ht="15.75" thickBot="1" x14ac:dyDescent="0.3">
      <c r="A3609" s="1" t="s">
        <v>5577</v>
      </c>
      <c r="B3609" s="1" t="s">
        <v>10005</v>
      </c>
      <c r="C3609" s="1"/>
      <c r="D3609" s="2" t="s">
        <v>32</v>
      </c>
      <c r="E3609" s="3" t="str">
        <f>IF(ISERROR(VLOOKUP(B3609,Failures!$A$1:$A$4000,1,FALSE)),"Keep","Delete")</f>
        <v>Keep</v>
      </c>
      <c r="F3609" t="str">
        <f>IF(ISNUMBER(SEARCH("#",B3609)), LEFT(B3609,FIND("#",B3609)-1), B3609)</f>
        <v xml:space="preserve">For Sale Sign (Johnsons) </v>
      </c>
      <c r="G3609" s="26">
        <f>IF(ISNUMBER(SEARCH("#",B3609)),VALUE(MID(B3609,FIND("#",B3609)+1,1000)),1)</f>
        <v>2</v>
      </c>
      <c r="H3609" t="str">
        <f>IF(AND(regexMatch(B3609,".*#[0-9]*$"),ISNUMBER(SEARCH("#",B3609))),CONCATENATE(TRIM(F3609)," #",G3609),B3609)</f>
        <v>For Sale Sign (Johnsons) #2</v>
      </c>
    </row>
    <row r="3610" spans="1:8" ht="15.75" thickBot="1" x14ac:dyDescent="0.3">
      <c r="A3610" s="7" t="s">
        <v>4279</v>
      </c>
      <c r="B3610" s="1" t="s">
        <v>4659</v>
      </c>
      <c r="C3610" s="9"/>
      <c r="D3610" s="2" t="s">
        <v>32</v>
      </c>
      <c r="E3610" s="3" t="str">
        <f>IF(ISERROR(VLOOKUP(B3610,Failures!$A$1:$A$4000,1,FALSE)),"Keep","Delete")</f>
        <v>Keep</v>
      </c>
      <c r="F3610" t="str">
        <f>IF(ISNUMBER(SEARCH("#",B3610)), LEFT(B3610,FIND("#",B3610)-1), B3610)</f>
        <v>For Sale Sign (Lenny)</v>
      </c>
      <c r="G3610" s="26">
        <f>IF(ISNUMBER(SEARCH("#",B3610)),VALUE(MID(B3610,FIND("#",B3610)+1,1000)),1)</f>
        <v>1</v>
      </c>
      <c r="H3610" t="str">
        <f>IF(AND(regexMatch(B3610,".*#[0-9]*$"),ISNUMBER(SEARCH("#",B3610))),CONCATENATE(TRIM(F3610)," #",G3610),B3610)</f>
        <v>For Sale Sign (Lenny)</v>
      </c>
    </row>
    <row r="3611" spans="1:8" ht="15.75" thickBot="1" x14ac:dyDescent="0.3">
      <c r="A3611" s="1" t="s">
        <v>5566</v>
      </c>
      <c r="B3611" s="1" t="s">
        <v>9995</v>
      </c>
      <c r="C3611" s="1"/>
      <c r="D3611" s="2" t="s">
        <v>32</v>
      </c>
      <c r="E3611" s="3" t="str">
        <f>IF(ISERROR(VLOOKUP(B3611,Failures!$A$1:$A$4000,1,FALSE)),"Keep","Delete")</f>
        <v>Keep</v>
      </c>
      <c r="F3611" t="str">
        <f>IF(ISNUMBER(SEARCH("#",B3611)), LEFT(B3611,FIND("#",B3611)-1), B3611)</f>
        <v xml:space="preserve">For Sale Sign Small </v>
      </c>
      <c r="G3611" s="26">
        <f>IF(ISNUMBER(SEARCH("#",B3611)),VALUE(MID(B3611,FIND("#",B3611)+1,1000)),1)</f>
        <v>1</v>
      </c>
      <c r="H3611" t="str">
        <f>IF(AND(regexMatch(B3611,".*#[0-9]*$"),ISNUMBER(SEARCH("#",B3611))),CONCATENATE(TRIM(F3611)," #",G3611),B3611)</f>
        <v>For Sale Sign Small #1</v>
      </c>
    </row>
    <row r="3612" spans="1:8" ht="15.75" thickBot="1" x14ac:dyDescent="0.3">
      <c r="A3612" s="1" t="s">
        <v>5565</v>
      </c>
      <c r="B3612" s="1" t="s">
        <v>9996</v>
      </c>
      <c r="C3612" s="1"/>
      <c r="D3612" s="2" t="s">
        <v>32</v>
      </c>
      <c r="E3612" s="3" t="str">
        <f>IF(ISERROR(VLOOKUP(B3612,Failures!$A$1:$A$4000,1,FALSE)),"Keep","Delete")</f>
        <v>Keep</v>
      </c>
      <c r="F3612" t="str">
        <f>IF(ISNUMBER(SEARCH("#",B3612)), LEFT(B3612,FIND("#",B3612)-1), B3612)</f>
        <v xml:space="preserve">For Sale Sign Small </v>
      </c>
      <c r="G3612" s="26">
        <f>IF(ISNUMBER(SEARCH("#",B3612)),VALUE(MID(B3612,FIND("#",B3612)+1,1000)),1)</f>
        <v>2</v>
      </c>
      <c r="H3612" t="str">
        <f>IF(AND(regexMatch(B3612,".*#[0-9]*$"),ISNUMBER(SEARCH("#",B3612))),CONCATENATE(TRIM(F3612)," #",G3612),B3612)</f>
        <v>For Sale Sign Small #2</v>
      </c>
    </row>
    <row r="3613" spans="1:8" ht="15.75" thickBot="1" x14ac:dyDescent="0.3">
      <c r="A3613" s="1" t="s">
        <v>5564</v>
      </c>
      <c r="B3613" s="1" t="s">
        <v>9997</v>
      </c>
      <c r="C3613" s="1"/>
      <c r="D3613" s="2" t="s">
        <v>32</v>
      </c>
      <c r="E3613" s="3" t="str">
        <f>IF(ISERROR(VLOOKUP(B3613,Failures!$A$1:$A$4000,1,FALSE)),"Keep","Delete")</f>
        <v>Keep</v>
      </c>
      <c r="F3613" t="str">
        <f>IF(ISNUMBER(SEARCH("#",B3613)), LEFT(B3613,FIND("#",B3613)-1), B3613)</f>
        <v xml:space="preserve">For Sale Sign Small </v>
      </c>
      <c r="G3613" s="26">
        <f>IF(ISNUMBER(SEARCH("#",B3613)),VALUE(MID(B3613,FIND("#",B3613)+1,1000)),1)</f>
        <v>3</v>
      </c>
      <c r="H3613" t="str">
        <f>IF(AND(regexMatch(B3613,".*#[0-9]*$"),ISNUMBER(SEARCH("#",B3613))),CONCATENATE(TRIM(F3613)," #",G3613),B3613)</f>
        <v>For Sale Sign Small #3</v>
      </c>
    </row>
    <row r="3614" spans="1:8" ht="15.75" thickBot="1" x14ac:dyDescent="0.3">
      <c r="A3614" s="1" t="s">
        <v>5563</v>
      </c>
      <c r="B3614" s="1" t="s">
        <v>9998</v>
      </c>
      <c r="C3614" s="1"/>
      <c r="D3614" s="2" t="s">
        <v>32</v>
      </c>
      <c r="E3614" s="3" t="str">
        <f>IF(ISERROR(VLOOKUP(B3614,Failures!$A$1:$A$4000,1,FALSE)),"Keep","Delete")</f>
        <v>Keep</v>
      </c>
      <c r="F3614" t="str">
        <f>IF(ISNUMBER(SEARCH("#",B3614)), LEFT(B3614,FIND("#",B3614)-1), B3614)</f>
        <v xml:space="preserve">For Sale Sign Small </v>
      </c>
      <c r="G3614" s="26">
        <f>IF(ISNUMBER(SEARCH("#",B3614)),VALUE(MID(B3614,FIND("#",B3614)+1,1000)),1)</f>
        <v>4</v>
      </c>
      <c r="H3614" t="str">
        <f>IF(AND(regexMatch(B3614,".*#[0-9]*$"),ISNUMBER(SEARCH("#",B3614))),CONCATENATE(TRIM(F3614)," #",G3614),B3614)</f>
        <v>For Sale Sign Small #4</v>
      </c>
    </row>
    <row r="3615" spans="1:8" ht="15.75" thickBot="1" x14ac:dyDescent="0.3">
      <c r="A3615" s="1" t="s">
        <v>5562</v>
      </c>
      <c r="B3615" s="1" t="s">
        <v>9999</v>
      </c>
      <c r="C3615" s="1"/>
      <c r="D3615" s="2" t="s">
        <v>32</v>
      </c>
      <c r="E3615" s="3" t="str">
        <f>IF(ISERROR(VLOOKUP(B3615,Failures!$A$1:$A$4000,1,FALSE)),"Keep","Delete")</f>
        <v>Keep</v>
      </c>
      <c r="F3615" t="str">
        <f>IF(ISNUMBER(SEARCH("#",B3615)), LEFT(B3615,FIND("#",B3615)-1), B3615)</f>
        <v xml:space="preserve">For Sale Sign Small </v>
      </c>
      <c r="G3615" s="26">
        <f>IF(ISNUMBER(SEARCH("#",B3615)),VALUE(MID(B3615,FIND("#",B3615)+1,1000)),1)</f>
        <v>5</v>
      </c>
      <c r="H3615" t="str">
        <f>IF(AND(regexMatch(B3615,".*#[0-9]*$"),ISNUMBER(SEARCH("#",B3615))),CONCATENATE(TRIM(F3615)," #",G3615),B3615)</f>
        <v>For Sale Sign Small #5</v>
      </c>
    </row>
    <row r="3616" spans="1:8" ht="15.75" thickBot="1" x14ac:dyDescent="0.3">
      <c r="A3616" s="1" t="s">
        <v>5561</v>
      </c>
      <c r="B3616" s="1" t="s">
        <v>10000</v>
      </c>
      <c r="C3616" s="1"/>
      <c r="D3616" s="2" t="s">
        <v>32</v>
      </c>
      <c r="E3616" s="3" t="str">
        <f>IF(ISERROR(VLOOKUP(B3616,Failures!$A$1:$A$4000,1,FALSE)),"Keep","Delete")</f>
        <v>Keep</v>
      </c>
      <c r="F3616" t="str">
        <f>IF(ISNUMBER(SEARCH("#",B3616)), LEFT(B3616,FIND("#",B3616)-1), B3616)</f>
        <v xml:space="preserve">For Sale Sign Small </v>
      </c>
      <c r="G3616" s="26">
        <f>IF(ISNUMBER(SEARCH("#",B3616)),VALUE(MID(B3616,FIND("#",B3616)+1,1000)),1)</f>
        <v>6</v>
      </c>
      <c r="H3616" t="str">
        <f>IF(AND(regexMatch(B3616,".*#[0-9]*$"),ISNUMBER(SEARCH("#",B3616))),CONCATENATE(TRIM(F3616)," #",G3616),B3616)</f>
        <v>For Sale Sign Small #6</v>
      </c>
    </row>
    <row r="3617" spans="1:8" ht="15.75" thickBot="1" x14ac:dyDescent="0.3">
      <c r="A3617" s="1" t="s">
        <v>5560</v>
      </c>
      <c r="B3617" s="1" t="s">
        <v>10001</v>
      </c>
      <c r="C3617" s="1"/>
      <c r="D3617" s="2" t="s">
        <v>32</v>
      </c>
      <c r="E3617" s="3" t="str">
        <f>IF(ISERROR(VLOOKUP(B3617,Failures!$A$1:$A$4000,1,FALSE)),"Keep","Delete")</f>
        <v>Keep</v>
      </c>
      <c r="F3617" t="str">
        <f>IF(ISNUMBER(SEARCH("#",B3617)), LEFT(B3617,FIND("#",B3617)-1), B3617)</f>
        <v xml:space="preserve">For Sale Sign Small </v>
      </c>
      <c r="G3617" s="26">
        <f>IF(ISNUMBER(SEARCH("#",B3617)),VALUE(MID(B3617,FIND("#",B3617)+1,1000)),1)</f>
        <v>7</v>
      </c>
      <c r="H3617" t="str">
        <f>IF(AND(regexMatch(B3617,".*#[0-9]*$"),ISNUMBER(SEARCH("#",B3617))),CONCATENATE(TRIM(F3617)," #",G3617),B3617)</f>
        <v>For Sale Sign Small #7</v>
      </c>
    </row>
    <row r="3618" spans="1:8" ht="15.75" thickBot="1" x14ac:dyDescent="0.3">
      <c r="A3618" s="1" t="s">
        <v>5559</v>
      </c>
      <c r="B3618" s="1" t="s">
        <v>10002</v>
      </c>
      <c r="C3618" s="1"/>
      <c r="D3618" s="2" t="s">
        <v>32</v>
      </c>
      <c r="E3618" s="3" t="str">
        <f>IF(ISERROR(VLOOKUP(B3618,Failures!$A$1:$A$4000,1,FALSE)),"Keep","Delete")</f>
        <v>Keep</v>
      </c>
      <c r="F3618" t="str">
        <f>IF(ISNUMBER(SEARCH("#",B3618)), LEFT(B3618,FIND("#",B3618)-1), B3618)</f>
        <v xml:space="preserve">For Sale Sign Small </v>
      </c>
      <c r="G3618" s="26">
        <f>IF(ISNUMBER(SEARCH("#",B3618)),VALUE(MID(B3618,FIND("#",B3618)+1,1000)),1)</f>
        <v>8</v>
      </c>
      <c r="H3618" t="str">
        <f>IF(AND(regexMatch(B3618,".*#[0-9]*$"),ISNUMBER(SEARCH("#",B3618))),CONCATENATE(TRIM(F3618)," #",G3618),B3618)</f>
        <v>For Sale Sign Small #8</v>
      </c>
    </row>
    <row r="3619" spans="1:8" ht="15.75" thickBot="1" x14ac:dyDescent="0.3">
      <c r="A3619" s="1" t="s">
        <v>5558</v>
      </c>
      <c r="B3619" s="1" t="s">
        <v>10003</v>
      </c>
      <c r="C3619" s="1"/>
      <c r="D3619" s="2" t="s">
        <v>32</v>
      </c>
      <c r="E3619" s="3" t="str">
        <f>IF(ISERROR(VLOOKUP(B3619,Failures!$A$1:$A$4000,1,FALSE)),"Keep","Delete")</f>
        <v>Keep</v>
      </c>
      <c r="F3619" t="str">
        <f>IF(ISNUMBER(SEARCH("#",B3619)), LEFT(B3619,FIND("#",B3619)-1), B3619)</f>
        <v xml:space="preserve">For Sale Sign Small </v>
      </c>
      <c r="G3619" s="26">
        <f>IF(ISNUMBER(SEARCH("#",B3619)),VALUE(MID(B3619,FIND("#",B3619)+1,1000)),1)</f>
        <v>9</v>
      </c>
      <c r="H3619" t="str">
        <f>IF(AND(regexMatch(B3619,".*#[0-9]*$"),ISNUMBER(SEARCH("#",B3619))),CONCATENATE(TRIM(F3619)," #",G3619),B3619)</f>
        <v>For Sale Sign Small #9</v>
      </c>
    </row>
    <row r="3620" spans="1:8" ht="15.75" thickBot="1" x14ac:dyDescent="0.3">
      <c r="A3620" s="1" t="s">
        <v>5557</v>
      </c>
      <c r="B3620" s="1" t="s">
        <v>10004</v>
      </c>
      <c r="C3620" s="1"/>
      <c r="D3620" s="2" t="s">
        <v>32</v>
      </c>
      <c r="E3620" s="3" t="str">
        <f>IF(ISERROR(VLOOKUP(B3620,Failures!$A$1:$A$4000,1,FALSE)),"Keep","Delete")</f>
        <v>Keep</v>
      </c>
      <c r="F3620" t="str">
        <f>IF(ISNUMBER(SEARCH("#",B3620)), LEFT(B3620,FIND("#",B3620)-1), B3620)</f>
        <v>For Sale Sign Triangle</v>
      </c>
      <c r="G3620" s="26">
        <f>IF(ISNUMBER(SEARCH("#",B3620)),VALUE(MID(B3620,FIND("#",B3620)+1,1000)),1)</f>
        <v>1</v>
      </c>
      <c r="H3620" t="str">
        <f>IF(AND(regexMatch(B3620,".*#[0-9]*$"),ISNUMBER(SEARCH("#",B3620))),CONCATENATE(TRIM(F3620)," #",G3620),B3620)</f>
        <v>For Sale Sign Triangle</v>
      </c>
    </row>
    <row r="3621" spans="1:8" ht="15.75" thickBot="1" x14ac:dyDescent="0.3">
      <c r="A3621" s="1" t="s">
        <v>5576</v>
      </c>
      <c r="B3621" s="1" t="s">
        <v>9985</v>
      </c>
      <c r="C3621" s="1"/>
      <c r="D3621" s="2" t="s">
        <v>32</v>
      </c>
      <c r="E3621" s="3" t="str">
        <f>IF(ISERROR(VLOOKUP(B3621,Failures!$A$1:$A$4000,1,FALSE)),"Keep","Delete")</f>
        <v>Keep</v>
      </c>
      <c r="F3621" t="str">
        <f>IF(ISNUMBER(SEARCH("#",B3621)), LEFT(B3621,FIND("#",B3621)-1), B3621)</f>
        <v xml:space="preserve">Foreclosure Sign </v>
      </c>
      <c r="G3621" s="26">
        <f>IF(ISNUMBER(SEARCH("#",B3621)),VALUE(MID(B3621,FIND("#",B3621)+1,1000)),1)</f>
        <v>1</v>
      </c>
      <c r="H3621" t="str">
        <f>IF(AND(regexMatch(B3621,".*#[0-9]*$"),ISNUMBER(SEARCH("#",B3621))),CONCATENATE(TRIM(F3621)," #",G3621),B3621)</f>
        <v>Foreclosure Sign #1</v>
      </c>
    </row>
    <row r="3622" spans="1:8" ht="15.75" thickBot="1" x14ac:dyDescent="0.3">
      <c r="A3622" s="1" t="s">
        <v>5575</v>
      </c>
      <c r="B3622" s="1" t="s">
        <v>9986</v>
      </c>
      <c r="C3622" s="1"/>
      <c r="D3622" s="2" t="s">
        <v>32</v>
      </c>
      <c r="E3622" s="3" t="str">
        <f>IF(ISERROR(VLOOKUP(B3622,Failures!$A$1:$A$4000,1,FALSE)),"Keep","Delete")</f>
        <v>Keep</v>
      </c>
      <c r="F3622" t="str">
        <f>IF(ISNUMBER(SEARCH("#",B3622)), LEFT(B3622,FIND("#",B3622)-1), B3622)</f>
        <v xml:space="preserve">Foreclosure Sign </v>
      </c>
      <c r="G3622" s="26">
        <f>IF(ISNUMBER(SEARCH("#",B3622)),VALUE(MID(B3622,FIND("#",B3622)+1,1000)),1)</f>
        <v>2</v>
      </c>
      <c r="H3622" t="str">
        <f>IF(AND(regexMatch(B3622,".*#[0-9]*$"),ISNUMBER(SEARCH("#",B3622))),CONCATENATE(TRIM(F3622)," #",G3622),B3622)</f>
        <v>Foreclosure Sign #2</v>
      </c>
    </row>
    <row r="3623" spans="1:8" ht="15.75" thickBot="1" x14ac:dyDescent="0.3">
      <c r="A3623" s="1" t="s">
        <v>5574</v>
      </c>
      <c r="B3623" s="1" t="s">
        <v>9987</v>
      </c>
      <c r="C3623" s="1"/>
      <c r="D3623" s="2" t="s">
        <v>32</v>
      </c>
      <c r="E3623" s="3" t="str">
        <f>IF(ISERROR(VLOOKUP(B3623,Failures!$A$1:$A$4000,1,FALSE)),"Keep","Delete")</f>
        <v>Keep</v>
      </c>
      <c r="F3623" t="str">
        <f>IF(ISNUMBER(SEARCH("#",B3623)), LEFT(B3623,FIND("#",B3623)-1), B3623)</f>
        <v xml:space="preserve">Foreclosure Sign </v>
      </c>
      <c r="G3623" s="26">
        <f>IF(ISNUMBER(SEARCH("#",B3623)),VALUE(MID(B3623,FIND("#",B3623)+1,1000)),1)</f>
        <v>3</v>
      </c>
      <c r="H3623" t="str">
        <f>IF(AND(regexMatch(B3623,".*#[0-9]*$"),ISNUMBER(SEARCH("#",B3623))),CONCATENATE(TRIM(F3623)," #",G3623),B3623)</f>
        <v>Foreclosure Sign #3</v>
      </c>
    </row>
    <row r="3624" spans="1:8" ht="15.75" thickBot="1" x14ac:dyDescent="0.3">
      <c r="A3624" s="1" t="s">
        <v>5573</v>
      </c>
      <c r="B3624" s="1" t="s">
        <v>9988</v>
      </c>
      <c r="C3624" s="1"/>
      <c r="D3624" s="2" t="s">
        <v>32</v>
      </c>
      <c r="E3624" s="3" t="str">
        <f>IF(ISERROR(VLOOKUP(B3624,Failures!$A$1:$A$4000,1,FALSE)),"Keep","Delete")</f>
        <v>Keep</v>
      </c>
      <c r="F3624" t="str">
        <f>IF(ISNUMBER(SEARCH("#",B3624)), LEFT(B3624,FIND("#",B3624)-1), B3624)</f>
        <v xml:space="preserve">Foreclosure Sign </v>
      </c>
      <c r="G3624" s="26">
        <f>IF(ISNUMBER(SEARCH("#",B3624)),VALUE(MID(B3624,FIND("#",B3624)+1,1000)),1)</f>
        <v>4</v>
      </c>
      <c r="H3624" t="str">
        <f>IF(AND(regexMatch(B3624,".*#[0-9]*$"),ISNUMBER(SEARCH("#",B3624))),CONCATENATE(TRIM(F3624)," #",G3624),B3624)</f>
        <v>Foreclosure Sign #4</v>
      </c>
    </row>
    <row r="3625" spans="1:8" ht="15.75" thickBot="1" x14ac:dyDescent="0.3">
      <c r="A3625" s="1" t="s">
        <v>5572</v>
      </c>
      <c r="B3625" s="1" t="s">
        <v>9989</v>
      </c>
      <c r="C3625" s="1"/>
      <c r="D3625" s="2" t="s">
        <v>32</v>
      </c>
      <c r="E3625" s="3" t="str">
        <f>IF(ISERROR(VLOOKUP(B3625,Failures!$A$1:$A$4000,1,FALSE)),"Keep","Delete")</f>
        <v>Keep</v>
      </c>
      <c r="F3625" t="str">
        <f>IF(ISNUMBER(SEARCH("#",B3625)), LEFT(B3625,FIND("#",B3625)-1), B3625)</f>
        <v xml:space="preserve">Foreclosure Sign </v>
      </c>
      <c r="G3625" s="26">
        <f>IF(ISNUMBER(SEARCH("#",B3625)),VALUE(MID(B3625,FIND("#",B3625)+1,1000)),1)</f>
        <v>5</v>
      </c>
      <c r="H3625" t="str">
        <f>IF(AND(regexMatch(B3625,".*#[0-9]*$"),ISNUMBER(SEARCH("#",B3625))),CONCATENATE(TRIM(F3625)," #",G3625),B3625)</f>
        <v>Foreclosure Sign #5</v>
      </c>
    </row>
    <row r="3626" spans="1:8" ht="15.75" thickBot="1" x14ac:dyDescent="0.3">
      <c r="A3626" s="1" t="s">
        <v>5571</v>
      </c>
      <c r="B3626" s="1" t="s">
        <v>9990</v>
      </c>
      <c r="C3626" s="1"/>
      <c r="D3626" s="2" t="s">
        <v>32</v>
      </c>
      <c r="E3626" s="3" t="str">
        <f>IF(ISERROR(VLOOKUP(B3626,Failures!$A$1:$A$4000,1,FALSE)),"Keep","Delete")</f>
        <v>Keep</v>
      </c>
      <c r="F3626" t="str">
        <f>IF(ISNUMBER(SEARCH("#",B3626)), LEFT(B3626,FIND("#",B3626)-1), B3626)</f>
        <v xml:space="preserve">Foreclosure Sign </v>
      </c>
      <c r="G3626" s="26">
        <f>IF(ISNUMBER(SEARCH("#",B3626)),VALUE(MID(B3626,FIND("#",B3626)+1,1000)),1)</f>
        <v>6</v>
      </c>
      <c r="H3626" t="str">
        <f>IF(AND(regexMatch(B3626,".*#[0-9]*$"),ISNUMBER(SEARCH("#",B3626))),CONCATENATE(TRIM(F3626)," #",G3626),B3626)</f>
        <v>Foreclosure Sign #6</v>
      </c>
    </row>
    <row r="3627" spans="1:8" ht="15.75" thickBot="1" x14ac:dyDescent="0.3">
      <c r="A3627" s="1" t="s">
        <v>5570</v>
      </c>
      <c r="B3627" s="1" t="s">
        <v>9991</v>
      </c>
      <c r="C3627" s="1"/>
      <c r="D3627" s="2" t="s">
        <v>32</v>
      </c>
      <c r="E3627" s="3" t="str">
        <f>IF(ISERROR(VLOOKUP(B3627,Failures!$A$1:$A$4000,1,FALSE)),"Keep","Delete")</f>
        <v>Keep</v>
      </c>
      <c r="F3627" t="str">
        <f>IF(ISNUMBER(SEARCH("#",B3627)), LEFT(B3627,FIND("#",B3627)-1), B3627)</f>
        <v xml:space="preserve">Foreclosure Sign </v>
      </c>
      <c r="G3627" s="26">
        <f>IF(ISNUMBER(SEARCH("#",B3627)),VALUE(MID(B3627,FIND("#",B3627)+1,1000)),1)</f>
        <v>7</v>
      </c>
      <c r="H3627" t="str">
        <f>IF(AND(regexMatch(B3627,".*#[0-9]*$"),ISNUMBER(SEARCH("#",B3627))),CONCATENATE(TRIM(F3627)," #",G3627),B3627)</f>
        <v>Foreclosure Sign #7</v>
      </c>
    </row>
    <row r="3628" spans="1:8" ht="15.75" thickBot="1" x14ac:dyDescent="0.3">
      <c r="A3628" s="1" t="s">
        <v>5568</v>
      </c>
      <c r="B3628" s="1" t="s">
        <v>9993</v>
      </c>
      <c r="C3628" s="1"/>
      <c r="D3628" s="2" t="s">
        <v>32</v>
      </c>
      <c r="E3628" s="3" t="str">
        <f>IF(ISERROR(VLOOKUP(B3628,Failures!$A$1:$A$4000,1,FALSE)),"Keep","Delete")</f>
        <v>Keep</v>
      </c>
      <c r="F3628" t="str">
        <f>IF(ISNUMBER(SEARCH("#",B3628)), LEFT(B3628,FIND("#",B3628)-1), B3628)</f>
        <v xml:space="preserve">Foreclosure Sign </v>
      </c>
      <c r="G3628" s="26">
        <f>IF(ISNUMBER(SEARCH("#",B3628)),VALUE(MID(B3628,FIND("#",B3628)+1,1000)),1)</f>
        <v>8</v>
      </c>
      <c r="H3628" t="str">
        <f>IF(AND(regexMatch(B3628,".*#[0-9]*$"),ISNUMBER(SEARCH("#",B3628))),CONCATENATE(TRIM(F3628)," #",G3628),B3628)</f>
        <v>Foreclosure Sign #8</v>
      </c>
    </row>
    <row r="3629" spans="1:8" ht="15.75" thickBot="1" x14ac:dyDescent="0.3">
      <c r="A3629" s="1" t="s">
        <v>5567</v>
      </c>
      <c r="B3629" s="1" t="s">
        <v>9994</v>
      </c>
      <c r="C3629" s="1"/>
      <c r="D3629" s="2" t="s">
        <v>32</v>
      </c>
      <c r="E3629" s="3" t="str">
        <f>IF(ISERROR(VLOOKUP(B3629,Failures!$A$1:$A$4000,1,FALSE)),"Keep","Delete")</f>
        <v>Keep</v>
      </c>
      <c r="F3629" t="str">
        <f>IF(ISNUMBER(SEARCH("#",B3629)), LEFT(B3629,FIND("#",B3629)-1), B3629)</f>
        <v xml:space="preserve">Foreclosure Sign </v>
      </c>
      <c r="G3629" s="26">
        <f>IF(ISNUMBER(SEARCH("#",B3629)),VALUE(MID(B3629,FIND("#",B3629)+1,1000)),1)</f>
        <v>9</v>
      </c>
      <c r="H3629" t="str">
        <f>IF(AND(regexMatch(B3629,".*#[0-9]*$"),ISNUMBER(SEARCH("#",B3629))),CONCATENATE(TRIM(F3629)," #",G3629),B3629)</f>
        <v>Foreclosure Sign #9</v>
      </c>
    </row>
    <row r="3630" spans="1:8" ht="15.75" thickBot="1" x14ac:dyDescent="0.3">
      <c r="A3630" s="1" t="s">
        <v>5378</v>
      </c>
      <c r="B3630" s="1" t="s">
        <v>10012</v>
      </c>
      <c r="C3630" s="1"/>
      <c r="D3630" s="2" t="s">
        <v>32</v>
      </c>
      <c r="E3630" s="3" t="str">
        <f>IF(ISERROR(VLOOKUP(B3630,Failures!$A$1:$A$4000,1,FALSE)),"Keep","Delete")</f>
        <v>Keep</v>
      </c>
      <c r="F3630" t="str">
        <f>IF(ISNUMBER(SEARCH("#",B3630)), LEFT(B3630,FIND("#",B3630)-1), B3630)</f>
        <v>Fruit Sign</v>
      </c>
      <c r="G3630" s="26">
        <f>IF(ISNUMBER(SEARCH("#",B3630)),VALUE(MID(B3630,FIND("#",B3630)+1,1000)),1)</f>
        <v>1</v>
      </c>
      <c r="H3630" t="str">
        <f>IF(AND(regexMatch(B3630,".*#[0-9]*$"),ISNUMBER(SEARCH("#",B3630))),CONCATENATE(TRIM(F3630)," #",G3630),B3630)</f>
        <v>Fruit Sign</v>
      </c>
    </row>
    <row r="3631" spans="1:8" ht="15.75" thickBot="1" x14ac:dyDescent="0.3">
      <c r="A3631" s="1" t="s">
        <v>5758</v>
      </c>
      <c r="B3631" s="1" t="s">
        <v>10064</v>
      </c>
      <c r="C3631" s="1"/>
      <c r="D3631" s="2" t="s">
        <v>32</v>
      </c>
      <c r="E3631" s="3" t="str">
        <f>IF(ISERROR(VLOOKUP(B3631,Failures!$A$1:$A$4000,1,FALSE)),"Keep","Delete")</f>
        <v>Keep</v>
      </c>
      <c r="F3631" t="str">
        <f>IF(ISNUMBER(SEARCH("#",B3631)), LEFT(B3631,FIND("#",B3631)-1), B3631)</f>
        <v>Giant Orange</v>
      </c>
      <c r="G3631" s="26">
        <f>IF(ISNUMBER(SEARCH("#",B3631)),VALUE(MID(B3631,FIND("#",B3631)+1,1000)),1)</f>
        <v>1</v>
      </c>
      <c r="H3631" t="str">
        <f>IF(AND(regexMatch(B3631,".*#[0-9]*$"),ISNUMBER(SEARCH("#",B3631))),CONCATENATE(TRIM(F3631)," #",G3631),B3631)</f>
        <v>Giant Orange</v>
      </c>
    </row>
    <row r="3632" spans="1:8" ht="15.75" thickBot="1" x14ac:dyDescent="0.3">
      <c r="A3632" s="1" t="s">
        <v>2031</v>
      </c>
      <c r="B3632" s="1" t="s">
        <v>2032</v>
      </c>
      <c r="C3632" s="4" t="s">
        <v>145</v>
      </c>
      <c r="D3632" s="2" t="s">
        <v>32</v>
      </c>
      <c r="E3632" s="3" t="str">
        <f>IF(ISERROR(VLOOKUP(B3632,Failures!$A$1:$A$4000,1,FALSE)),"Keep","Delete")</f>
        <v>Keep</v>
      </c>
      <c r="F3632" t="str">
        <f>IF(ISNUMBER(SEARCH("#",B3632)), LEFT(B3632,FIND("#",B3632)-1), B3632)</f>
        <v>Life Invader Logo Black Full</v>
      </c>
      <c r="G3632" s="26">
        <f>IF(ISNUMBER(SEARCH("#",B3632)),VALUE(MID(B3632,FIND("#",B3632)+1,1000)),1)</f>
        <v>1</v>
      </c>
      <c r="H3632" t="str">
        <f>IF(AND(regexMatch(B3632,".*#[0-9]*$"),ISNUMBER(SEARCH("#",B3632))),CONCATENATE(TRIM(F3632)," #",G3632),B3632)</f>
        <v>Life Invader Logo Black Full</v>
      </c>
    </row>
    <row r="3633" spans="1:8" ht="15.75" thickBot="1" x14ac:dyDescent="0.3">
      <c r="A3633" s="1" t="s">
        <v>2027</v>
      </c>
      <c r="B3633" s="1" t="s">
        <v>2028</v>
      </c>
      <c r="C3633" s="4" t="s">
        <v>145</v>
      </c>
      <c r="D3633" s="2" t="s">
        <v>32</v>
      </c>
      <c r="E3633" s="3" t="str">
        <f>IF(ISERROR(VLOOKUP(B3633,Failures!$A$1:$A$4000,1,FALSE)),"Keep","Delete")</f>
        <v>Keep</v>
      </c>
      <c r="F3633" t="str">
        <f>IF(ISNUMBER(SEARCH("#",B3633)), LEFT(B3633,FIND("#",B3633)-1), B3633)</f>
        <v>Life Invader Logo Black L</v>
      </c>
      <c r="G3633" s="26">
        <f>IF(ISNUMBER(SEARCH("#",B3633)),VALUE(MID(B3633,FIND("#",B3633)+1,1000)),1)</f>
        <v>1</v>
      </c>
      <c r="H3633" t="str">
        <f>IF(AND(regexMatch(B3633,".*#[0-9]*$"),ISNUMBER(SEARCH("#",B3633))),CONCATENATE(TRIM(F3633)," #",G3633),B3633)</f>
        <v>Life Invader Logo Black L</v>
      </c>
    </row>
    <row r="3634" spans="1:8" ht="15.75" thickBot="1" x14ac:dyDescent="0.3">
      <c r="A3634" s="1" t="s">
        <v>2033</v>
      </c>
      <c r="B3634" s="1" t="s">
        <v>2034</v>
      </c>
      <c r="C3634" s="4" t="s">
        <v>145</v>
      </c>
      <c r="D3634" s="2" t="s">
        <v>32</v>
      </c>
      <c r="E3634" s="3" t="str">
        <f>IF(ISERROR(VLOOKUP(B3634,Failures!$A$1:$A$4000,1,FALSE)),"Keep","Delete")</f>
        <v>Keep</v>
      </c>
      <c r="F3634" t="str">
        <f>IF(ISNUMBER(SEARCH("#",B3634)), LEFT(B3634,FIND("#",B3634)-1), B3634)</f>
        <v>Life Invader Logo Red Full</v>
      </c>
      <c r="G3634" s="26">
        <f>IF(ISNUMBER(SEARCH("#",B3634)),VALUE(MID(B3634,FIND("#",B3634)+1,1000)),1)</f>
        <v>1</v>
      </c>
      <c r="H3634" t="str">
        <f>IF(AND(regexMatch(B3634,".*#[0-9]*$"),ISNUMBER(SEARCH("#",B3634))),CONCATENATE(TRIM(F3634)," #",G3634),B3634)</f>
        <v>Life Invader Logo Red Full</v>
      </c>
    </row>
    <row r="3635" spans="1:8" ht="15.75" thickBot="1" x14ac:dyDescent="0.3">
      <c r="A3635" s="1" t="s">
        <v>2029</v>
      </c>
      <c r="B3635" s="1" t="s">
        <v>2030</v>
      </c>
      <c r="C3635" s="4" t="s">
        <v>145</v>
      </c>
      <c r="D3635" s="2" t="s">
        <v>32</v>
      </c>
      <c r="E3635" s="3" t="str">
        <f>IF(ISERROR(VLOOKUP(B3635,Failures!$A$1:$A$4000,1,FALSE)),"Keep","Delete")</f>
        <v>Keep</v>
      </c>
      <c r="F3635" t="str">
        <f>IF(ISNUMBER(SEARCH("#",B3635)), LEFT(B3635,FIND("#",B3635)-1), B3635)</f>
        <v>Life Invader Logo Red L</v>
      </c>
      <c r="G3635" s="26">
        <f>IF(ISNUMBER(SEARCH("#",B3635)),VALUE(MID(B3635,FIND("#",B3635)+1,1000)),1)</f>
        <v>1</v>
      </c>
      <c r="H3635" t="str">
        <f>IF(AND(regexMatch(B3635,".*#[0-9]*$"),ISNUMBER(SEARCH("#",B3635))),CONCATENATE(TRIM(F3635)," #",G3635),B3635)</f>
        <v>Life Invader Logo Red L</v>
      </c>
    </row>
    <row r="3636" spans="1:8" ht="15.75" thickBot="1" x14ac:dyDescent="0.3">
      <c r="A3636" s="1" t="s">
        <v>293</v>
      </c>
      <c r="B3636" s="1" t="s">
        <v>294</v>
      </c>
      <c r="C3636" s="2" t="s">
        <v>5</v>
      </c>
      <c r="D3636" s="2" t="s">
        <v>32</v>
      </c>
      <c r="E3636" s="3" t="str">
        <f>IF(ISERROR(VLOOKUP(B3636,Failures!$A$1:$A$4000,1,FALSE)),"Keep","Delete")</f>
        <v>Keep</v>
      </c>
      <c r="F3636" t="str">
        <f>IF(ISNUMBER(SEARCH("#",B3636)), LEFT(B3636,FIND("#",B3636)-1), B3636)</f>
        <v>Neon Sign: Liquor</v>
      </c>
      <c r="G3636" s="26">
        <f>IF(ISNUMBER(SEARCH("#",B3636)),VALUE(MID(B3636,FIND("#",B3636)+1,1000)),1)</f>
        <v>1</v>
      </c>
      <c r="H3636" t="str">
        <f>IF(AND(regexMatch(B3636,".*#[0-9]*$"),ISNUMBER(SEARCH("#",B3636))),CONCATENATE(TRIM(F3636)," #",G3636),B3636)</f>
        <v>Neon Sign: Liquor</v>
      </c>
    </row>
    <row r="3637" spans="1:8" ht="15.75" thickBot="1" x14ac:dyDescent="0.3">
      <c r="A3637" s="1" t="s">
        <v>2359</v>
      </c>
      <c r="B3637" s="1" t="s">
        <v>2360</v>
      </c>
      <c r="C3637" s="2" t="s">
        <v>5</v>
      </c>
      <c r="D3637" s="2" t="s">
        <v>32</v>
      </c>
      <c r="E3637" s="3" t="str">
        <f>IF(ISERROR(VLOOKUP(B3637,Failures!$A$1:$A$4000,1,FALSE)),"Keep","Delete")</f>
        <v>Keep</v>
      </c>
      <c r="F3637" t="str">
        <f>IF(ISNUMBER(SEARCH("#",B3637)), LEFT(B3637,FIND("#",B3637)-1), B3637)</f>
        <v xml:space="preserve">Parking Sign </v>
      </c>
      <c r="G3637" s="26">
        <f>IF(ISNUMBER(SEARCH("#",B3637)),VALUE(MID(B3637,FIND("#",B3637)+1,1000)),1)</f>
        <v>1</v>
      </c>
      <c r="H3637" t="str">
        <f>IF(AND(regexMatch(B3637,".*#[0-9]*$"),ISNUMBER(SEARCH("#",B3637))),CONCATENATE(TRIM(F3637)," #",G3637),B3637)</f>
        <v>Parking Sign #1</v>
      </c>
    </row>
    <row r="3638" spans="1:8" ht="15.75" thickBot="1" x14ac:dyDescent="0.3">
      <c r="A3638" s="1" t="s">
        <v>2361</v>
      </c>
      <c r="B3638" s="1" t="s">
        <v>2362</v>
      </c>
      <c r="C3638" s="2" t="s">
        <v>5</v>
      </c>
      <c r="D3638" s="2" t="s">
        <v>32</v>
      </c>
      <c r="E3638" s="3" t="str">
        <f>IF(ISERROR(VLOOKUP(B3638,Failures!$A$1:$A$4000,1,FALSE)),"Keep","Delete")</f>
        <v>Keep</v>
      </c>
      <c r="F3638" t="str">
        <f>IF(ISNUMBER(SEARCH("#",B3638)), LEFT(B3638,FIND("#",B3638)-1), B3638)</f>
        <v xml:space="preserve">Parking Sign </v>
      </c>
      <c r="G3638" s="26">
        <f>IF(ISNUMBER(SEARCH("#",B3638)),VALUE(MID(B3638,FIND("#",B3638)+1,1000)),1)</f>
        <v>2</v>
      </c>
      <c r="H3638" t="str">
        <f>IF(AND(regexMatch(B3638,".*#[0-9]*$"),ISNUMBER(SEARCH("#",B3638))),CONCATENATE(TRIM(F3638)," #",G3638),B3638)</f>
        <v>Parking Sign #2</v>
      </c>
    </row>
    <row r="3639" spans="1:8" ht="15.75" thickBot="1" x14ac:dyDescent="0.3">
      <c r="A3639" s="1" t="s">
        <v>2417</v>
      </c>
      <c r="B3639" s="1" t="s">
        <v>3827</v>
      </c>
      <c r="C3639" s="2" t="s">
        <v>5</v>
      </c>
      <c r="D3639" s="2" t="s">
        <v>32</v>
      </c>
      <c r="E3639" s="3" t="str">
        <f>IF(ISERROR(VLOOKUP(B3639,Failures!$A$1:$A$4000,1,FALSE)),"Keep","Delete")</f>
        <v>Keep</v>
      </c>
      <c r="F3639" t="str">
        <f>IF(ISNUMBER(SEARCH("#",B3639)), LEFT(B3639,FIND("#",B3639)-1), B3639)</f>
        <v>Pharmacy Sign</v>
      </c>
      <c r="G3639" s="26">
        <f>IF(ISNUMBER(SEARCH("#",B3639)),VALUE(MID(B3639,FIND("#",B3639)+1,1000)),1)</f>
        <v>1</v>
      </c>
      <c r="H3639" t="str">
        <f>IF(AND(regexMatch(B3639,".*#[0-9]*$"),ISNUMBER(SEARCH("#",B3639))),CONCATENATE(TRIM(F3639)," #",G3639),B3639)</f>
        <v>Pharmacy Sign</v>
      </c>
    </row>
    <row r="3640" spans="1:8" ht="15.75" thickBot="1" x14ac:dyDescent="0.3">
      <c r="A3640" s="1" t="s">
        <v>1072</v>
      </c>
      <c r="B3640" s="1" t="s">
        <v>1073</v>
      </c>
      <c r="C3640" s="2" t="s">
        <v>5</v>
      </c>
      <c r="D3640" s="2" t="s">
        <v>32</v>
      </c>
      <c r="E3640" s="3" t="str">
        <f>IF(ISERROR(VLOOKUP(B3640,Failures!$A$1:$A$4000,1,FALSE)),"Keep","Delete")</f>
        <v>Keep</v>
      </c>
      <c r="F3640" t="str">
        <f>IF(ISNUMBER(SEARCH("#",B3640)), LEFT(B3640,FIND("#",B3640)-1), B3640)</f>
        <v xml:space="preserve">Protest Sign </v>
      </c>
      <c r="G3640" s="26">
        <f>IF(ISNUMBER(SEARCH("#",B3640)),VALUE(MID(B3640,FIND("#",B3640)+1,1000)),1)</f>
        <v>1</v>
      </c>
      <c r="H3640" t="str">
        <f>IF(AND(regexMatch(B3640,".*#[0-9]*$"),ISNUMBER(SEARCH("#",B3640))),CONCATENATE(TRIM(F3640)," #",G3640),B3640)</f>
        <v>Protest Sign #1</v>
      </c>
    </row>
    <row r="3641" spans="1:8" ht="15.75" thickBot="1" x14ac:dyDescent="0.3">
      <c r="A3641" s="1" t="s">
        <v>1074</v>
      </c>
      <c r="B3641" s="1" t="s">
        <v>1075</v>
      </c>
      <c r="C3641" s="2" t="s">
        <v>5</v>
      </c>
      <c r="D3641" s="2" t="s">
        <v>32</v>
      </c>
      <c r="E3641" s="3" t="str">
        <f>IF(ISERROR(VLOOKUP(B3641,Failures!$A$1:$A$4000,1,FALSE)),"Keep","Delete")</f>
        <v>Keep</v>
      </c>
      <c r="F3641" t="str">
        <f>IF(ISNUMBER(SEARCH("#",B3641)), LEFT(B3641,FIND("#",B3641)-1), B3641)</f>
        <v xml:space="preserve">Protest Sign </v>
      </c>
      <c r="G3641" s="26">
        <f>IF(ISNUMBER(SEARCH("#",B3641)),VALUE(MID(B3641,FIND("#",B3641)+1,1000)),1)</f>
        <v>2</v>
      </c>
      <c r="H3641" t="str">
        <f>IF(AND(regexMatch(B3641,".*#[0-9]*$"),ISNUMBER(SEARCH("#",B3641))),CONCATENATE(TRIM(F3641)," #",G3641),B3641)</f>
        <v>Protest Sign #2</v>
      </c>
    </row>
    <row r="3642" spans="1:8" ht="15.75" thickBot="1" x14ac:dyDescent="0.3">
      <c r="A3642" s="1" t="s">
        <v>2604</v>
      </c>
      <c r="B3642" s="1" t="s">
        <v>1078</v>
      </c>
      <c r="C3642" s="2" t="s">
        <v>5</v>
      </c>
      <c r="D3642" s="2" t="s">
        <v>32</v>
      </c>
      <c r="E3642" s="3" t="str">
        <f>IF(ISERROR(VLOOKUP(B3642,Failures!$A$1:$A$4000,1,FALSE)),"Keep","Delete")</f>
        <v>Keep</v>
      </c>
      <c r="F3642" t="str">
        <f>IF(ISNUMBER(SEARCH("#",B3642)), LEFT(B3642,FIND("#",B3642)-1), B3642)</f>
        <v xml:space="preserve">Protest Sign </v>
      </c>
      <c r="G3642" s="26">
        <f>IF(ISNUMBER(SEARCH("#",B3642)),VALUE(MID(B3642,FIND("#",B3642)+1,1000)),1)</f>
        <v>3</v>
      </c>
      <c r="H3642" t="str">
        <f>IF(AND(regexMatch(B3642,".*#[0-9]*$"),ISNUMBER(SEARCH("#",B3642))),CONCATENATE(TRIM(F3642)," #",G3642),B3642)</f>
        <v>Protest Sign #3</v>
      </c>
    </row>
    <row r="3643" spans="1:8" ht="15.75" thickBot="1" x14ac:dyDescent="0.3">
      <c r="A3643" s="1" t="s">
        <v>1076</v>
      </c>
      <c r="B3643" s="1" t="s">
        <v>3839</v>
      </c>
      <c r="C3643" s="2" t="s">
        <v>5</v>
      </c>
      <c r="D3643" s="2" t="s">
        <v>32</v>
      </c>
      <c r="E3643" s="3" t="str">
        <f>IF(ISERROR(VLOOKUP(B3643,Failures!$A$1:$A$4000,1,FALSE)),"Keep","Delete")</f>
        <v>Keep</v>
      </c>
      <c r="F3643" t="str">
        <f>IF(ISNUMBER(SEARCH("#",B3643)), LEFT(B3643,FIND("#",B3643)-1), B3643)</f>
        <v xml:space="preserve">Protest Sign </v>
      </c>
      <c r="G3643" s="26">
        <f>IF(ISNUMBER(SEARCH("#",B3643)),VALUE(MID(B3643,FIND("#",B3643)+1,1000)),1)</f>
        <v>4</v>
      </c>
      <c r="H3643" t="str">
        <f>IF(AND(regexMatch(B3643,".*#[0-9]*$"),ISNUMBER(SEARCH("#",B3643))),CONCATENATE(TRIM(F3643)," #",G3643),B3643)</f>
        <v>Protest Sign #4</v>
      </c>
    </row>
    <row r="3644" spans="1:8" ht="15.75" thickBot="1" x14ac:dyDescent="0.3">
      <c r="A3644" s="1" t="s">
        <v>1077</v>
      </c>
      <c r="B3644" s="1" t="s">
        <v>3840</v>
      </c>
      <c r="C3644" s="2" t="s">
        <v>5</v>
      </c>
      <c r="D3644" s="2" t="s">
        <v>32</v>
      </c>
      <c r="E3644" s="3" t="str">
        <f>IF(ISERROR(VLOOKUP(B3644,Failures!$A$1:$A$4000,1,FALSE)),"Keep","Delete")</f>
        <v>Keep</v>
      </c>
      <c r="F3644" t="str">
        <f>IF(ISNUMBER(SEARCH("#",B3644)), LEFT(B3644,FIND("#",B3644)-1), B3644)</f>
        <v xml:space="preserve">Protest Sign </v>
      </c>
      <c r="G3644" s="26">
        <f>IF(ISNUMBER(SEARCH("#",B3644)),VALUE(MID(B3644,FIND("#",B3644)+1,1000)),1)</f>
        <v>5</v>
      </c>
      <c r="H3644" t="str">
        <f>IF(AND(regexMatch(B3644,".*#[0-9]*$"),ISNUMBER(SEARCH("#",B3644))),CONCATENATE(TRIM(F3644)," #",G3644),B3644)</f>
        <v>Protest Sign #5</v>
      </c>
    </row>
    <row r="3645" spans="1:8" ht="15.75" thickBot="1" x14ac:dyDescent="0.3">
      <c r="A3645" s="1" t="s">
        <v>1079</v>
      </c>
      <c r="B3645" s="1" t="s">
        <v>3841</v>
      </c>
      <c r="C3645" s="2" t="s">
        <v>5</v>
      </c>
      <c r="D3645" s="2" t="s">
        <v>32</v>
      </c>
      <c r="E3645" s="3" t="str">
        <f>IF(ISERROR(VLOOKUP(B3645,Failures!$A$1:$A$4000,1,FALSE)),"Keep","Delete")</f>
        <v>Keep</v>
      </c>
      <c r="F3645" t="str">
        <f>IF(ISNUMBER(SEARCH("#",B3645)), LEFT(B3645,FIND("#",B3645)-1), B3645)</f>
        <v xml:space="preserve">Protest Sign </v>
      </c>
      <c r="G3645" s="26">
        <f>IF(ISNUMBER(SEARCH("#",B3645)),VALUE(MID(B3645,FIND("#",B3645)+1,1000)),1)</f>
        <v>6</v>
      </c>
      <c r="H3645" t="str">
        <f>IF(AND(regexMatch(B3645,".*#[0-9]*$"),ISNUMBER(SEARCH("#",B3645))),CONCATENATE(TRIM(F3645)," #",G3645),B3645)</f>
        <v>Protest Sign #6</v>
      </c>
    </row>
    <row r="3646" spans="1:8" ht="15.75" thickBot="1" x14ac:dyDescent="0.3">
      <c r="A3646" s="1" t="s">
        <v>1080</v>
      </c>
      <c r="B3646" s="1" t="s">
        <v>3842</v>
      </c>
      <c r="C3646" s="2" t="s">
        <v>5</v>
      </c>
      <c r="D3646" s="2" t="s">
        <v>32</v>
      </c>
      <c r="E3646" s="3" t="str">
        <f>IF(ISERROR(VLOOKUP(B3646,Failures!$A$1:$A$4000,1,FALSE)),"Keep","Delete")</f>
        <v>Keep</v>
      </c>
      <c r="F3646" t="str">
        <f>IF(ISNUMBER(SEARCH("#",B3646)), LEFT(B3646,FIND("#",B3646)-1), B3646)</f>
        <v xml:space="preserve">Protest Sign </v>
      </c>
      <c r="G3646" s="26">
        <f>IF(ISNUMBER(SEARCH("#",B3646)),VALUE(MID(B3646,FIND("#",B3646)+1,1000)),1)</f>
        <v>7</v>
      </c>
      <c r="H3646" t="str">
        <f>IF(AND(regexMatch(B3646,".*#[0-9]*$"),ISNUMBER(SEARCH("#",B3646))),CONCATENATE(TRIM(F3646)," #",G3646),B3646)</f>
        <v>Protest Sign #7</v>
      </c>
    </row>
    <row r="3647" spans="1:8" ht="15.75" thickBot="1" x14ac:dyDescent="0.3">
      <c r="A3647" s="1" t="s">
        <v>5787</v>
      </c>
      <c r="B3647" s="1" t="s">
        <v>9752</v>
      </c>
      <c r="C3647" s="1"/>
      <c r="D3647" s="2" t="s">
        <v>32</v>
      </c>
      <c r="E3647" s="3" t="str">
        <f>IF(ISERROR(VLOOKUP(B3647,Failures!$A$1:$A$4000,1,FALSE)),"Keep","Delete")</f>
        <v>Keep</v>
      </c>
      <c r="F3647" t="str">
        <f>IF(ISNUMBER(SEARCH("#",B3647)), LEFT(B3647,FIND("#",B3647)-1), B3647)</f>
        <v xml:space="preserve">Safety Warning Sign </v>
      </c>
      <c r="G3647" s="26">
        <f>IF(ISNUMBER(SEARCH("#",B3647)),VALUE(MID(B3647,FIND("#",B3647)+1,1000)),1)</f>
        <v>1</v>
      </c>
      <c r="H3647" t="str">
        <f>IF(AND(regexMatch(B3647,".*#[0-9]*$"),ISNUMBER(SEARCH("#",B3647))),CONCATENATE(TRIM(F3647)," #",G3647),B3647)</f>
        <v>Safety Warning Sign #1</v>
      </c>
    </row>
    <row r="3648" spans="1:8" ht="15.75" thickBot="1" x14ac:dyDescent="0.3">
      <c r="A3648" s="1" t="s">
        <v>5786</v>
      </c>
      <c r="B3648" s="1" t="s">
        <v>9753</v>
      </c>
      <c r="C3648" s="1"/>
      <c r="D3648" s="2" t="s">
        <v>32</v>
      </c>
      <c r="E3648" s="3" t="str">
        <f>IF(ISERROR(VLOOKUP(B3648,Failures!$A$1:$A$4000,1,FALSE)),"Keep","Delete")</f>
        <v>Keep</v>
      </c>
      <c r="F3648" t="str">
        <f>IF(ISNUMBER(SEARCH("#",B3648)), LEFT(B3648,FIND("#",B3648)-1), B3648)</f>
        <v xml:space="preserve">Safety Warning Sign </v>
      </c>
      <c r="G3648" s="26">
        <f>IF(ISNUMBER(SEARCH("#",B3648)),VALUE(MID(B3648,FIND("#",B3648)+1,1000)),1)</f>
        <v>2</v>
      </c>
      <c r="H3648" t="str">
        <f>IF(AND(regexMatch(B3648,".*#[0-9]*$"),ISNUMBER(SEARCH("#",B3648))),CONCATENATE(TRIM(F3648)," #",G3648),B3648)</f>
        <v>Safety Warning Sign #2</v>
      </c>
    </row>
    <row r="3649" spans="1:8" ht="15.75" thickBot="1" x14ac:dyDescent="0.3">
      <c r="A3649" s="1" t="s">
        <v>5785</v>
      </c>
      <c r="B3649" s="1" t="s">
        <v>9754</v>
      </c>
      <c r="C3649" s="1"/>
      <c r="D3649" s="2" t="s">
        <v>32</v>
      </c>
      <c r="E3649" s="3" t="str">
        <f>IF(ISERROR(VLOOKUP(B3649,Failures!$A$1:$A$4000,1,FALSE)),"Keep","Delete")</f>
        <v>Keep</v>
      </c>
      <c r="F3649" t="str">
        <f>IF(ISNUMBER(SEARCH("#",B3649)), LEFT(B3649,FIND("#",B3649)-1), B3649)</f>
        <v xml:space="preserve">Safety Warning Sign </v>
      </c>
      <c r="G3649" s="26">
        <f>IF(ISNUMBER(SEARCH("#",B3649)),VALUE(MID(B3649,FIND("#",B3649)+1,1000)),1)</f>
        <v>3</v>
      </c>
      <c r="H3649" t="str">
        <f>IF(AND(regexMatch(B3649,".*#[0-9]*$"),ISNUMBER(SEARCH("#",B3649))),CONCATENATE(TRIM(F3649)," #",G3649),B3649)</f>
        <v>Safety Warning Sign #3</v>
      </c>
    </row>
    <row r="3650" spans="1:8" ht="15.75" thickBot="1" x14ac:dyDescent="0.3">
      <c r="A3650" s="1" t="s">
        <v>5781</v>
      </c>
      <c r="B3650" s="1" t="s">
        <v>9755</v>
      </c>
      <c r="C3650" s="1"/>
      <c r="D3650" s="2" t="s">
        <v>32</v>
      </c>
      <c r="E3650" s="3" t="str">
        <f>IF(ISERROR(VLOOKUP(B3650,Failures!$A$1:$A$4000,1,FALSE)),"Keep","Delete")</f>
        <v>Keep</v>
      </c>
      <c r="F3650" t="str">
        <f>IF(ISNUMBER(SEARCH("#",B3650)), LEFT(B3650,FIND("#",B3650)-1), B3650)</f>
        <v xml:space="preserve">Safety Warning Sign </v>
      </c>
      <c r="G3650" s="26">
        <f>IF(ISNUMBER(SEARCH("#",B3650)),VALUE(MID(B3650,FIND("#",B3650)+1,1000)),1)</f>
        <v>4</v>
      </c>
      <c r="H3650" t="str">
        <f>IF(AND(regexMatch(B3650,".*#[0-9]*$"),ISNUMBER(SEARCH("#",B3650))),CONCATENATE(TRIM(F3650)," #",G3650),B3650)</f>
        <v>Safety Warning Sign #4</v>
      </c>
    </row>
    <row r="3651" spans="1:8" ht="15.75" thickBot="1" x14ac:dyDescent="0.3">
      <c r="A3651" s="1" t="s">
        <v>5780</v>
      </c>
      <c r="B3651" s="1" t="s">
        <v>9756</v>
      </c>
      <c r="C3651" s="1"/>
      <c r="D3651" s="2" t="s">
        <v>32</v>
      </c>
      <c r="E3651" s="3" t="str">
        <f>IF(ISERROR(VLOOKUP(B3651,Failures!$A$1:$A$4000,1,FALSE)),"Keep","Delete")</f>
        <v>Keep</v>
      </c>
      <c r="F3651" t="str">
        <f>IF(ISNUMBER(SEARCH("#",B3651)), LEFT(B3651,FIND("#",B3651)-1), B3651)</f>
        <v xml:space="preserve">Safety Warning Sign </v>
      </c>
      <c r="G3651" s="26">
        <f>IF(ISNUMBER(SEARCH("#",B3651)),VALUE(MID(B3651,FIND("#",B3651)+1,1000)),1)</f>
        <v>5</v>
      </c>
      <c r="H3651" t="str">
        <f>IF(AND(regexMatch(B3651,".*#[0-9]*$"),ISNUMBER(SEARCH("#",B3651))),CONCATENATE(TRIM(F3651)," #",G3651),B3651)</f>
        <v>Safety Warning Sign #5</v>
      </c>
    </row>
    <row r="3652" spans="1:8" ht="15.75" thickBot="1" x14ac:dyDescent="0.3">
      <c r="A3652" s="1" t="s">
        <v>5779</v>
      </c>
      <c r="B3652" s="1" t="s">
        <v>9757</v>
      </c>
      <c r="C3652" s="1"/>
      <c r="D3652" s="2" t="s">
        <v>32</v>
      </c>
      <c r="E3652" s="3" t="str">
        <f>IF(ISERROR(VLOOKUP(B3652,Failures!$A$1:$A$4000,1,FALSE)),"Keep","Delete")</f>
        <v>Keep</v>
      </c>
      <c r="F3652" t="str">
        <f>IF(ISNUMBER(SEARCH("#",B3652)), LEFT(B3652,FIND("#",B3652)-1), B3652)</f>
        <v xml:space="preserve">Safety Warning Sign </v>
      </c>
      <c r="G3652" s="26">
        <f>IF(ISNUMBER(SEARCH("#",B3652)),VALUE(MID(B3652,FIND("#",B3652)+1,1000)),1)</f>
        <v>6</v>
      </c>
      <c r="H3652" t="str">
        <f>IF(AND(regexMatch(B3652,".*#[0-9]*$"),ISNUMBER(SEARCH("#",B3652))),CONCATENATE(TRIM(F3652)," #",G3652),B3652)</f>
        <v>Safety Warning Sign #6</v>
      </c>
    </row>
    <row r="3653" spans="1:8" ht="15.75" thickBot="1" x14ac:dyDescent="0.3">
      <c r="A3653" s="1" t="s">
        <v>5778</v>
      </c>
      <c r="B3653" s="1" t="s">
        <v>9758</v>
      </c>
      <c r="C3653" s="1"/>
      <c r="D3653" s="2" t="s">
        <v>32</v>
      </c>
      <c r="E3653" s="3" t="str">
        <f>IF(ISERROR(VLOOKUP(B3653,Failures!$A$1:$A$4000,1,FALSE)),"Keep","Delete")</f>
        <v>Keep</v>
      </c>
      <c r="F3653" t="str">
        <f>IF(ISNUMBER(SEARCH("#",B3653)), LEFT(B3653,FIND("#",B3653)-1), B3653)</f>
        <v xml:space="preserve">Safety Warning Sign </v>
      </c>
      <c r="G3653" s="26">
        <f>IF(ISNUMBER(SEARCH("#",B3653)),VALUE(MID(B3653,FIND("#",B3653)+1,1000)),1)</f>
        <v>7</v>
      </c>
      <c r="H3653" t="str">
        <f>IF(AND(regexMatch(B3653,".*#[0-9]*$"),ISNUMBER(SEARCH("#",B3653))),CONCATENATE(TRIM(F3653)," #",G3653),B3653)</f>
        <v>Safety Warning Sign #7</v>
      </c>
    </row>
    <row r="3654" spans="1:8" ht="15.75" thickBot="1" x14ac:dyDescent="0.3">
      <c r="A3654" s="1" t="s">
        <v>5777</v>
      </c>
      <c r="B3654" s="1" t="s">
        <v>9759</v>
      </c>
      <c r="C3654" s="1"/>
      <c r="D3654" s="2" t="s">
        <v>32</v>
      </c>
      <c r="E3654" s="3" t="str">
        <f>IF(ISERROR(VLOOKUP(B3654,Failures!$A$1:$A$4000,1,FALSE)),"Keep","Delete")</f>
        <v>Keep</v>
      </c>
      <c r="F3654" t="str">
        <f>IF(ISNUMBER(SEARCH("#",B3654)), LEFT(B3654,FIND("#",B3654)-1), B3654)</f>
        <v xml:space="preserve">Safety Warning Sign </v>
      </c>
      <c r="G3654" s="26">
        <f>IF(ISNUMBER(SEARCH("#",B3654)),VALUE(MID(B3654,FIND("#",B3654)+1,1000)),1)</f>
        <v>8</v>
      </c>
      <c r="H3654" t="str">
        <f>IF(AND(regexMatch(B3654,".*#[0-9]*$"),ISNUMBER(SEARCH("#",B3654))),CONCATENATE(TRIM(F3654)," #",G3654),B3654)</f>
        <v>Safety Warning Sign #8</v>
      </c>
    </row>
    <row r="3655" spans="1:8" ht="15.75" thickBot="1" x14ac:dyDescent="0.3">
      <c r="A3655" s="1" t="s">
        <v>5776</v>
      </c>
      <c r="B3655" s="1" t="s">
        <v>9760</v>
      </c>
      <c r="C3655" s="1"/>
      <c r="D3655" s="2" t="s">
        <v>32</v>
      </c>
      <c r="E3655" s="3" t="str">
        <f>IF(ISERROR(VLOOKUP(B3655,Failures!$A$1:$A$4000,1,FALSE)),"Keep","Delete")</f>
        <v>Keep</v>
      </c>
      <c r="F3655" t="str">
        <f>IF(ISNUMBER(SEARCH("#",B3655)), LEFT(B3655,FIND("#",B3655)-1), B3655)</f>
        <v xml:space="preserve">Safety Warning Sign </v>
      </c>
      <c r="G3655" s="26">
        <f>IF(ISNUMBER(SEARCH("#",B3655)),VALUE(MID(B3655,FIND("#",B3655)+1,1000)),1)</f>
        <v>9</v>
      </c>
      <c r="H3655" t="str">
        <f>IF(AND(regexMatch(B3655,".*#[0-9]*$"),ISNUMBER(SEARCH("#",B3655))),CONCATENATE(TRIM(F3655)," #",G3655),B3655)</f>
        <v>Safety Warning Sign #9</v>
      </c>
    </row>
    <row r="3656" spans="1:8" ht="15.75" thickBot="1" x14ac:dyDescent="0.3">
      <c r="A3656" s="1" t="s">
        <v>5600</v>
      </c>
      <c r="B3656" s="1" t="s">
        <v>10520</v>
      </c>
      <c r="C3656" s="1"/>
      <c r="D3656" s="2" t="s">
        <v>32</v>
      </c>
      <c r="E3656" s="3" t="str">
        <f>IF(ISERROR(VLOOKUP(B3656,Failures!$A$1:$A$4000,1,FALSE)),"Keep","Delete")</f>
        <v>Keep</v>
      </c>
      <c r="F3656" t="str">
        <f>IF(ISNUMBER(SEARCH("#",B3656)), LEFT(B3656,FIND("#",B3656)-1), B3656)</f>
        <v xml:space="preserve">Safety Warning Sign </v>
      </c>
      <c r="G3656" s="26">
        <v>10</v>
      </c>
      <c r="H3656" t="str">
        <f>IF(AND(regexMatch(B3656,".*#[0-9]*$"),ISNUMBER(SEARCH("#",B3656))),CONCATENATE(TRIM(F3656)," #",G3656),B3656)</f>
        <v>Safety Warning Sign #10</v>
      </c>
    </row>
    <row r="3657" spans="1:8" ht="15.75" thickBot="1" x14ac:dyDescent="0.3">
      <c r="A3657" s="1" t="s">
        <v>30</v>
      </c>
      <c r="B3657" s="1" t="s">
        <v>31</v>
      </c>
      <c r="C3657" s="2" t="s">
        <v>5</v>
      </c>
      <c r="D3657" s="2" t="s">
        <v>32</v>
      </c>
      <c r="E3657" s="3" t="str">
        <f>IF(ISERROR(VLOOKUP(B3657,Failures!$A$1:$A$4000,1,FALSE)),"Keep","Delete")</f>
        <v>Keep</v>
      </c>
      <c r="F3657" t="str">
        <f>IF(ISNUMBER(SEARCH("#",B3657)), LEFT(B3657,FIND("#",B3657)-1), B3657)</f>
        <v>Sandwich Board Sign: Ammu Nation</v>
      </c>
      <c r="G3657" s="26">
        <f>IF(ISNUMBER(SEARCH("#",B3657)),VALUE(MID(B3657,FIND("#",B3657)+1,1000)),1)</f>
        <v>1</v>
      </c>
      <c r="H3657" t="str">
        <f>IF(AND(regexMatch(B3657,".*#[0-9]*$"),ISNUMBER(SEARCH("#",B3657))),CONCATENATE(TRIM(F3657)," #",G3657),B3657)</f>
        <v>Sandwich Board Sign: Ammu Nation</v>
      </c>
    </row>
    <row r="3658" spans="1:8" ht="15.75" thickBot="1" x14ac:dyDescent="0.3">
      <c r="A3658" s="1" t="s">
        <v>4943</v>
      </c>
      <c r="B3658" s="1" t="s">
        <v>31</v>
      </c>
      <c r="C3658" s="1"/>
      <c r="D3658" s="2" t="s">
        <v>32</v>
      </c>
      <c r="E3658" s="3" t="str">
        <f>IF(ISERROR(VLOOKUP(B3658,Failures!$A$1:$A$4000,1,FALSE)),"Keep","Delete")</f>
        <v>Keep</v>
      </c>
      <c r="F3658" t="str">
        <f>IF(ISNUMBER(SEARCH("#",B3658)), LEFT(B3658,FIND("#",B3658)-1), B3658)</f>
        <v>Sandwich Board Sign: Ammu Nation</v>
      </c>
      <c r="G3658" s="26">
        <f>IF(ISNUMBER(SEARCH("#",B3658)),VALUE(MID(B3658,FIND("#",B3658)+1,1000)),1)</f>
        <v>1</v>
      </c>
      <c r="H3658" t="str">
        <f>IF(AND(regexMatch(B3658,".*#[0-9]*$"),ISNUMBER(SEARCH("#",B3658))),CONCATENATE(TRIM(F3658)," #",G3658),B3658)</f>
        <v>Sandwich Board Sign: Ammu Nation</v>
      </c>
    </row>
    <row r="3659" spans="1:8" ht="15.75" thickBot="1" x14ac:dyDescent="0.3">
      <c r="A3659" s="1" t="s">
        <v>33</v>
      </c>
      <c r="B3659" s="1" t="s">
        <v>34</v>
      </c>
      <c r="C3659" s="2" t="s">
        <v>5</v>
      </c>
      <c r="D3659" s="2" t="s">
        <v>32</v>
      </c>
      <c r="E3659" s="3" t="str">
        <f>IF(ISERROR(VLOOKUP(B3659,Failures!$A$1:$A$4000,1,FALSE)),"Keep","Delete")</f>
        <v>Keep</v>
      </c>
      <c r="F3659" t="str">
        <f>IF(ISNUMBER(SEARCH("#",B3659)), LEFT(B3659,FIND("#",B3659)-1), B3659)</f>
        <v>Sandwich Board Sign: Bike Hire</v>
      </c>
      <c r="G3659" s="26">
        <f>IF(ISNUMBER(SEARCH("#",B3659)),VALUE(MID(B3659,FIND("#",B3659)+1,1000)),1)</f>
        <v>1</v>
      </c>
      <c r="H3659" t="str">
        <f>IF(AND(regexMatch(B3659,".*#[0-9]*$"),ISNUMBER(SEARCH("#",B3659))),CONCATENATE(TRIM(F3659)," #",G3659),B3659)</f>
        <v>Sandwich Board Sign: Bike Hire</v>
      </c>
    </row>
    <row r="3660" spans="1:8" ht="15.75" thickBot="1" x14ac:dyDescent="0.3">
      <c r="A3660" s="1" t="s">
        <v>5757</v>
      </c>
      <c r="B3660" s="1" t="s">
        <v>10195</v>
      </c>
      <c r="C3660" s="1"/>
      <c r="D3660" s="2" t="s">
        <v>32</v>
      </c>
      <c r="E3660" s="3" t="str">
        <f>IF(ISERROR(VLOOKUP(B3660,Failures!$A$1:$A$4000,1,FALSE)),"Keep","Delete")</f>
        <v>Keep</v>
      </c>
      <c r="F3660" t="str">
        <f>IF(ISNUMBER(SEARCH("#",B3660)), LEFT(B3660,FIND("#",B3660)-1), B3660)</f>
        <v>Sandwich Board Sign: ECola</v>
      </c>
      <c r="G3660" s="26">
        <f>IF(ISNUMBER(SEARCH("#",B3660)),VALUE(MID(B3660,FIND("#",B3660)+1,1000)),1)</f>
        <v>1</v>
      </c>
      <c r="H3660" t="str">
        <f>IF(AND(regexMatch(B3660,".*#[0-9]*$"),ISNUMBER(SEARCH("#",B3660))),CONCATENATE(TRIM(F3660)," #",G3660),B3660)</f>
        <v>Sandwich Board Sign: ECola</v>
      </c>
    </row>
    <row r="3661" spans="1:8" ht="15.75" thickBot="1" x14ac:dyDescent="0.3">
      <c r="A3661" s="1" t="s">
        <v>5634</v>
      </c>
      <c r="B3661" s="1" t="s">
        <v>10314</v>
      </c>
      <c r="C3661" s="1"/>
      <c r="D3661" s="2" t="s">
        <v>32</v>
      </c>
      <c r="E3661" s="3" t="str">
        <f>IF(ISERROR(VLOOKUP(B3661,Failures!$A$1:$A$4000,1,FALSE)),"Keep","Delete")</f>
        <v>Keep</v>
      </c>
      <c r="F3661" t="str">
        <f>IF(ISNUMBER(SEARCH("#",B3661)), LEFT(B3661,FIND("#",B3661)-1), B3661)</f>
        <v xml:space="preserve">Security Sign </v>
      </c>
      <c r="G3661" s="26">
        <f>IF(ISNUMBER(SEARCH("#",B3661)),VALUE(MID(B3661,FIND("#",B3661)+1,1000)),1)</f>
        <v>1</v>
      </c>
      <c r="H3661" t="str">
        <f>IF(AND(regexMatch(B3661,".*#[0-9]*$"),ISNUMBER(SEARCH("#",B3661))),CONCATENATE(TRIM(F3661)," #",G3661),B3661)</f>
        <v>Security Sign #1</v>
      </c>
    </row>
    <row r="3662" spans="1:8" ht="15.75" thickBot="1" x14ac:dyDescent="0.3">
      <c r="A3662" s="1" t="s">
        <v>5633</v>
      </c>
      <c r="B3662" s="1" t="s">
        <v>10315</v>
      </c>
      <c r="C3662" s="1"/>
      <c r="D3662" s="2" t="s">
        <v>32</v>
      </c>
      <c r="E3662" s="3" t="str">
        <f>IF(ISERROR(VLOOKUP(B3662,Failures!$A$1:$A$4000,1,FALSE)),"Keep","Delete")</f>
        <v>Keep</v>
      </c>
      <c r="F3662" t="str">
        <f>IF(ISNUMBER(SEARCH("#",B3662)), LEFT(B3662,FIND("#",B3662)-1), B3662)</f>
        <v xml:space="preserve">Security Sign </v>
      </c>
      <c r="G3662" s="26">
        <f>IF(ISNUMBER(SEARCH("#",B3662)),VALUE(MID(B3662,FIND("#",B3662)+1,1000)),1)</f>
        <v>2</v>
      </c>
      <c r="H3662" t="str">
        <f>IF(AND(regexMatch(B3662,".*#[0-9]*$"),ISNUMBER(SEARCH("#",B3662))),CONCATENATE(TRIM(F3662)," #",G3662),B3662)</f>
        <v>Security Sign #2</v>
      </c>
    </row>
    <row r="3663" spans="1:8" ht="15.75" thickBot="1" x14ac:dyDescent="0.3">
      <c r="A3663" s="1" t="s">
        <v>5632</v>
      </c>
      <c r="B3663" s="1" t="s">
        <v>10316</v>
      </c>
      <c r="C3663" s="1"/>
      <c r="D3663" s="2" t="s">
        <v>32</v>
      </c>
      <c r="E3663" s="3" t="str">
        <f>IF(ISERROR(VLOOKUP(B3663,Failures!$A$1:$A$4000,1,FALSE)),"Keep","Delete")</f>
        <v>Keep</v>
      </c>
      <c r="F3663" t="str">
        <f>IF(ISNUMBER(SEARCH("#",B3663)), LEFT(B3663,FIND("#",B3663)-1), B3663)</f>
        <v xml:space="preserve">Security Sign </v>
      </c>
      <c r="G3663" s="26">
        <f>IF(ISNUMBER(SEARCH("#",B3663)),VALUE(MID(B3663,FIND("#",B3663)+1,1000)),1)</f>
        <v>3</v>
      </c>
      <c r="H3663" t="str">
        <f>IF(AND(regexMatch(B3663,".*#[0-9]*$"),ISNUMBER(SEARCH("#",B3663))),CONCATENATE(TRIM(F3663)," #",G3663),B3663)</f>
        <v>Security Sign #3</v>
      </c>
    </row>
    <row r="3664" spans="1:8" ht="15.75" thickBot="1" x14ac:dyDescent="0.3">
      <c r="A3664" s="1" t="s">
        <v>5631</v>
      </c>
      <c r="B3664" s="1" t="s">
        <v>10317</v>
      </c>
      <c r="C3664" s="1"/>
      <c r="D3664" s="2" t="s">
        <v>32</v>
      </c>
      <c r="E3664" s="3" t="str">
        <f>IF(ISERROR(VLOOKUP(B3664,Failures!$A$1:$A$4000,1,FALSE)),"Keep","Delete")</f>
        <v>Keep</v>
      </c>
      <c r="F3664" t="str">
        <f>IF(ISNUMBER(SEARCH("#",B3664)), LEFT(B3664,FIND("#",B3664)-1), B3664)</f>
        <v xml:space="preserve">Security Sign </v>
      </c>
      <c r="G3664" s="26">
        <f>IF(ISNUMBER(SEARCH("#",B3664)),VALUE(MID(B3664,FIND("#",B3664)+1,1000)),1)</f>
        <v>4</v>
      </c>
      <c r="H3664" t="str">
        <f>IF(AND(regexMatch(B3664,".*#[0-9]*$"),ISNUMBER(SEARCH("#",B3664))),CONCATENATE(TRIM(F3664)," #",G3664),B3664)</f>
        <v>Security Sign #4</v>
      </c>
    </row>
    <row r="3665" spans="1:8" ht="15.75" thickBot="1" x14ac:dyDescent="0.3">
      <c r="A3665" s="1" t="s">
        <v>5630</v>
      </c>
      <c r="B3665" s="1" t="s">
        <v>10318</v>
      </c>
      <c r="C3665" s="1"/>
      <c r="D3665" s="2" t="s">
        <v>32</v>
      </c>
      <c r="E3665" s="3" t="str">
        <f>IF(ISERROR(VLOOKUP(B3665,Failures!$A$1:$A$4000,1,FALSE)),"Keep","Delete")</f>
        <v>Keep</v>
      </c>
      <c r="F3665" t="str">
        <f>IF(ISNUMBER(SEARCH("#",B3665)), LEFT(B3665,FIND("#",B3665)-1), B3665)</f>
        <v xml:space="preserve">Security Sign </v>
      </c>
      <c r="G3665" s="26">
        <f>IF(ISNUMBER(SEARCH("#",B3665)),VALUE(MID(B3665,FIND("#",B3665)+1,1000)),1)</f>
        <v>5</v>
      </c>
      <c r="H3665" t="str">
        <f>IF(AND(regexMatch(B3665,".*#[0-9]*$"),ISNUMBER(SEARCH("#",B3665))),CONCATENATE(TRIM(F3665)," #",G3665),B3665)</f>
        <v>Security Sign #5</v>
      </c>
    </row>
    <row r="3666" spans="1:8" ht="15.75" thickBot="1" x14ac:dyDescent="0.3">
      <c r="A3666" s="1" t="s">
        <v>5629</v>
      </c>
      <c r="B3666" s="1" t="s">
        <v>10319</v>
      </c>
      <c r="C3666" s="1"/>
      <c r="D3666" s="2" t="s">
        <v>32</v>
      </c>
      <c r="E3666" s="3" t="str">
        <f>IF(ISERROR(VLOOKUP(B3666,Failures!$A$1:$A$4000,1,FALSE)),"Keep","Delete")</f>
        <v>Keep</v>
      </c>
      <c r="F3666" t="str">
        <f>IF(ISNUMBER(SEARCH("#",B3666)), LEFT(B3666,FIND("#",B3666)-1), B3666)</f>
        <v xml:space="preserve">Security Sign </v>
      </c>
      <c r="G3666" s="26">
        <f>IF(ISNUMBER(SEARCH("#",B3666)),VALUE(MID(B3666,FIND("#",B3666)+1,1000)),1)</f>
        <v>6</v>
      </c>
      <c r="H3666" t="str">
        <f>IF(AND(regexMatch(B3666,".*#[0-9]*$"),ISNUMBER(SEARCH("#",B3666))),CONCATENATE(TRIM(F3666)," #",G3666),B3666)</f>
        <v>Security Sign #6</v>
      </c>
    </row>
    <row r="3667" spans="1:8" ht="15.75" thickBot="1" x14ac:dyDescent="0.3">
      <c r="A3667" s="1" t="s">
        <v>6019</v>
      </c>
      <c r="B3667" s="1" t="s">
        <v>10467</v>
      </c>
      <c r="C3667" s="1"/>
      <c r="D3667" s="2" t="s">
        <v>32</v>
      </c>
      <c r="E3667" s="3" t="str">
        <f>IF(ISERROR(VLOOKUP(B3667,Failures!$A$1:$A$4000,1,FALSE)),"Keep","Delete")</f>
        <v>Keep</v>
      </c>
      <c r="F3667" t="str">
        <f>IF(ISNUMBER(SEARCH("#",B3667)), LEFT(B3667,FIND("#",B3667)-1), B3667)</f>
        <v>Valet Parking Sign</v>
      </c>
      <c r="G3667" s="26">
        <f>IF(ISNUMBER(SEARCH("#",B3667)),VALUE(MID(B3667,FIND("#",B3667)+1,1000)),1)</f>
        <v>1</v>
      </c>
      <c r="H3667" t="str">
        <f>IF(AND(regexMatch(B3667,".*#[0-9]*$"),ISNUMBER(SEARCH("#",B3667))),CONCATENATE(TRIM(F3667)," #",G3667),B3667)</f>
        <v>Valet Parking Sign</v>
      </c>
    </row>
    <row r="3668" spans="1:8" ht="15.75" thickBot="1" x14ac:dyDescent="0.3">
      <c r="A3668" s="1" t="s">
        <v>6018</v>
      </c>
      <c r="B3668" s="1" t="s">
        <v>10468</v>
      </c>
      <c r="C3668" s="1"/>
      <c r="D3668" s="2" t="s">
        <v>32</v>
      </c>
      <c r="E3668" s="3" t="str">
        <f>IF(ISERROR(VLOOKUP(B3668,Failures!$A$1:$A$4000,1,FALSE)),"Keep","Delete")</f>
        <v>Keep</v>
      </c>
      <c r="F3668" t="str">
        <f>IF(ISNUMBER(SEARCH("#",B3668)), LEFT(B3668,FIND("#",B3668)-1), B3668)</f>
        <v>Valet Stop Here Sign</v>
      </c>
      <c r="G3668" s="26">
        <f>IF(ISNUMBER(SEARCH("#",B3668)),VALUE(MID(B3668,FIND("#",B3668)+1,1000)),1)</f>
        <v>1</v>
      </c>
      <c r="H3668" t="str">
        <f>IF(AND(regexMatch(B3668,".*#[0-9]*$"),ISNUMBER(SEARCH("#",B3668))),CONCATENATE(TRIM(F3668)," #",G3668),B3668)</f>
        <v>Valet Stop Here Sign</v>
      </c>
    </row>
    <row r="3669" spans="1:8" ht="15.75" thickBot="1" x14ac:dyDescent="0.3">
      <c r="A3669" s="1" t="s">
        <v>6020</v>
      </c>
      <c r="B3669" s="1" t="s">
        <v>10466</v>
      </c>
      <c r="C3669" s="1"/>
      <c r="D3669" s="2" t="s">
        <v>32</v>
      </c>
      <c r="E3669" s="3" t="str">
        <f>IF(ISERROR(VLOOKUP(B3669,Failures!$A$1:$A$4000,1,FALSE)),"Keep","Delete")</f>
        <v>Keep</v>
      </c>
      <c r="F3669" t="str">
        <f>IF(ISNUMBER(SEARCH("#",B3669)), LEFT(B3669,FIND("#",B3669)-1), B3669)</f>
        <v>Valet Thanks Sign</v>
      </c>
      <c r="G3669" s="26">
        <f>IF(ISNUMBER(SEARCH("#",B3669)),VALUE(MID(B3669,FIND("#",B3669)+1,1000)),1)</f>
        <v>1</v>
      </c>
      <c r="H3669" t="str">
        <f>IF(AND(regexMatch(B3669,".*#[0-9]*$"),ISNUMBER(SEARCH("#",B3669))),CONCATENATE(TRIM(F3669)," #",G3669),B3669)</f>
        <v>Valet Thanks Sign</v>
      </c>
    </row>
    <row r="3670" spans="1:8" ht="15.75" thickBot="1" x14ac:dyDescent="0.3">
      <c r="A3670" s="1" t="s">
        <v>3353</v>
      </c>
      <c r="B3670" s="1" t="s">
        <v>3354</v>
      </c>
      <c r="C3670" s="2" t="s">
        <v>5</v>
      </c>
      <c r="D3670" s="2" t="s">
        <v>32</v>
      </c>
      <c r="E3670" s="3" t="str">
        <f>IF(ISERROR(VLOOKUP(B3670,Failures!$A$1:$A$4000,1,FALSE)),"Keep","Delete")</f>
        <v>Keep</v>
      </c>
      <c r="F3670" t="str">
        <f>IF(ISNUMBER(SEARCH("#",B3670)), LEFT(B3670,FIND("#",B3670)-1), B3670)</f>
        <v xml:space="preserve">Venice Advert Board </v>
      </c>
      <c r="G3670" s="26">
        <f>IF(ISNUMBER(SEARCH("#",B3670)),VALUE(MID(B3670,FIND("#",B3670)+1,1000)),1)</f>
        <v>1</v>
      </c>
      <c r="H3670" t="str">
        <f>IF(AND(regexMatch(B3670,".*#[0-9]*$"),ISNUMBER(SEARCH("#",B3670))),CONCATENATE(TRIM(F3670)," #",G3670),B3670)</f>
        <v>Venice Advert Board #1</v>
      </c>
    </row>
    <row r="3671" spans="1:8" ht="15.75" thickBot="1" x14ac:dyDescent="0.3">
      <c r="A3671" s="1" t="s">
        <v>3355</v>
      </c>
      <c r="B3671" s="1" t="s">
        <v>3356</v>
      </c>
      <c r="C3671" s="2" t="s">
        <v>5</v>
      </c>
      <c r="D3671" s="2" t="s">
        <v>32</v>
      </c>
      <c r="E3671" s="3" t="str">
        <f>IF(ISERROR(VLOOKUP(B3671,Failures!$A$1:$A$4000,1,FALSE)),"Keep","Delete")</f>
        <v>Keep</v>
      </c>
      <c r="F3671" t="str">
        <f>IF(ISNUMBER(SEARCH("#",B3671)), LEFT(B3671,FIND("#",B3671)-1), B3671)</f>
        <v xml:space="preserve">Venice Advert Board </v>
      </c>
      <c r="G3671" s="26">
        <f>IF(ISNUMBER(SEARCH("#",B3671)),VALUE(MID(B3671,FIND("#",B3671)+1,1000)),1)</f>
        <v>2</v>
      </c>
      <c r="H3671" t="str">
        <f>IF(AND(regexMatch(B3671,".*#[0-9]*$"),ISNUMBER(SEARCH("#",B3671))),CONCATENATE(TRIM(F3671)," #",G3671),B3671)</f>
        <v>Venice Advert Board #2</v>
      </c>
    </row>
    <row r="3672" spans="1:8" ht="15.75" thickBot="1" x14ac:dyDescent="0.3">
      <c r="A3672" s="1" t="s">
        <v>3357</v>
      </c>
      <c r="B3672" s="1" t="s">
        <v>3358</v>
      </c>
      <c r="C3672" s="2" t="s">
        <v>5</v>
      </c>
      <c r="D3672" s="2" t="s">
        <v>32</v>
      </c>
      <c r="E3672" s="3" t="str">
        <f>IF(ISERROR(VLOOKUP(B3672,Failures!$A$1:$A$4000,1,FALSE)),"Keep","Delete")</f>
        <v>Keep</v>
      </c>
      <c r="F3672" t="str">
        <f>IF(ISNUMBER(SEARCH("#",B3672)), LEFT(B3672,FIND("#",B3672)-1), B3672)</f>
        <v xml:space="preserve">Venice Advert Board </v>
      </c>
      <c r="G3672" s="26">
        <f>IF(ISNUMBER(SEARCH("#",B3672)),VALUE(MID(B3672,FIND("#",B3672)+1,1000)),1)</f>
        <v>3</v>
      </c>
      <c r="H3672" t="str">
        <f>IF(AND(regexMatch(B3672,".*#[0-9]*$"),ISNUMBER(SEARCH("#",B3672))),CONCATENATE(TRIM(F3672)," #",G3672),B3672)</f>
        <v>Venice Advert Board #3</v>
      </c>
    </row>
    <row r="3673" spans="1:8" ht="15.75" thickBot="1" x14ac:dyDescent="0.3">
      <c r="A3673" s="1" t="s">
        <v>4896</v>
      </c>
      <c r="B3673" s="1" t="s">
        <v>10479</v>
      </c>
      <c r="C3673" s="1"/>
      <c r="D3673" s="2" t="s">
        <v>32</v>
      </c>
      <c r="E3673" s="3" t="str">
        <f>IF(ISERROR(VLOOKUP(B3673,Failures!$A$1:$A$4000,1,FALSE)),"Keep","Delete")</f>
        <v>Keep</v>
      </c>
      <c r="F3673" t="str">
        <f>IF(ISNUMBER(SEARCH("#",B3673)), LEFT(B3673,FIND("#",B3673)-1), B3673)</f>
        <v>Venice Beach Sign: Fast Food</v>
      </c>
      <c r="G3673" s="26">
        <f>IF(ISNUMBER(SEARCH("#",B3673)),VALUE(MID(B3673,FIND("#",B3673)+1,1000)),1)</f>
        <v>1</v>
      </c>
      <c r="H3673" t="str">
        <f>IF(AND(regexMatch(B3673,".*#[0-9]*$"),ISNUMBER(SEARCH("#",B3673))),CONCATENATE(TRIM(F3673)," #",G3673),B3673)</f>
        <v>Venice Beach Sign: Fast Food</v>
      </c>
    </row>
    <row r="3674" spans="1:8" ht="15.75" thickBot="1" x14ac:dyDescent="0.3">
      <c r="A3674" s="1" t="s">
        <v>4903</v>
      </c>
      <c r="B3674" s="1" t="s">
        <v>10472</v>
      </c>
      <c r="C3674" s="1"/>
      <c r="D3674" s="2" t="s">
        <v>32</v>
      </c>
      <c r="E3674" s="3" t="str">
        <f>IF(ISERROR(VLOOKUP(B3674,Failures!$A$1:$A$4000,1,FALSE)),"Keep","Delete")</f>
        <v>Keep</v>
      </c>
      <c r="F3674" t="str">
        <f>IF(ISNUMBER(SEARCH("#",B3674)), LEFT(B3674,FIND("#",B3674)-1), B3674)</f>
        <v>Venice Beach Sign: Ice Cream</v>
      </c>
      <c r="G3674" s="26">
        <f>IF(ISNUMBER(SEARCH("#",B3674)),VALUE(MID(B3674,FIND("#",B3674)+1,1000)),1)</f>
        <v>1</v>
      </c>
      <c r="H3674" t="str">
        <f>IF(AND(regexMatch(B3674,".*#[0-9]*$"),ISNUMBER(SEARCH("#",B3674))),CONCATENATE(TRIM(F3674)," #",G3674),B3674)</f>
        <v>Venice Beach Sign: Ice Cream</v>
      </c>
    </row>
    <row r="3675" spans="1:8" ht="15.75" thickBot="1" x14ac:dyDescent="0.3">
      <c r="A3675" s="1" t="s">
        <v>4899</v>
      </c>
      <c r="B3675" s="1" t="s">
        <v>10476</v>
      </c>
      <c r="C3675" s="1"/>
      <c r="D3675" s="2" t="s">
        <v>32</v>
      </c>
      <c r="E3675" s="3" t="str">
        <f>IF(ISERROR(VLOOKUP(B3675,Failures!$A$1:$A$4000,1,FALSE)),"Keep","Delete")</f>
        <v>Keep</v>
      </c>
      <c r="F3675" t="str">
        <f>IF(ISNUMBER(SEARCH("#",B3675)), LEFT(B3675,FIND("#",B3675)-1), B3675)</f>
        <v>Venice Beach Sign: Natural</v>
      </c>
      <c r="G3675" s="26">
        <f>IF(ISNUMBER(SEARCH("#",B3675)),VALUE(MID(B3675,FIND("#",B3675)+1,1000)),1)</f>
        <v>1</v>
      </c>
      <c r="H3675" t="str">
        <f>IF(AND(regexMatch(B3675,".*#[0-9]*$"),ISNUMBER(SEARCH("#",B3675))),CONCATENATE(TRIM(F3675)," #",G3675),B3675)</f>
        <v>Venice Beach Sign: Natural</v>
      </c>
    </row>
    <row r="3676" spans="1:8" ht="15.75" thickBot="1" x14ac:dyDescent="0.3">
      <c r="A3676" s="1" t="s">
        <v>4901</v>
      </c>
      <c r="B3676" s="1" t="s">
        <v>10474</v>
      </c>
      <c r="C3676" s="1"/>
      <c r="D3676" s="2" t="s">
        <v>32</v>
      </c>
      <c r="E3676" s="3" t="str">
        <f>IF(ISERROR(VLOOKUP(B3676,Failures!$A$1:$A$4000,1,FALSE)),"Keep","Delete")</f>
        <v>Keep</v>
      </c>
      <c r="F3676" t="str">
        <f>IF(ISNUMBER(SEARCH("#",B3676)), LEFT(B3676,FIND("#",B3676)-1), B3676)</f>
        <v>Venice Beach Sign: Piercing</v>
      </c>
      <c r="G3676" s="26">
        <f>IF(ISNUMBER(SEARCH("#",B3676)),VALUE(MID(B3676,FIND("#",B3676)+1,1000)),1)</f>
        <v>1</v>
      </c>
      <c r="H3676" t="str">
        <f>IF(AND(regexMatch(B3676,".*#[0-9]*$"),ISNUMBER(SEARCH("#",B3676))),CONCATENATE(TRIM(F3676)," #",G3676),B3676)</f>
        <v>Venice Beach Sign: Piercing</v>
      </c>
    </row>
    <row r="3677" spans="1:8" ht="15.75" thickBot="1" x14ac:dyDescent="0.3">
      <c r="A3677" s="1" t="s">
        <v>4898</v>
      </c>
      <c r="B3677" s="1" t="s">
        <v>10477</v>
      </c>
      <c r="C3677" s="1"/>
      <c r="D3677" s="2" t="s">
        <v>32</v>
      </c>
      <c r="E3677" s="3" t="str">
        <f>IF(ISERROR(VLOOKUP(B3677,Failures!$A$1:$A$4000,1,FALSE)),"Keep","Delete")</f>
        <v>Keep</v>
      </c>
      <c r="F3677" t="str">
        <f>IF(ISNUMBER(SEARCH("#",B3677)), LEFT(B3677,FIND("#",B3677)-1), B3677)</f>
        <v>Venice Beach Sign: Pipe Shop</v>
      </c>
      <c r="G3677" s="26">
        <f>IF(ISNUMBER(SEARCH("#",B3677)),VALUE(MID(B3677,FIND("#",B3677)+1,1000)),1)</f>
        <v>1</v>
      </c>
      <c r="H3677" t="str">
        <f>IF(AND(regexMatch(B3677,".*#[0-9]*$"),ISNUMBER(SEARCH("#",B3677))),CONCATENATE(TRIM(F3677)," #",G3677),B3677)</f>
        <v>Venice Beach Sign: Pipe Shop</v>
      </c>
    </row>
    <row r="3678" spans="1:8" ht="15.75" thickBot="1" x14ac:dyDescent="0.3">
      <c r="A3678" s="1" t="s">
        <v>4900</v>
      </c>
      <c r="B3678" s="1" t="s">
        <v>10475</v>
      </c>
      <c r="C3678" s="1"/>
      <c r="D3678" s="2" t="s">
        <v>32</v>
      </c>
      <c r="E3678" s="3" t="str">
        <f>IF(ISERROR(VLOOKUP(B3678,Failures!$A$1:$A$4000,1,FALSE)),"Keep","Delete")</f>
        <v>Keep</v>
      </c>
      <c r="F3678" t="str">
        <f>IF(ISNUMBER(SEARCH("#",B3678)), LEFT(B3678,FIND("#",B3678)-1), B3678)</f>
        <v>Venice Beach Sign: Pizza</v>
      </c>
      <c r="G3678" s="26">
        <f>IF(ISNUMBER(SEARCH("#",B3678)),VALUE(MID(B3678,FIND("#",B3678)+1,1000)),1)</f>
        <v>1</v>
      </c>
      <c r="H3678" t="str">
        <f>IF(AND(regexMatch(B3678,".*#[0-9]*$"),ISNUMBER(SEARCH("#",B3678))),CONCATENATE(TRIM(F3678)," #",G3678),B3678)</f>
        <v>Venice Beach Sign: Pizza</v>
      </c>
    </row>
    <row r="3679" spans="1:8" ht="15.75" thickBot="1" x14ac:dyDescent="0.3">
      <c r="A3679" s="1" t="s">
        <v>4902</v>
      </c>
      <c r="B3679" s="1" t="s">
        <v>10473</v>
      </c>
      <c r="C3679" s="1"/>
      <c r="D3679" s="2" t="s">
        <v>32</v>
      </c>
      <c r="E3679" s="3" t="str">
        <f>IF(ISERROR(VLOOKUP(B3679,Failures!$A$1:$A$4000,1,FALSE)),"Keep","Delete")</f>
        <v>Keep</v>
      </c>
      <c r="F3679" t="str">
        <f>IF(ISNUMBER(SEARCH("#",B3679)), LEFT(B3679,FIND("#",B3679)-1), B3679)</f>
        <v>Venice Beach Sign: Sale</v>
      </c>
      <c r="G3679" s="26">
        <f>IF(ISNUMBER(SEARCH("#",B3679)),VALUE(MID(B3679,FIND("#",B3679)+1,1000)),1)</f>
        <v>1</v>
      </c>
      <c r="H3679" t="str">
        <f>IF(AND(regexMatch(B3679,".*#[0-9]*$"),ISNUMBER(SEARCH("#",B3679))),CONCATENATE(TRIM(F3679)," #",G3679),B3679)</f>
        <v>Venice Beach Sign: Sale</v>
      </c>
    </row>
    <row r="3680" spans="1:8" ht="15.75" thickBot="1" x14ac:dyDescent="0.3">
      <c r="A3680" s="1" t="s">
        <v>4897</v>
      </c>
      <c r="B3680" s="1" t="s">
        <v>10478</v>
      </c>
      <c r="C3680" s="1"/>
      <c r="D3680" s="2" t="s">
        <v>32</v>
      </c>
      <c r="E3680" s="3" t="str">
        <f>IF(ISERROR(VLOOKUP(B3680,Failures!$A$1:$A$4000,1,FALSE)),"Keep","Delete")</f>
        <v>Keep</v>
      </c>
      <c r="F3680" t="str">
        <f>IF(ISNUMBER(SEARCH("#",B3680)), LEFT(B3680,FIND("#",B3680)-1), B3680)</f>
        <v>Venice Beach Sign: Skate &amp; Bike</v>
      </c>
      <c r="G3680" s="26">
        <f>IF(ISNUMBER(SEARCH("#",B3680)),VALUE(MID(B3680,FIND("#",B3680)+1,1000)),1)</f>
        <v>1</v>
      </c>
      <c r="H3680" t="str">
        <f>IF(AND(regexMatch(B3680,".*#[0-9]*$"),ISNUMBER(SEARCH("#",B3680))),CONCATENATE(TRIM(F3680)," #",G3680),B3680)</f>
        <v>Venice Beach Sign: Skate &amp; Bike</v>
      </c>
    </row>
    <row r="3681" spans="1:8" ht="15.75" thickBot="1" x14ac:dyDescent="0.3">
      <c r="A3681" s="1" t="s">
        <v>4904</v>
      </c>
      <c r="B3681" s="1" t="s">
        <v>10471</v>
      </c>
      <c r="C3681" s="1"/>
      <c r="D3681" s="2" t="s">
        <v>32</v>
      </c>
      <c r="E3681" s="3" t="str">
        <f>IF(ISERROR(VLOOKUP(B3681,Failures!$A$1:$A$4000,1,FALSE)),"Keep","Delete")</f>
        <v>Keep</v>
      </c>
      <c r="F3681" t="str">
        <f>IF(ISNUMBER(SEARCH("#",B3681)), LEFT(B3681,FIND("#",B3681)-1), B3681)</f>
        <v>Venice Beach Sign: Tattoos</v>
      </c>
      <c r="G3681" s="26">
        <f>IF(ISNUMBER(SEARCH("#",B3681)),VALUE(MID(B3681,FIND("#",B3681)+1,1000)),1)</f>
        <v>1</v>
      </c>
      <c r="H3681" t="str">
        <f>IF(AND(regexMatch(B3681,".*#[0-9]*$"),ISNUMBER(SEARCH("#",B3681))),CONCATENATE(TRIM(F3681)," #",G3681),B3681)</f>
        <v>Venice Beach Sign: Tattoos</v>
      </c>
    </row>
    <row r="3682" spans="1:8" ht="15.75" thickBot="1" x14ac:dyDescent="0.3">
      <c r="A3682" s="1" t="s">
        <v>3359</v>
      </c>
      <c r="B3682" s="1" t="s">
        <v>3928</v>
      </c>
      <c r="C3682" s="2" t="s">
        <v>5</v>
      </c>
      <c r="D3682" s="2" t="s">
        <v>32</v>
      </c>
      <c r="E3682" s="3" t="str">
        <f>IF(ISERROR(VLOOKUP(B3682,Failures!$A$1:$A$4000,1,FALSE)),"Keep","Delete")</f>
        <v>Keep</v>
      </c>
      <c r="F3682" t="str">
        <f>IF(ISNUMBER(SEARCH("#",B3682)), LEFT(B3682,FIND("#",B3682)-1), B3682)</f>
        <v xml:space="preserve">Venice Sign </v>
      </c>
      <c r="G3682" s="26">
        <f>IF(ISNUMBER(SEARCH("#",B3682)),VALUE(MID(B3682,FIND("#",B3682)+1,1000)),1)</f>
        <v>1</v>
      </c>
      <c r="H3682" t="str">
        <f>IF(AND(regexMatch(B3682,".*#[0-9]*$"),ISNUMBER(SEARCH("#",B3682))),CONCATENATE(TRIM(F3682)," #",G3682),B3682)</f>
        <v>Venice Sign #1</v>
      </c>
    </row>
    <row r="3683" spans="1:8" ht="15.75" thickBot="1" x14ac:dyDescent="0.3">
      <c r="A3683" s="1" t="s">
        <v>3360</v>
      </c>
      <c r="B3683" s="1" t="s">
        <v>3929</v>
      </c>
      <c r="C3683" s="2" t="s">
        <v>5</v>
      </c>
      <c r="D3683" s="2" t="s">
        <v>32</v>
      </c>
      <c r="E3683" s="3" t="str">
        <f>IF(ISERROR(VLOOKUP(B3683,Failures!$A$1:$A$4000,1,FALSE)),"Keep","Delete")</f>
        <v>Keep</v>
      </c>
      <c r="F3683" t="str">
        <f>IF(ISNUMBER(SEARCH("#",B3683)), LEFT(B3683,FIND("#",B3683)-1), B3683)</f>
        <v xml:space="preserve">Venice Sign </v>
      </c>
      <c r="G3683" s="26">
        <f>IF(ISNUMBER(SEARCH("#",B3683)),VALUE(MID(B3683,FIND("#",B3683)+1,1000)),1)</f>
        <v>2</v>
      </c>
      <c r="H3683" t="str">
        <f>IF(AND(regexMatch(B3683,".*#[0-9]*$"),ISNUMBER(SEARCH("#",B3683))),CONCATENATE(TRIM(F3683)," #",G3683),B3683)</f>
        <v>Venice Sign #2</v>
      </c>
    </row>
    <row r="3684" spans="1:8" ht="15.75" thickBot="1" x14ac:dyDescent="0.3">
      <c r="A3684" s="1" t="s">
        <v>3361</v>
      </c>
      <c r="B3684" s="1" t="s">
        <v>3930</v>
      </c>
      <c r="C3684" s="2" t="s">
        <v>5</v>
      </c>
      <c r="D3684" s="2" t="s">
        <v>32</v>
      </c>
      <c r="E3684" s="3" t="str">
        <f>IF(ISERROR(VLOOKUP(B3684,Failures!$A$1:$A$4000,1,FALSE)),"Keep","Delete")</f>
        <v>Keep</v>
      </c>
      <c r="F3684" t="str">
        <f>IF(ISNUMBER(SEARCH("#",B3684)), LEFT(B3684,FIND("#",B3684)-1), B3684)</f>
        <v xml:space="preserve">Venice Sign </v>
      </c>
      <c r="G3684" s="26">
        <f>IF(ISNUMBER(SEARCH("#",B3684)),VALUE(MID(B3684,FIND("#",B3684)+1,1000)),1)</f>
        <v>3</v>
      </c>
      <c r="H3684" t="str">
        <f>IF(AND(regexMatch(B3684,".*#[0-9]*$"),ISNUMBER(SEARCH("#",B3684))),CONCATENATE(TRIM(F3684)," #",G3684),B3684)</f>
        <v>Venice Sign #3</v>
      </c>
    </row>
    <row r="3685" spans="1:8" ht="15.75" thickBot="1" x14ac:dyDescent="0.3">
      <c r="A3685" s="1" t="s">
        <v>3362</v>
      </c>
      <c r="B3685" s="1" t="s">
        <v>3931</v>
      </c>
      <c r="C3685" s="2" t="s">
        <v>5</v>
      </c>
      <c r="D3685" s="2" t="s">
        <v>32</v>
      </c>
      <c r="E3685" s="3" t="str">
        <f>IF(ISERROR(VLOOKUP(B3685,Failures!$A$1:$A$4000,1,FALSE)),"Keep","Delete")</f>
        <v>Keep</v>
      </c>
      <c r="F3685" t="str">
        <f>IF(ISNUMBER(SEARCH("#",B3685)), LEFT(B3685,FIND("#",B3685)-1), B3685)</f>
        <v xml:space="preserve">Venice Sign </v>
      </c>
      <c r="G3685" s="26">
        <f>IF(ISNUMBER(SEARCH("#",B3685)),VALUE(MID(B3685,FIND("#",B3685)+1,1000)),1)</f>
        <v>4</v>
      </c>
      <c r="H3685" t="str">
        <f>IF(AND(regexMatch(B3685,".*#[0-9]*$"),ISNUMBER(SEARCH("#",B3685))),CONCATENATE(TRIM(F3685)," #",G3685),B3685)</f>
        <v>Venice Sign #4</v>
      </c>
    </row>
    <row r="3686" spans="1:8" ht="15.75" thickBot="1" x14ac:dyDescent="0.3">
      <c r="A3686" s="1" t="s">
        <v>3363</v>
      </c>
      <c r="B3686" s="1" t="s">
        <v>3932</v>
      </c>
      <c r="C3686" s="2" t="s">
        <v>5</v>
      </c>
      <c r="D3686" s="2" t="s">
        <v>32</v>
      </c>
      <c r="E3686" s="3" t="str">
        <f>IF(ISERROR(VLOOKUP(B3686,Failures!$A$1:$A$4000,1,FALSE)),"Keep","Delete")</f>
        <v>Keep</v>
      </c>
      <c r="F3686" t="str">
        <f>IF(ISNUMBER(SEARCH("#",B3686)), LEFT(B3686,FIND("#",B3686)-1), B3686)</f>
        <v xml:space="preserve">Venice Sign </v>
      </c>
      <c r="G3686" s="26">
        <f>IF(ISNUMBER(SEARCH("#",B3686)),VALUE(MID(B3686,FIND("#",B3686)+1,1000)),1)</f>
        <v>5</v>
      </c>
      <c r="H3686" t="str">
        <f>IF(AND(regexMatch(B3686,".*#[0-9]*$"),ISNUMBER(SEARCH("#",B3686))),CONCATENATE(TRIM(F3686)," #",G3686),B3686)</f>
        <v>Venice Sign #5</v>
      </c>
    </row>
    <row r="3687" spans="1:8" ht="15.75" thickBot="1" x14ac:dyDescent="0.3">
      <c r="A3687" s="1" t="s">
        <v>3364</v>
      </c>
      <c r="B3687" s="1" t="s">
        <v>3933</v>
      </c>
      <c r="C3687" s="2" t="s">
        <v>5</v>
      </c>
      <c r="D3687" s="2" t="s">
        <v>32</v>
      </c>
      <c r="E3687" s="3" t="str">
        <f>IF(ISERROR(VLOOKUP(B3687,Failures!$A$1:$A$4000,1,FALSE)),"Keep","Delete")</f>
        <v>Keep</v>
      </c>
      <c r="F3687" t="str">
        <f>IF(ISNUMBER(SEARCH("#",B3687)), LEFT(B3687,FIND("#",B3687)-1), B3687)</f>
        <v xml:space="preserve">Venice Sign </v>
      </c>
      <c r="G3687" s="26">
        <f>IF(ISNUMBER(SEARCH("#",B3687)),VALUE(MID(B3687,FIND("#",B3687)+1,1000)),1)</f>
        <v>6</v>
      </c>
      <c r="H3687" t="str">
        <f>IF(AND(regexMatch(B3687,".*#[0-9]*$"),ISNUMBER(SEARCH("#",B3687))),CONCATENATE(TRIM(F3687)," #",G3687),B3687)</f>
        <v>Venice Sign #6</v>
      </c>
    </row>
    <row r="3688" spans="1:8" ht="15.75" thickBot="1" x14ac:dyDescent="0.3">
      <c r="A3688" s="1" t="s">
        <v>3365</v>
      </c>
      <c r="B3688" s="1" t="s">
        <v>3934</v>
      </c>
      <c r="C3688" s="2" t="s">
        <v>5</v>
      </c>
      <c r="D3688" s="2" t="s">
        <v>32</v>
      </c>
      <c r="E3688" s="3" t="str">
        <f>IF(ISERROR(VLOOKUP(B3688,Failures!$A$1:$A$4000,1,FALSE)),"Keep","Delete")</f>
        <v>Keep</v>
      </c>
      <c r="F3688" t="str">
        <f>IF(ISNUMBER(SEARCH("#",B3688)), LEFT(B3688,FIND("#",B3688)-1), B3688)</f>
        <v xml:space="preserve">Venice Sign </v>
      </c>
      <c r="G3688" s="26">
        <f>IF(ISNUMBER(SEARCH("#",B3688)),VALUE(MID(B3688,FIND("#",B3688)+1,1000)),1)</f>
        <v>7</v>
      </c>
      <c r="H3688" t="str">
        <f>IF(AND(regexMatch(B3688,".*#[0-9]*$"),ISNUMBER(SEARCH("#",B3688))),CONCATENATE(TRIM(F3688)," #",G3688),B3688)</f>
        <v>Venice Sign #7</v>
      </c>
    </row>
    <row r="3689" spans="1:8" ht="15.75" thickBot="1" x14ac:dyDescent="0.3">
      <c r="A3689" s="1" t="s">
        <v>3366</v>
      </c>
      <c r="B3689" s="1" t="s">
        <v>3935</v>
      </c>
      <c r="C3689" s="2" t="s">
        <v>5</v>
      </c>
      <c r="D3689" s="2" t="s">
        <v>32</v>
      </c>
      <c r="E3689" s="3" t="str">
        <f>IF(ISERROR(VLOOKUP(B3689,Failures!$A$1:$A$4000,1,FALSE)),"Keep","Delete")</f>
        <v>Keep</v>
      </c>
      <c r="F3689" t="str">
        <f>IF(ISNUMBER(SEARCH("#",B3689)), LEFT(B3689,FIND("#",B3689)-1), B3689)</f>
        <v xml:space="preserve">Venice Sign </v>
      </c>
      <c r="G3689" s="26">
        <f>IF(ISNUMBER(SEARCH("#",B3689)),VALUE(MID(B3689,FIND("#",B3689)+1,1000)),1)</f>
        <v>8</v>
      </c>
      <c r="H3689" t="str">
        <f>IF(AND(regexMatch(B3689,".*#[0-9]*$"),ISNUMBER(SEARCH("#",B3689))),CONCATENATE(TRIM(F3689)," #",G3689),B3689)</f>
        <v>Venice Sign #8</v>
      </c>
    </row>
    <row r="3690" spans="1:8" ht="15.75" thickBot="1" x14ac:dyDescent="0.3">
      <c r="A3690" s="1" t="s">
        <v>37</v>
      </c>
      <c r="B3690" s="1" t="s">
        <v>38</v>
      </c>
      <c r="C3690" s="2" t="s">
        <v>5</v>
      </c>
      <c r="D3690" s="2" t="s">
        <v>6</v>
      </c>
      <c r="E3690" s="3" t="str">
        <f>IF(ISERROR(VLOOKUP(B3690,Failures!$A$1:$A$4000,1,FALSE)),"Keep","Delete")</f>
        <v>Keep</v>
      </c>
      <c r="F3690" t="str">
        <f>IF(ISNUMBER(SEARCH("#",B3690)), LEFT(B3690,FIND("#",B3690)-1), B3690)</f>
        <v xml:space="preserve">Air Hockey Paddle </v>
      </c>
      <c r="G3690" s="26">
        <f>IF(ISNUMBER(SEARCH("#",B3690)),VALUE(MID(B3690,FIND("#",B3690)+1,1000)),1)</f>
        <v>1</v>
      </c>
      <c r="H3690" t="str">
        <f>IF(AND(regexMatch(B3690,".*#[0-9]*$"),ISNUMBER(SEARCH("#",B3690))),CONCATENATE(TRIM(F3690)," #",G3690),B3690)</f>
        <v>Air Hockey Paddle #1</v>
      </c>
    </row>
    <row r="3691" spans="1:8" ht="15.75" thickBot="1" x14ac:dyDescent="0.3">
      <c r="A3691" s="1" t="s">
        <v>39</v>
      </c>
      <c r="B3691" s="1" t="s">
        <v>40</v>
      </c>
      <c r="C3691" s="2" t="s">
        <v>5</v>
      </c>
      <c r="D3691" s="2" t="s">
        <v>6</v>
      </c>
      <c r="E3691" s="3" t="str">
        <f>IF(ISERROR(VLOOKUP(B3691,Failures!$A$1:$A$4000,1,FALSE)),"Keep","Delete")</f>
        <v>Keep</v>
      </c>
      <c r="F3691" t="str">
        <f>IF(ISNUMBER(SEARCH("#",B3691)), LEFT(B3691,FIND("#",B3691)-1), B3691)</f>
        <v xml:space="preserve">Air Hockey Paddle </v>
      </c>
      <c r="G3691" s="26">
        <f>IF(ISNUMBER(SEARCH("#",B3691)),VALUE(MID(B3691,FIND("#",B3691)+1,1000)),1)</f>
        <v>2</v>
      </c>
      <c r="H3691" t="str">
        <f>IF(AND(regexMatch(B3691,".*#[0-9]*$"),ISNUMBER(SEARCH("#",B3691))),CONCATENATE(TRIM(F3691)," #",G3691),B3691)</f>
        <v>Air Hockey Paddle #2</v>
      </c>
    </row>
    <row r="3692" spans="1:8" ht="15.75" thickBot="1" x14ac:dyDescent="0.3">
      <c r="A3692" s="1" t="s">
        <v>35</v>
      </c>
      <c r="B3692" s="1" t="s">
        <v>36</v>
      </c>
      <c r="C3692" s="2" t="s">
        <v>5</v>
      </c>
      <c r="D3692" s="2" t="s">
        <v>6</v>
      </c>
      <c r="E3692" s="3" t="str">
        <f>IF(ISERROR(VLOOKUP(B3692,Failures!$A$1:$A$4000,1,FALSE)),"Keep","Delete")</f>
        <v>Keep</v>
      </c>
      <c r="F3692" t="str">
        <f>IF(ISNUMBER(SEARCH("#",B3692)), LEFT(B3692,FIND("#",B3692)-1), B3692)</f>
        <v>Air Hockey Table</v>
      </c>
      <c r="G3692" s="26">
        <f>IF(ISNUMBER(SEARCH("#",B3692)),VALUE(MID(B3692,FIND("#",B3692)+1,1000)),1)</f>
        <v>1</v>
      </c>
      <c r="H3692" t="str">
        <f>IF(AND(regexMatch(B3692,".*#[0-9]*$"),ISNUMBER(SEARCH("#",B3692))),CONCATENATE(TRIM(F3692)," #",G3692),B3692)</f>
        <v>Air Hockey Table</v>
      </c>
    </row>
    <row r="3693" spans="1:8" ht="15.75" thickBot="1" x14ac:dyDescent="0.3">
      <c r="A3693" s="27" t="s">
        <v>7325</v>
      </c>
      <c r="B3693" s="22" t="s">
        <v>10573</v>
      </c>
      <c r="C3693" s="1"/>
      <c r="D3693" s="2" t="s">
        <v>6</v>
      </c>
      <c r="E3693" s="3" t="str">
        <f>IF(ISERROR(VLOOKUP(B3693,Failures!$A$1:$A$4000,1,FALSE)),"Keep","Delete")</f>
        <v>Keep</v>
      </c>
      <c r="F3693" t="str">
        <f>IF(ISNUMBER(SEARCH("#",B3693)), LEFT(B3693,FIND("#",B3693)-1), B3693)</f>
        <v>American Football</v>
      </c>
      <c r="G3693" s="26">
        <f>IF(ISNUMBER(SEARCH("#",B3693)),VALUE(MID(B3693,FIND("#",B3693)+1,1000)),1)</f>
        <v>1</v>
      </c>
      <c r="H3693" t="str">
        <f>IF(AND(regexMatch(B3693,".*#[0-9]*$"),ISNUMBER(SEARCH("#",B3693))),CONCATENATE(TRIM(F3693)," #",G3693),B3693)</f>
        <v>American Football</v>
      </c>
    </row>
    <row r="3694" spans="1:8" ht="15.75" thickBot="1" x14ac:dyDescent="0.3">
      <c r="A3694" s="1" t="s">
        <v>202</v>
      </c>
      <c r="B3694" s="1" t="s">
        <v>203</v>
      </c>
      <c r="C3694" s="2" t="s">
        <v>5</v>
      </c>
      <c r="D3694" s="2" t="s">
        <v>6</v>
      </c>
      <c r="E3694" s="3" t="str">
        <f>IF(ISERROR(VLOOKUP(B3694,Failures!$A$1:$A$4000,1,FALSE)),"Keep","Delete")</f>
        <v>Keep</v>
      </c>
      <c r="F3694" t="str">
        <f>IF(ISNUMBER(SEARCH("#",B3694)), LEFT(B3694,FIND("#",B3694)-1), B3694)</f>
        <v xml:space="preserve">Barbell </v>
      </c>
      <c r="G3694" s="26">
        <f>IF(ISNUMBER(SEARCH("#",B3694)),VALUE(MID(B3694,FIND("#",B3694)+1,1000)),1)</f>
        <v>1</v>
      </c>
      <c r="H3694" t="str">
        <f>IF(AND(regexMatch(B3694,".*#[0-9]*$"),ISNUMBER(SEARCH("#",B3694))),CONCATENATE(TRIM(F3694)," #",G3694),B3694)</f>
        <v>Barbell #1</v>
      </c>
    </row>
    <row r="3695" spans="1:8" ht="15.75" thickBot="1" x14ac:dyDescent="0.3">
      <c r="A3695" s="1" t="s">
        <v>204</v>
      </c>
      <c r="B3695" s="1" t="s">
        <v>205</v>
      </c>
      <c r="C3695" s="2" t="s">
        <v>5</v>
      </c>
      <c r="D3695" s="2" t="s">
        <v>6</v>
      </c>
      <c r="E3695" s="3" t="str">
        <f>IF(ISERROR(VLOOKUP(B3695,Failures!$A$1:$A$4000,1,FALSE)),"Keep","Delete")</f>
        <v>Keep</v>
      </c>
      <c r="F3695" t="str">
        <f>IF(ISNUMBER(SEARCH("#",B3695)), LEFT(B3695,FIND("#",B3695)-1), B3695)</f>
        <v xml:space="preserve">Barbell </v>
      </c>
      <c r="G3695" s="26">
        <f>IF(ISNUMBER(SEARCH("#",B3695)),VALUE(MID(B3695,FIND("#",B3695)+1,1000)),1)</f>
        <v>2</v>
      </c>
      <c r="H3695" t="str">
        <f>IF(AND(regexMatch(B3695,".*#[0-9]*$"),ISNUMBER(SEARCH("#",B3695))),CONCATENATE(TRIM(F3695)," #",G3695),B3695)</f>
        <v>Barbell #2</v>
      </c>
    </row>
    <row r="3696" spans="1:8" ht="15.75" thickBot="1" x14ac:dyDescent="0.3">
      <c r="A3696" s="1" t="s">
        <v>206</v>
      </c>
      <c r="B3696" s="1" t="s">
        <v>207</v>
      </c>
      <c r="C3696" s="2" t="s">
        <v>5</v>
      </c>
      <c r="D3696" s="2" t="s">
        <v>6</v>
      </c>
      <c r="E3696" s="3" t="str">
        <f>IF(ISERROR(VLOOKUP(B3696,Failures!$A$1:$A$4000,1,FALSE)),"Keep","Delete")</f>
        <v>Keep</v>
      </c>
      <c r="F3696" t="str">
        <f>IF(ISNUMBER(SEARCH("#",B3696)), LEFT(B3696,FIND("#",B3696)-1), B3696)</f>
        <v>Barbell 100Kg</v>
      </c>
      <c r="G3696" s="26">
        <f>IF(ISNUMBER(SEARCH("#",B3696)),VALUE(MID(B3696,FIND("#",B3696)+1,1000)),1)</f>
        <v>1</v>
      </c>
      <c r="H3696" t="str">
        <f>IF(AND(regexMatch(B3696,".*#[0-9]*$"),ISNUMBER(SEARCH("#",B3696))),CONCATENATE(TRIM(F3696)," #",G3696),B3696)</f>
        <v>Barbell 100Kg</v>
      </c>
    </row>
    <row r="3697" spans="1:8" ht="15.75" thickBot="1" x14ac:dyDescent="0.3">
      <c r="A3697" s="1" t="s">
        <v>208</v>
      </c>
      <c r="B3697" s="1" t="s">
        <v>209</v>
      </c>
      <c r="C3697" s="2" t="s">
        <v>5</v>
      </c>
      <c r="D3697" s="2" t="s">
        <v>6</v>
      </c>
      <c r="E3697" s="3" t="str">
        <f>IF(ISERROR(VLOOKUP(B3697,Failures!$A$1:$A$4000,1,FALSE)),"Keep","Delete")</f>
        <v>Keep</v>
      </c>
      <c r="F3697" t="str">
        <f>IF(ISNUMBER(SEARCH("#",B3697)), LEFT(B3697,FIND("#",B3697)-1), B3697)</f>
        <v>Barbell 10Kg</v>
      </c>
      <c r="G3697" s="26">
        <f>IF(ISNUMBER(SEARCH("#",B3697)),VALUE(MID(B3697,FIND("#",B3697)+1,1000)),1)</f>
        <v>1</v>
      </c>
      <c r="H3697" t="str">
        <f>IF(AND(regexMatch(B3697,".*#[0-9]*$"),ISNUMBER(SEARCH("#",B3697))),CONCATENATE(TRIM(F3697)," #",G3697),B3697)</f>
        <v>Barbell 10Kg</v>
      </c>
    </row>
    <row r="3698" spans="1:8" ht="15.75" thickBot="1" x14ac:dyDescent="0.3">
      <c r="A3698" s="1" t="s">
        <v>210</v>
      </c>
      <c r="B3698" s="1" t="s">
        <v>211</v>
      </c>
      <c r="C3698" s="2" t="s">
        <v>5</v>
      </c>
      <c r="D3698" s="2" t="s">
        <v>6</v>
      </c>
      <c r="E3698" s="3" t="str">
        <f>IF(ISERROR(VLOOKUP(B3698,Failures!$A$1:$A$4000,1,FALSE)),"Keep","Delete")</f>
        <v>Keep</v>
      </c>
      <c r="F3698" t="str">
        <f>IF(ISNUMBER(SEARCH("#",B3698)), LEFT(B3698,FIND("#",B3698)-1), B3698)</f>
        <v>Barbell 20Kg</v>
      </c>
      <c r="G3698" s="26">
        <f>IF(ISNUMBER(SEARCH("#",B3698)),VALUE(MID(B3698,FIND("#",B3698)+1,1000)),1)</f>
        <v>1</v>
      </c>
      <c r="H3698" t="str">
        <f>IF(AND(regexMatch(B3698,".*#[0-9]*$"),ISNUMBER(SEARCH("#",B3698))),CONCATENATE(TRIM(F3698)," #",G3698),B3698)</f>
        <v>Barbell 20Kg</v>
      </c>
    </row>
    <row r="3699" spans="1:8" ht="15.75" thickBot="1" x14ac:dyDescent="0.3">
      <c r="A3699" s="1" t="s">
        <v>212</v>
      </c>
      <c r="B3699" s="1" t="s">
        <v>213</v>
      </c>
      <c r="C3699" s="2" t="s">
        <v>5</v>
      </c>
      <c r="D3699" s="2" t="s">
        <v>6</v>
      </c>
      <c r="E3699" s="3" t="str">
        <f>IF(ISERROR(VLOOKUP(B3699,Failures!$A$1:$A$4000,1,FALSE)),"Keep","Delete")</f>
        <v>Keep</v>
      </c>
      <c r="F3699" t="str">
        <f>IF(ISNUMBER(SEARCH("#",B3699)), LEFT(B3699,FIND("#",B3699)-1), B3699)</f>
        <v>Barbell 30Kg</v>
      </c>
      <c r="G3699" s="26">
        <f>IF(ISNUMBER(SEARCH("#",B3699)),VALUE(MID(B3699,FIND("#",B3699)+1,1000)),1)</f>
        <v>1</v>
      </c>
      <c r="H3699" t="str">
        <f>IF(AND(regexMatch(B3699,".*#[0-9]*$"),ISNUMBER(SEARCH("#",B3699))),CONCATENATE(TRIM(F3699)," #",G3699),B3699)</f>
        <v>Barbell 30Kg</v>
      </c>
    </row>
    <row r="3700" spans="1:8" ht="15.75" thickBot="1" x14ac:dyDescent="0.3">
      <c r="A3700" s="1" t="s">
        <v>214</v>
      </c>
      <c r="B3700" s="1" t="s">
        <v>215</v>
      </c>
      <c r="C3700" s="2" t="s">
        <v>5</v>
      </c>
      <c r="D3700" s="2" t="s">
        <v>6</v>
      </c>
      <c r="E3700" s="3" t="str">
        <f>IF(ISERROR(VLOOKUP(B3700,Failures!$A$1:$A$4000,1,FALSE)),"Keep","Delete")</f>
        <v>Keep</v>
      </c>
      <c r="F3700" t="str">
        <f>IF(ISNUMBER(SEARCH("#",B3700)), LEFT(B3700,FIND("#",B3700)-1), B3700)</f>
        <v>Barbell 40Kg</v>
      </c>
      <c r="G3700" s="26">
        <f>IF(ISNUMBER(SEARCH("#",B3700)),VALUE(MID(B3700,FIND("#",B3700)+1,1000)),1)</f>
        <v>1</v>
      </c>
      <c r="H3700" t="str">
        <f>IF(AND(regexMatch(B3700,".*#[0-9]*$"),ISNUMBER(SEARCH("#",B3700))),CONCATENATE(TRIM(F3700)," #",G3700),B3700)</f>
        <v>Barbell 40Kg</v>
      </c>
    </row>
    <row r="3701" spans="1:8" ht="15.75" thickBot="1" x14ac:dyDescent="0.3">
      <c r="A3701" s="1" t="s">
        <v>216</v>
      </c>
      <c r="B3701" s="1" t="s">
        <v>217</v>
      </c>
      <c r="C3701" s="2" t="s">
        <v>5</v>
      </c>
      <c r="D3701" s="2" t="s">
        <v>6</v>
      </c>
      <c r="E3701" s="3" t="str">
        <f>IF(ISERROR(VLOOKUP(B3701,Failures!$A$1:$A$4000,1,FALSE)),"Keep","Delete")</f>
        <v>Keep</v>
      </c>
      <c r="F3701" t="str">
        <f>IF(ISNUMBER(SEARCH("#",B3701)), LEFT(B3701,FIND("#",B3701)-1), B3701)</f>
        <v>Barbell 50Kg</v>
      </c>
      <c r="G3701" s="26">
        <f>IF(ISNUMBER(SEARCH("#",B3701)),VALUE(MID(B3701,FIND("#",B3701)+1,1000)),1)</f>
        <v>1</v>
      </c>
      <c r="H3701" t="str">
        <f>IF(AND(regexMatch(B3701,".*#[0-9]*$"),ISNUMBER(SEARCH("#",B3701))),CONCATENATE(TRIM(F3701)," #",G3701),B3701)</f>
        <v>Barbell 50Kg</v>
      </c>
    </row>
    <row r="3702" spans="1:8" ht="15.75" thickBot="1" x14ac:dyDescent="0.3">
      <c r="A3702" s="1" t="s">
        <v>218</v>
      </c>
      <c r="B3702" s="1" t="s">
        <v>219</v>
      </c>
      <c r="C3702" s="2" t="s">
        <v>5</v>
      </c>
      <c r="D3702" s="2" t="s">
        <v>6</v>
      </c>
      <c r="E3702" s="3" t="str">
        <f>IF(ISERROR(VLOOKUP(B3702,Failures!$A$1:$A$4000,1,FALSE)),"Keep","Delete")</f>
        <v>Keep</v>
      </c>
      <c r="F3702" t="str">
        <f>IF(ISNUMBER(SEARCH("#",B3702)), LEFT(B3702,FIND("#",B3702)-1), B3702)</f>
        <v>Barbell 60Kg</v>
      </c>
      <c r="G3702" s="26">
        <f>IF(ISNUMBER(SEARCH("#",B3702)),VALUE(MID(B3702,FIND("#",B3702)+1,1000)),1)</f>
        <v>1</v>
      </c>
      <c r="H3702" t="str">
        <f>IF(AND(regexMatch(B3702,".*#[0-9]*$"),ISNUMBER(SEARCH("#",B3702))),CONCATENATE(TRIM(F3702)," #",G3702),B3702)</f>
        <v>Barbell 60Kg</v>
      </c>
    </row>
    <row r="3703" spans="1:8" ht="15.75" thickBot="1" x14ac:dyDescent="0.3">
      <c r="A3703" s="1" t="s">
        <v>220</v>
      </c>
      <c r="B3703" s="1" t="s">
        <v>221</v>
      </c>
      <c r="C3703" s="2" t="s">
        <v>5</v>
      </c>
      <c r="D3703" s="2" t="s">
        <v>6</v>
      </c>
      <c r="E3703" s="3" t="str">
        <f>IF(ISERROR(VLOOKUP(B3703,Failures!$A$1:$A$4000,1,FALSE)),"Keep","Delete")</f>
        <v>Keep</v>
      </c>
      <c r="F3703" t="str">
        <f>IF(ISNUMBER(SEARCH("#",B3703)), LEFT(B3703,FIND("#",B3703)-1), B3703)</f>
        <v>Barbell 80Kg</v>
      </c>
      <c r="G3703" s="26">
        <f>IF(ISNUMBER(SEARCH("#",B3703)),VALUE(MID(B3703,FIND("#",B3703)+1,1000)),1)</f>
        <v>1</v>
      </c>
      <c r="H3703" t="str">
        <f>IF(AND(regexMatch(B3703,".*#[0-9]*$"),ISNUMBER(SEARCH("#",B3703))),CONCATENATE(TRIM(F3703)," #",G3703),B3703)</f>
        <v>Barbell 80Kg</v>
      </c>
    </row>
    <row r="3704" spans="1:8" ht="15.75" thickBot="1" x14ac:dyDescent="0.3">
      <c r="A3704" s="1" t="s">
        <v>4</v>
      </c>
      <c r="B3704" s="1" t="s">
        <v>3582</v>
      </c>
      <c r="C3704" s="2" t="s">
        <v>5</v>
      </c>
      <c r="D3704" s="2" t="s">
        <v>6</v>
      </c>
      <c r="E3704" s="3" t="str">
        <f>IF(ISERROR(VLOOKUP(B3704,Failures!$A$1:$A$4000,1,FALSE)),"Keep","Delete")</f>
        <v>Keep</v>
      </c>
      <c r="F3704" t="str">
        <f>IF(ISNUMBER(SEARCH("#",B3704)), LEFT(B3704,FIND("#",B3704)-1), B3704)</f>
        <v>Base Bars</v>
      </c>
      <c r="G3704" s="26">
        <f>IF(ISNUMBER(SEARCH("#",B3704)),VALUE(MID(B3704,FIND("#",B3704)+1,1000)),1)</f>
        <v>1</v>
      </c>
      <c r="H3704" t="str">
        <f>IF(AND(regexMatch(B3704,".*#[0-9]*$"),ISNUMBER(SEARCH("#",B3704))),CONCATENATE(TRIM(F3704)," #",G3704),B3704)</f>
        <v>Base Bars</v>
      </c>
    </row>
    <row r="3705" spans="1:8" ht="15.75" thickBot="1" x14ac:dyDescent="0.3">
      <c r="A3705" s="27" t="s">
        <v>7491</v>
      </c>
      <c r="B3705" s="22" t="s">
        <v>10541</v>
      </c>
      <c r="C3705" s="1"/>
      <c r="D3705" s="2" t="s">
        <v>6</v>
      </c>
      <c r="E3705" s="3" t="str">
        <f>IF(ISERROR(VLOOKUP(B3705,Failures!$A$1:$A$4000,1,FALSE)),"Keep","Delete")</f>
        <v>Keep</v>
      </c>
      <c r="F3705" t="str">
        <f>IF(ISNUMBER(SEARCH("#",B3705)), LEFT(B3705,FIND("#",B3705)-1), B3705)</f>
        <v>Baseball Bat</v>
      </c>
      <c r="G3705" s="26">
        <f>IF(ISNUMBER(SEARCH("#",B3705)),VALUE(MID(B3705,FIND("#",B3705)+1,1000)),1)</f>
        <v>1</v>
      </c>
      <c r="H3705" t="str">
        <f>IF(AND(regexMatch(B3705,".*#[0-9]*$"),ISNUMBER(SEARCH("#",B3705))),CONCATENATE(TRIM(F3705)," #",G3705),B3705)</f>
        <v>Baseball Bat</v>
      </c>
    </row>
    <row r="3706" spans="1:8" ht="15.75" thickBot="1" x14ac:dyDescent="0.3">
      <c r="A3706" s="1" t="s">
        <v>505</v>
      </c>
      <c r="B3706" s="1" t="s">
        <v>506</v>
      </c>
      <c r="C3706" s="2" t="s">
        <v>5</v>
      </c>
      <c r="D3706" s="2" t="s">
        <v>6</v>
      </c>
      <c r="E3706" s="3" t="str">
        <f>IF(ISERROR(VLOOKUP(B3706,Failures!$A$1:$A$4000,1,FALSE)),"Keep","Delete")</f>
        <v>Keep</v>
      </c>
      <c r="F3706" t="str">
        <f>IF(ISNUMBER(SEARCH("#",B3706)), LEFT(B3706,FIND("#",B3706)-1), B3706)</f>
        <v>Basketball</v>
      </c>
      <c r="G3706" s="26">
        <f>IF(ISNUMBER(SEARCH("#",B3706)),VALUE(MID(B3706,FIND("#",B3706)+1,1000)),1)</f>
        <v>1</v>
      </c>
      <c r="H3706" t="str">
        <f>IF(AND(regexMatch(B3706,".*#[0-9]*$"),ISNUMBER(SEARCH("#",B3706))),CONCATENATE(TRIM(F3706)," #",G3706),B3706)</f>
        <v>Basketball</v>
      </c>
    </row>
    <row r="3707" spans="1:8" ht="15.75" thickBot="1" x14ac:dyDescent="0.3">
      <c r="A3707" s="1" t="s">
        <v>261</v>
      </c>
      <c r="B3707" s="1" t="s">
        <v>262</v>
      </c>
      <c r="C3707" s="2" t="s">
        <v>5</v>
      </c>
      <c r="D3707" s="2" t="s">
        <v>6</v>
      </c>
      <c r="E3707" s="3" t="str">
        <f>IF(ISERROR(VLOOKUP(B3707,Failures!$A$1:$A$4000,1,FALSE)),"Keep","Delete")</f>
        <v>Keep</v>
      </c>
      <c r="F3707" t="str">
        <f>IF(ISNUMBER(SEARCH("#",B3707)), LEFT(B3707,FIND("#",B3707)-1), B3707)</f>
        <v xml:space="preserve">Beach Bars </v>
      </c>
      <c r="G3707" s="26">
        <f>IF(ISNUMBER(SEARCH("#",B3707)),VALUE(MID(B3707,FIND("#",B3707)+1,1000)),1)</f>
        <v>1</v>
      </c>
      <c r="H3707" t="str">
        <f>IF(AND(regexMatch(B3707,".*#[0-9]*$"),ISNUMBER(SEARCH("#",B3707))),CONCATENATE(TRIM(F3707)," #",G3707),B3707)</f>
        <v>Beach Bars #1</v>
      </c>
    </row>
    <row r="3708" spans="1:8" ht="15.75" thickBot="1" x14ac:dyDescent="0.3">
      <c r="A3708" s="1" t="s">
        <v>263</v>
      </c>
      <c r="B3708" s="1" t="s">
        <v>264</v>
      </c>
      <c r="C3708" s="2" t="s">
        <v>5</v>
      </c>
      <c r="D3708" s="2" t="s">
        <v>6</v>
      </c>
      <c r="E3708" s="3" t="str">
        <f>IF(ISERROR(VLOOKUP(B3708,Failures!$A$1:$A$4000,1,FALSE)),"Keep","Delete")</f>
        <v>Keep</v>
      </c>
      <c r="F3708" t="str">
        <f>IF(ISNUMBER(SEARCH("#",B3708)), LEFT(B3708,FIND("#",B3708)-1), B3708)</f>
        <v xml:space="preserve">Beach Bars </v>
      </c>
      <c r="G3708" s="26">
        <f>IF(ISNUMBER(SEARCH("#",B3708)),VALUE(MID(B3708,FIND("#",B3708)+1,1000)),1)</f>
        <v>2</v>
      </c>
      <c r="H3708" t="str">
        <f>IF(AND(regexMatch(B3708,".*#[0-9]*$"),ISNUMBER(SEARCH("#",B3708))),CONCATENATE(TRIM(F3708)," #",G3708),B3708)</f>
        <v>Beach Bars #2</v>
      </c>
    </row>
    <row r="3709" spans="1:8" ht="15.75" thickBot="1" x14ac:dyDescent="0.3">
      <c r="A3709" s="1" t="s">
        <v>267</v>
      </c>
      <c r="B3709" s="1" t="s">
        <v>268</v>
      </c>
      <c r="C3709" s="2" t="s">
        <v>145</v>
      </c>
      <c r="D3709" s="2" t="s">
        <v>6</v>
      </c>
      <c r="E3709" s="3" t="str">
        <f>IF(ISERROR(VLOOKUP(B3709,Failures!$A$1:$A$4000,1,FALSE)),"Keep","Delete")</f>
        <v>Keep</v>
      </c>
      <c r="F3709" t="str">
        <f>IF(ISNUMBER(SEARCH("#",B3709)), LEFT(B3709,FIND("#",B3709)-1), B3709)</f>
        <v xml:space="preserve">Beach Dip Bars </v>
      </c>
      <c r="G3709" s="26">
        <f>IF(ISNUMBER(SEARCH("#",B3709)),VALUE(MID(B3709,FIND("#",B3709)+1,1000)),1)</f>
        <v>1</v>
      </c>
      <c r="H3709" t="str">
        <f>IF(AND(regexMatch(B3709,".*#[0-9]*$"),ISNUMBER(SEARCH("#",B3709))),CONCATENATE(TRIM(F3709)," #",G3709),B3709)</f>
        <v>Beach Dip Bars #1</v>
      </c>
    </row>
    <row r="3710" spans="1:8" ht="15.75" thickBot="1" x14ac:dyDescent="0.3">
      <c r="A3710" s="1" t="s">
        <v>269</v>
      </c>
      <c r="B3710" s="1" t="s">
        <v>270</v>
      </c>
      <c r="C3710" s="2" t="s">
        <v>145</v>
      </c>
      <c r="D3710" s="2" t="s">
        <v>6</v>
      </c>
      <c r="E3710" s="3" t="str">
        <f>IF(ISERROR(VLOOKUP(B3710,Failures!$A$1:$A$4000,1,FALSE)),"Keep","Delete")</f>
        <v>Keep</v>
      </c>
      <c r="F3710" t="str">
        <f>IF(ISNUMBER(SEARCH("#",B3710)), LEFT(B3710,FIND("#",B3710)-1), B3710)</f>
        <v xml:space="preserve">Beach Dip Bars </v>
      </c>
      <c r="G3710" s="26">
        <f>IF(ISNUMBER(SEARCH("#",B3710)),VALUE(MID(B3710,FIND("#",B3710)+1,1000)),1)</f>
        <v>2</v>
      </c>
      <c r="H3710" t="str">
        <f>IF(AND(regexMatch(B3710,".*#[0-9]*$"),ISNUMBER(SEARCH("#",B3710))),CONCATENATE(TRIM(F3710)," #",G3710),B3710)</f>
        <v>Beach Dip Bars #2</v>
      </c>
    </row>
    <row r="3711" spans="1:8" ht="15.75" thickBot="1" x14ac:dyDescent="0.3">
      <c r="A3711" s="1" t="s">
        <v>286</v>
      </c>
      <c r="B3711" s="1" t="s">
        <v>287</v>
      </c>
      <c r="C3711" s="2" t="s">
        <v>5</v>
      </c>
      <c r="D3711" s="2" t="s">
        <v>6</v>
      </c>
      <c r="E3711" s="3" t="str">
        <f>IF(ISERROR(VLOOKUP(B3711,Failures!$A$1:$A$4000,1,FALSE)),"Keep","Delete")</f>
        <v>Keep</v>
      </c>
      <c r="F3711" t="str">
        <f>IF(ISNUMBER(SEARCH("#",B3711)), LEFT(B3711,FIND("#",B3711)-1), B3711)</f>
        <v xml:space="preserve">Beach Volleyball </v>
      </c>
      <c r="G3711" s="26">
        <f>IF(ISNUMBER(SEARCH("#",B3711)),VALUE(MID(B3711,FIND("#",B3711)+1,1000)),1)</f>
        <v>1</v>
      </c>
      <c r="H3711" t="str">
        <f>IF(AND(regexMatch(B3711,".*#[0-9]*$"),ISNUMBER(SEARCH("#",B3711))),CONCATENATE(TRIM(F3711)," #",G3711),B3711)</f>
        <v>Beach Volleyball #1</v>
      </c>
    </row>
    <row r="3712" spans="1:8" ht="15.75" thickBot="1" x14ac:dyDescent="0.3">
      <c r="A3712" s="1" t="s">
        <v>288</v>
      </c>
      <c r="B3712" s="1" t="s">
        <v>289</v>
      </c>
      <c r="C3712" s="2" t="s">
        <v>5</v>
      </c>
      <c r="D3712" s="2" t="s">
        <v>6</v>
      </c>
      <c r="E3712" s="3" t="str">
        <f>IF(ISERROR(VLOOKUP(B3712,Failures!$A$1:$A$4000,1,FALSE)),"Keep","Delete")</f>
        <v>Keep</v>
      </c>
      <c r="F3712" t="str">
        <f>IF(ISNUMBER(SEARCH("#",B3712)), LEFT(B3712,FIND("#",B3712)-1), B3712)</f>
        <v xml:space="preserve">Beach Volleyball </v>
      </c>
      <c r="G3712" s="26">
        <f>IF(ISNUMBER(SEARCH("#",B3712)),VALUE(MID(B3712,FIND("#",B3712)+1,1000)),1)</f>
        <v>2</v>
      </c>
      <c r="H3712" t="str">
        <f>IF(AND(regexMatch(B3712,".*#[0-9]*$"),ISNUMBER(SEARCH("#",B3712))),CONCATENATE(TRIM(F3712)," #",G3712),B3712)</f>
        <v>Beach Volleyball #2</v>
      </c>
    </row>
    <row r="3713" spans="1:8" ht="15.75" thickBot="1" x14ac:dyDescent="0.3">
      <c r="A3713" s="1" t="s">
        <v>443</v>
      </c>
      <c r="B3713" s="1" t="s">
        <v>444</v>
      </c>
      <c r="C3713" s="2" t="s">
        <v>5</v>
      </c>
      <c r="D3713" s="2" t="s">
        <v>6</v>
      </c>
      <c r="E3713" s="3" t="str">
        <f>IF(ISERROR(VLOOKUP(B3713,Failures!$A$1:$A$4000,1,FALSE)),"Keep","Delete")</f>
        <v>Keep</v>
      </c>
      <c r="F3713" t="str">
        <f>IF(ISNUMBER(SEARCH("#",B3713)), LEFT(B3713,FIND("#",B3713)-1), B3713)</f>
        <v xml:space="preserve">Boogieboard </v>
      </c>
      <c r="G3713" s="26">
        <f>IF(ISNUMBER(SEARCH("#",B3713)),VALUE(MID(B3713,FIND("#",B3713)+1,1000)),1)</f>
        <v>1</v>
      </c>
      <c r="H3713" t="str">
        <f>IF(AND(regexMatch(B3713,".*#[0-9]*$"),ISNUMBER(SEARCH("#",B3713))),CONCATENATE(TRIM(F3713)," #",G3713),B3713)</f>
        <v>Boogieboard #1</v>
      </c>
    </row>
    <row r="3714" spans="1:8" ht="15.75" thickBot="1" x14ac:dyDescent="0.3">
      <c r="A3714" s="1" t="s">
        <v>447</v>
      </c>
      <c r="B3714" s="1" t="s">
        <v>448</v>
      </c>
      <c r="C3714" s="2" t="s">
        <v>5</v>
      </c>
      <c r="D3714" s="2" t="s">
        <v>6</v>
      </c>
      <c r="E3714" s="3" t="str">
        <f>IF(ISERROR(VLOOKUP(B3714,Failures!$A$1:$A$4000,1,FALSE)),"Keep","Delete")</f>
        <v>Keep</v>
      </c>
      <c r="F3714" t="str">
        <f>IF(ISNUMBER(SEARCH("#",B3714)), LEFT(B3714,FIND("#",B3714)-1), B3714)</f>
        <v xml:space="preserve">Boogieboard </v>
      </c>
      <c r="G3714" s="26">
        <f>IF(ISNUMBER(SEARCH("#",B3714)),VALUE(MID(B3714,FIND("#",B3714)+1,1000)),1)</f>
        <v>2</v>
      </c>
      <c r="H3714" t="str">
        <f>IF(AND(regexMatch(B3714,".*#[0-9]*$"),ISNUMBER(SEARCH("#",B3714))),CONCATENATE(TRIM(F3714)," #",G3714),B3714)</f>
        <v>Boogieboard #2</v>
      </c>
    </row>
    <row r="3715" spans="1:8" ht="15.75" thickBot="1" x14ac:dyDescent="0.3">
      <c r="A3715" s="1" t="s">
        <v>449</v>
      </c>
      <c r="B3715" s="1" t="s">
        <v>450</v>
      </c>
      <c r="C3715" s="2" t="s">
        <v>5</v>
      </c>
      <c r="D3715" s="2" t="s">
        <v>6</v>
      </c>
      <c r="E3715" s="3" t="str">
        <f>IF(ISERROR(VLOOKUP(B3715,Failures!$A$1:$A$4000,1,FALSE)),"Keep","Delete")</f>
        <v>Keep</v>
      </c>
      <c r="F3715" t="str">
        <f>IF(ISNUMBER(SEARCH("#",B3715)), LEFT(B3715,FIND("#",B3715)-1), B3715)</f>
        <v xml:space="preserve">Boogieboard </v>
      </c>
      <c r="G3715" s="26">
        <f>IF(ISNUMBER(SEARCH("#",B3715)),VALUE(MID(B3715,FIND("#",B3715)+1,1000)),1)</f>
        <v>3</v>
      </c>
      <c r="H3715" t="str">
        <f>IF(AND(regexMatch(B3715,".*#[0-9]*$"),ISNUMBER(SEARCH("#",B3715))),CONCATENATE(TRIM(F3715)," #",G3715),B3715)</f>
        <v>Boogieboard #3</v>
      </c>
    </row>
    <row r="3716" spans="1:8" ht="15.75" thickBot="1" x14ac:dyDescent="0.3">
      <c r="A3716" s="1" t="s">
        <v>451</v>
      </c>
      <c r="B3716" s="1" t="s">
        <v>452</v>
      </c>
      <c r="C3716" s="2" t="s">
        <v>5</v>
      </c>
      <c r="D3716" s="2" t="s">
        <v>6</v>
      </c>
      <c r="E3716" s="3" t="str">
        <f>IF(ISERROR(VLOOKUP(B3716,Failures!$A$1:$A$4000,1,FALSE)),"Keep","Delete")</f>
        <v>Keep</v>
      </c>
      <c r="F3716" t="str">
        <f>IF(ISNUMBER(SEARCH("#",B3716)), LEFT(B3716,FIND("#",B3716)-1), B3716)</f>
        <v xml:space="preserve">Boogieboard </v>
      </c>
      <c r="G3716" s="26">
        <f>IF(ISNUMBER(SEARCH("#",B3716)),VALUE(MID(B3716,FIND("#",B3716)+1,1000)),1)</f>
        <v>4</v>
      </c>
      <c r="H3716" t="str">
        <f>IF(AND(regexMatch(B3716,".*#[0-9]*$"),ISNUMBER(SEARCH("#",B3716))),CONCATENATE(TRIM(F3716)," #",G3716),B3716)</f>
        <v>Boogieboard #4</v>
      </c>
    </row>
    <row r="3717" spans="1:8" ht="15.75" thickBot="1" x14ac:dyDescent="0.3">
      <c r="A3717" s="1" t="s">
        <v>453</v>
      </c>
      <c r="B3717" s="1" t="s">
        <v>454</v>
      </c>
      <c r="C3717" s="2" t="s">
        <v>5</v>
      </c>
      <c r="D3717" s="2" t="s">
        <v>6</v>
      </c>
      <c r="E3717" s="3" t="str">
        <f>IF(ISERROR(VLOOKUP(B3717,Failures!$A$1:$A$4000,1,FALSE)),"Keep","Delete")</f>
        <v>Keep</v>
      </c>
      <c r="F3717" t="str">
        <f>IF(ISNUMBER(SEARCH("#",B3717)), LEFT(B3717,FIND("#",B3717)-1), B3717)</f>
        <v xml:space="preserve">Boogieboard </v>
      </c>
      <c r="G3717" s="26">
        <f>IF(ISNUMBER(SEARCH("#",B3717)),VALUE(MID(B3717,FIND("#",B3717)+1,1000)),1)</f>
        <v>5</v>
      </c>
      <c r="H3717" t="str">
        <f>IF(AND(regexMatch(B3717,".*#[0-9]*$"),ISNUMBER(SEARCH("#",B3717))),CONCATENATE(TRIM(F3717)," #",G3717),B3717)</f>
        <v>Boogieboard #5</v>
      </c>
    </row>
    <row r="3718" spans="1:8" ht="15.75" thickBot="1" x14ac:dyDescent="0.3">
      <c r="A3718" s="1" t="s">
        <v>455</v>
      </c>
      <c r="B3718" s="1" t="s">
        <v>456</v>
      </c>
      <c r="C3718" s="2" t="s">
        <v>5</v>
      </c>
      <c r="D3718" s="2" t="s">
        <v>6</v>
      </c>
      <c r="E3718" s="3" t="str">
        <f>IF(ISERROR(VLOOKUP(B3718,Failures!$A$1:$A$4000,1,FALSE)),"Keep","Delete")</f>
        <v>Keep</v>
      </c>
      <c r="F3718" t="str">
        <f>IF(ISNUMBER(SEARCH("#",B3718)), LEFT(B3718,FIND("#",B3718)-1), B3718)</f>
        <v xml:space="preserve">Boogieboard </v>
      </c>
      <c r="G3718" s="26">
        <f>IF(ISNUMBER(SEARCH("#",B3718)),VALUE(MID(B3718,FIND("#",B3718)+1,1000)),1)</f>
        <v>6</v>
      </c>
      <c r="H3718" t="str">
        <f>IF(AND(regexMatch(B3718,".*#[0-9]*$"),ISNUMBER(SEARCH("#",B3718))),CONCATENATE(TRIM(F3718)," #",G3718),B3718)</f>
        <v>Boogieboard #6</v>
      </c>
    </row>
    <row r="3719" spans="1:8" ht="15.75" thickBot="1" x14ac:dyDescent="0.3">
      <c r="A3719" s="1" t="s">
        <v>457</v>
      </c>
      <c r="B3719" s="1" t="s">
        <v>458</v>
      </c>
      <c r="C3719" s="2" t="s">
        <v>5</v>
      </c>
      <c r="D3719" s="2" t="s">
        <v>6</v>
      </c>
      <c r="E3719" s="3" t="str">
        <f>IF(ISERROR(VLOOKUP(B3719,Failures!$A$1:$A$4000,1,FALSE)),"Keep","Delete")</f>
        <v>Keep</v>
      </c>
      <c r="F3719" t="str">
        <f>IF(ISNUMBER(SEARCH("#",B3719)), LEFT(B3719,FIND("#",B3719)-1), B3719)</f>
        <v xml:space="preserve">Boogieboard </v>
      </c>
      <c r="G3719" s="26">
        <f>IF(ISNUMBER(SEARCH("#",B3719)),VALUE(MID(B3719,FIND("#",B3719)+1,1000)),1)</f>
        <v>7</v>
      </c>
      <c r="H3719" t="str">
        <f>IF(AND(regexMatch(B3719,".*#[0-9]*$"),ISNUMBER(SEARCH("#",B3719))),CONCATENATE(TRIM(F3719)," #",G3719),B3719)</f>
        <v>Boogieboard #7</v>
      </c>
    </row>
    <row r="3720" spans="1:8" ht="15.75" thickBot="1" x14ac:dyDescent="0.3">
      <c r="A3720" s="1" t="s">
        <v>459</v>
      </c>
      <c r="B3720" s="1" t="s">
        <v>460</v>
      </c>
      <c r="C3720" s="2" t="s">
        <v>5</v>
      </c>
      <c r="D3720" s="2" t="s">
        <v>6</v>
      </c>
      <c r="E3720" s="3" t="str">
        <f>IF(ISERROR(VLOOKUP(B3720,Failures!$A$1:$A$4000,1,FALSE)),"Keep","Delete")</f>
        <v>Keep</v>
      </c>
      <c r="F3720" t="str">
        <f>IF(ISNUMBER(SEARCH("#",B3720)), LEFT(B3720,FIND("#",B3720)-1), B3720)</f>
        <v xml:space="preserve">Boogieboard </v>
      </c>
      <c r="G3720" s="26">
        <f>IF(ISNUMBER(SEARCH("#",B3720)),VALUE(MID(B3720,FIND("#",B3720)+1,1000)),1)</f>
        <v>8</v>
      </c>
      <c r="H3720" t="str">
        <f>IF(AND(regexMatch(B3720,".*#[0-9]*$"),ISNUMBER(SEARCH("#",B3720))),CONCATENATE(TRIM(F3720)," #",G3720),B3720)</f>
        <v>Boogieboard #8</v>
      </c>
    </row>
    <row r="3721" spans="1:8" ht="15.75" thickBot="1" x14ac:dyDescent="0.3">
      <c r="A3721" s="1" t="s">
        <v>461</v>
      </c>
      <c r="B3721" s="1" t="s">
        <v>462</v>
      </c>
      <c r="C3721" s="2" t="s">
        <v>5</v>
      </c>
      <c r="D3721" s="2" t="s">
        <v>6</v>
      </c>
      <c r="E3721" s="3" t="str">
        <f>IF(ISERROR(VLOOKUP(B3721,Failures!$A$1:$A$4000,1,FALSE)),"Keep","Delete")</f>
        <v>Keep</v>
      </c>
      <c r="F3721" t="str">
        <f>IF(ISNUMBER(SEARCH("#",B3721)), LEFT(B3721,FIND("#",B3721)-1), B3721)</f>
        <v xml:space="preserve">Boogieboard </v>
      </c>
      <c r="G3721" s="26">
        <f>IF(ISNUMBER(SEARCH("#",B3721)),VALUE(MID(B3721,FIND("#",B3721)+1,1000)),1)</f>
        <v>9</v>
      </c>
      <c r="H3721" t="str">
        <f>IF(AND(regexMatch(B3721,".*#[0-9]*$"),ISNUMBER(SEARCH("#",B3721))),CONCATENATE(TRIM(F3721)," #",G3721),B3721)</f>
        <v>Boogieboard #9</v>
      </c>
    </row>
    <row r="3722" spans="1:8" ht="15.75" thickBot="1" x14ac:dyDescent="0.3">
      <c r="A3722" s="1" t="s">
        <v>445</v>
      </c>
      <c r="B3722" s="1" t="s">
        <v>446</v>
      </c>
      <c r="C3722" s="2" t="s">
        <v>5</v>
      </c>
      <c r="D3722" s="2" t="s">
        <v>6</v>
      </c>
      <c r="E3722" s="3" t="str">
        <f>IF(ISERROR(VLOOKUP(B3722,Failures!$A$1:$A$4000,1,FALSE)),"Keep","Delete")</f>
        <v>Keep</v>
      </c>
      <c r="F3722" t="str">
        <f>IF(ISNUMBER(SEARCH("#",B3722)), LEFT(B3722,FIND("#",B3722)-1), B3722)</f>
        <v xml:space="preserve">Boogieboard </v>
      </c>
      <c r="G3722" s="26">
        <f>IF(ISNUMBER(SEARCH("#",B3722)),VALUE(MID(B3722,FIND("#",B3722)+1,1000)),1)</f>
        <v>10</v>
      </c>
      <c r="H3722" t="str">
        <f>IF(AND(regexMatch(B3722,".*#[0-9]*$"),ISNUMBER(SEARCH("#",B3722))),CONCATENATE(TRIM(F3722)," #",G3722),B3722)</f>
        <v>Boogieboard #10</v>
      </c>
    </row>
    <row r="3723" spans="1:8" ht="15.75" thickBot="1" x14ac:dyDescent="0.3">
      <c r="A3723" s="1" t="s">
        <v>439</v>
      </c>
      <c r="B3723" s="1" t="s">
        <v>440</v>
      </c>
      <c r="C3723" s="2" t="s">
        <v>5</v>
      </c>
      <c r="D3723" s="2" t="s">
        <v>6</v>
      </c>
      <c r="E3723" s="3" t="str">
        <f>IF(ISERROR(VLOOKUP(B3723,Failures!$A$1:$A$4000,1,FALSE)),"Keep","Delete")</f>
        <v>Keep</v>
      </c>
      <c r="F3723" t="str">
        <f>IF(ISNUMBER(SEARCH("#",B3723)), LEFT(B3723,FIND("#",B3723)-1), B3723)</f>
        <v xml:space="preserve">Boogieboard Stack </v>
      </c>
      <c r="G3723" s="26">
        <f>IF(ISNUMBER(SEARCH("#",B3723)),VALUE(MID(B3723,FIND("#",B3723)+1,1000)),1)</f>
        <v>1</v>
      </c>
      <c r="H3723" t="str">
        <f>IF(AND(regexMatch(B3723,".*#[0-9]*$"),ISNUMBER(SEARCH("#",B3723))),CONCATENATE(TRIM(F3723)," #",G3723),B3723)</f>
        <v>Boogieboard Stack #1</v>
      </c>
    </row>
    <row r="3724" spans="1:8" ht="15.75" thickBot="1" x14ac:dyDescent="0.3">
      <c r="A3724" s="1" t="s">
        <v>441</v>
      </c>
      <c r="B3724" s="1" t="s">
        <v>442</v>
      </c>
      <c r="C3724" s="2" t="s">
        <v>5</v>
      </c>
      <c r="D3724" s="2" t="s">
        <v>6</v>
      </c>
      <c r="E3724" s="3" t="str">
        <f>IF(ISERROR(VLOOKUP(B3724,Failures!$A$1:$A$4000,1,FALSE)),"Keep","Delete")</f>
        <v>Keep</v>
      </c>
      <c r="F3724" t="str">
        <f>IF(ISNUMBER(SEARCH("#",B3724)), LEFT(B3724,FIND("#",B3724)-1), B3724)</f>
        <v xml:space="preserve">Boogieboard Stack </v>
      </c>
      <c r="G3724" s="26">
        <f>IF(ISNUMBER(SEARCH("#",B3724)),VALUE(MID(B3724,FIND("#",B3724)+1,1000)),1)</f>
        <v>2</v>
      </c>
      <c r="H3724" t="str">
        <f>IF(AND(regexMatch(B3724,".*#[0-9]*$"),ISNUMBER(SEARCH("#",B3724))),CONCATENATE(TRIM(F3724)," #",G3724),B3724)</f>
        <v>Boogieboard Stack #2</v>
      </c>
    </row>
    <row r="3725" spans="1:8" ht="15.75" thickBot="1" x14ac:dyDescent="0.3">
      <c r="A3725" s="1" t="s">
        <v>495</v>
      </c>
      <c r="B3725" s="1" t="s">
        <v>496</v>
      </c>
      <c r="C3725" s="2" t="s">
        <v>5</v>
      </c>
      <c r="D3725" s="2" t="s">
        <v>6</v>
      </c>
      <c r="E3725" s="3" t="str">
        <f>IF(ISERROR(VLOOKUP(B3725,Failures!$A$1:$A$4000,1,FALSE)),"Keep","Delete")</f>
        <v>Keep</v>
      </c>
      <c r="F3725" t="str">
        <f>IF(ISNUMBER(SEARCH("#",B3725)), LEFT(B3725,FIND("#",B3725)-1), B3725)</f>
        <v>Boxing Glove</v>
      </c>
      <c r="G3725" s="26">
        <f>IF(ISNUMBER(SEARCH("#",B3725)),VALUE(MID(B3725,FIND("#",B3725)+1,1000)),1)</f>
        <v>1</v>
      </c>
      <c r="H3725" t="str">
        <f>IF(AND(regexMatch(B3725,".*#[0-9]*$"),ISNUMBER(SEARCH("#",B3725))),CONCATENATE(TRIM(F3725)," #",G3725),B3725)</f>
        <v>Boxing Glove</v>
      </c>
    </row>
    <row r="3726" spans="1:8" ht="15.75" thickBot="1" x14ac:dyDescent="0.3">
      <c r="A3726" s="1" t="s">
        <v>569</v>
      </c>
      <c r="B3726" s="1" t="s">
        <v>570</v>
      </c>
      <c r="C3726" s="4" t="s">
        <v>5</v>
      </c>
      <c r="D3726" s="2" t="s">
        <v>6</v>
      </c>
      <c r="E3726" s="3" t="str">
        <f>IF(ISERROR(VLOOKUP(B3726,Failures!$A$1:$A$4000,1,FALSE)),"Keep","Delete")</f>
        <v>Keep</v>
      </c>
      <c r="F3726" t="str">
        <f>IF(ISNUMBER(SEARCH("#",B3726)), LEFT(B3726,FIND("#",B3726)-1), B3726)</f>
        <v>Canoe</v>
      </c>
      <c r="G3726" s="26">
        <f>IF(ISNUMBER(SEARCH("#",B3726)),VALUE(MID(B3726,FIND("#",B3726)+1,1000)),1)</f>
        <v>1</v>
      </c>
      <c r="H3726" t="str">
        <f>IF(AND(regexMatch(B3726,".*#[0-9]*$"),ISNUMBER(SEARCH("#",B3726))),CONCATENATE(TRIM(F3726)," #",G3726),B3726)</f>
        <v>Canoe</v>
      </c>
    </row>
    <row r="3727" spans="1:8" ht="15.75" thickBot="1" x14ac:dyDescent="0.3">
      <c r="A3727" s="1" t="s">
        <v>1195</v>
      </c>
      <c r="B3727" s="1" t="s">
        <v>1196</v>
      </c>
      <c r="C3727" s="2" t="s">
        <v>145</v>
      </c>
      <c r="D3727" s="2" t="s">
        <v>6</v>
      </c>
      <c r="E3727" s="3" t="str">
        <f>IF(ISERROR(VLOOKUP(B3727,Failures!$A$1:$A$4000,1,FALSE)),"Keep","Delete")</f>
        <v>Keep</v>
      </c>
      <c r="F3727" t="str">
        <f>IF(ISNUMBER(SEARCH("#",B3727)), LEFT(B3727,FIND("#",B3727)-1), B3727)</f>
        <v>Curl Bar</v>
      </c>
      <c r="G3727" s="26">
        <f>IF(ISNUMBER(SEARCH("#",B3727)),VALUE(MID(B3727,FIND("#",B3727)+1,1000)),1)</f>
        <v>1</v>
      </c>
      <c r="H3727" t="str">
        <f>IF(AND(regexMatch(B3727,".*#[0-9]*$"),ISNUMBER(SEARCH("#",B3727))),CONCATENATE(TRIM(F3727)," #",G3727),B3727)</f>
        <v>Curl Bar</v>
      </c>
    </row>
    <row r="3728" spans="1:8" ht="15.75" thickBot="1" x14ac:dyDescent="0.3">
      <c r="A3728" s="1" t="s">
        <v>1201</v>
      </c>
      <c r="B3728" s="1" t="s">
        <v>1202</v>
      </c>
      <c r="C3728" s="2" t="s">
        <v>5</v>
      </c>
      <c r="D3728" s="2" t="s">
        <v>6</v>
      </c>
      <c r="E3728" s="3" t="str">
        <f>IF(ISERROR(VLOOKUP(B3728,Failures!$A$1:$A$4000,1,FALSE)),"Keep","Delete")</f>
        <v>Keep</v>
      </c>
      <c r="F3728" t="str">
        <f>IF(ISNUMBER(SEARCH("#",B3728)), LEFT(B3728,FIND("#",B3728)-1), B3728)</f>
        <v xml:space="preserve">Dart </v>
      </c>
      <c r="G3728" s="26">
        <f>IF(ISNUMBER(SEARCH("#",B3728)),VALUE(MID(B3728,FIND("#",B3728)+1,1000)),1)</f>
        <v>1</v>
      </c>
      <c r="H3728" t="str">
        <f>IF(AND(regexMatch(B3728,".*#[0-9]*$"),ISNUMBER(SEARCH("#",B3728))),CONCATENATE(TRIM(F3728)," #",G3728),B3728)</f>
        <v>Dart #1</v>
      </c>
    </row>
    <row r="3729" spans="1:8" ht="15.75" thickBot="1" x14ac:dyDescent="0.3">
      <c r="A3729" s="1" t="s">
        <v>1203</v>
      </c>
      <c r="B3729" s="1" t="s">
        <v>1204</v>
      </c>
      <c r="C3729" s="2" t="s">
        <v>5</v>
      </c>
      <c r="D3729" s="2" t="s">
        <v>6</v>
      </c>
      <c r="E3729" s="3" t="str">
        <f>IF(ISERROR(VLOOKUP(B3729,Failures!$A$1:$A$4000,1,FALSE)),"Keep","Delete")</f>
        <v>Keep</v>
      </c>
      <c r="F3729" t="str">
        <f>IF(ISNUMBER(SEARCH("#",B3729)), LEFT(B3729,FIND("#",B3729)-1), B3729)</f>
        <v xml:space="preserve">Dart </v>
      </c>
      <c r="G3729" s="26">
        <f>IF(ISNUMBER(SEARCH("#",B3729)),VALUE(MID(B3729,FIND("#",B3729)+1,1000)),1)</f>
        <v>2</v>
      </c>
      <c r="H3729" t="str">
        <f>IF(AND(regexMatch(B3729,".*#[0-9]*$"),ISNUMBER(SEARCH("#",B3729))),CONCATENATE(TRIM(F3729)," #",G3729),B3729)</f>
        <v>Dart #2</v>
      </c>
    </row>
    <row r="3730" spans="1:8" ht="15.75" thickBot="1" x14ac:dyDescent="0.3">
      <c r="A3730" s="1" t="s">
        <v>1205</v>
      </c>
      <c r="B3730" s="1" t="s">
        <v>1206</v>
      </c>
      <c r="C3730" s="2" t="s">
        <v>5</v>
      </c>
      <c r="D3730" s="2" t="s">
        <v>6</v>
      </c>
      <c r="E3730" s="3" t="str">
        <f>IF(ISERROR(VLOOKUP(B3730,Failures!$A$1:$A$4000,1,FALSE)),"Keep","Delete")</f>
        <v>Keep</v>
      </c>
      <c r="F3730" t="str">
        <f>IF(ISNUMBER(SEARCH("#",B3730)), LEFT(B3730,FIND("#",B3730)-1), B3730)</f>
        <v>Dart Board</v>
      </c>
      <c r="G3730" s="26">
        <f>IF(ISNUMBER(SEARCH("#",B3730)),VALUE(MID(B3730,FIND("#",B3730)+1,1000)),1)</f>
        <v>1</v>
      </c>
      <c r="H3730" t="str">
        <f>IF(AND(regexMatch(B3730,".*#[0-9]*$"),ISNUMBER(SEARCH("#",B3730))),CONCATENATE(TRIM(F3730)," #",G3730),B3730)</f>
        <v>Dart Board</v>
      </c>
    </row>
    <row r="3731" spans="1:8" ht="15.75" thickBot="1" x14ac:dyDescent="0.3">
      <c r="A3731" s="1" t="s">
        <v>1207</v>
      </c>
      <c r="B3731" s="1" t="s">
        <v>1208</v>
      </c>
      <c r="C3731" s="2" t="s">
        <v>5</v>
      </c>
      <c r="D3731" s="2" t="s">
        <v>6</v>
      </c>
      <c r="E3731" s="3" t="str">
        <f>IF(ISERROR(VLOOKUP(B3731,Failures!$A$1:$A$4000,1,FALSE)),"Keep","Delete")</f>
        <v>Keep</v>
      </c>
      <c r="F3731" t="str">
        <f>IF(ISNUMBER(SEARCH("#",B3731)), LEFT(B3731,FIND("#",B3731)-1), B3731)</f>
        <v>Dart Board In Cabinet</v>
      </c>
      <c r="G3731" s="26">
        <f>IF(ISNUMBER(SEARCH("#",B3731)),VALUE(MID(B3731,FIND("#",B3731)+1,1000)),1)</f>
        <v>1</v>
      </c>
      <c r="H3731" t="str">
        <f>IF(AND(regexMatch(B3731,".*#[0-9]*$"),ISNUMBER(SEARCH("#",B3731))),CONCATENATE(TRIM(F3731)," #",G3731),B3731)</f>
        <v>Dart Board In Cabinet</v>
      </c>
    </row>
    <row r="3732" spans="1:8" ht="15.75" thickBot="1" x14ac:dyDescent="0.3">
      <c r="A3732" s="1" t="s">
        <v>4907</v>
      </c>
      <c r="B3732" s="1" t="s">
        <v>10332</v>
      </c>
      <c r="C3732" s="1"/>
      <c r="D3732" s="2" t="s">
        <v>6</v>
      </c>
      <c r="E3732" s="3" t="str">
        <f>IF(ISERROR(VLOOKUP(B3732,Failures!$A$1:$A$4000,1,FALSE)),"Keep","Delete")</f>
        <v>Keep</v>
      </c>
      <c r="F3732" t="str">
        <f>IF(ISNUMBER(SEARCH("#",B3732)), LEFT(B3732,FIND("#",B3732)-1), B3732)</f>
        <v>Exercise Ball</v>
      </c>
      <c r="G3732" s="26">
        <f>IF(ISNUMBER(SEARCH("#",B3732)),VALUE(MID(B3732,FIND("#",B3732)+1,1000)),1)</f>
        <v>1</v>
      </c>
      <c r="H3732" t="str">
        <f>IF(AND(regexMatch(B3732,".*#[0-9]*$"),ISNUMBER(SEARCH("#",B3732))),CONCATENATE(TRIM(F3732)," #",G3732),B3732)</f>
        <v>Exercise Ball</v>
      </c>
    </row>
    <row r="3733" spans="1:8" ht="15.75" thickBot="1" x14ac:dyDescent="0.3">
      <c r="A3733" s="1" t="s">
        <v>1340</v>
      </c>
      <c r="B3733" s="1" t="s">
        <v>3672</v>
      </c>
      <c r="C3733" s="2" t="s">
        <v>5</v>
      </c>
      <c r="D3733" s="2" t="s">
        <v>6</v>
      </c>
      <c r="E3733" s="3" t="str">
        <f>IF(ISERROR(VLOOKUP(B3733,Failures!$A$1:$A$4000,1,FALSE)),"Keep","Delete")</f>
        <v>Keep</v>
      </c>
      <c r="F3733" t="str">
        <f>IF(ISNUMBER(SEARCH("#",B3733)), LEFT(B3733,FIND("#",B3733)-1), B3733)</f>
        <v>Exercise Bike</v>
      </c>
      <c r="G3733" s="26">
        <f>IF(ISNUMBER(SEARCH("#",B3733)),VALUE(MID(B3733,FIND("#",B3733)+1,1000)),1)</f>
        <v>1</v>
      </c>
      <c r="H3733" t="str">
        <f>IF(AND(regexMatch(B3733,".*#[0-9]*$"),ISNUMBER(SEARCH("#",B3733))),CONCATENATE(TRIM(F3733)," #",G3733),B3733)</f>
        <v>Exercise Bike</v>
      </c>
    </row>
    <row r="3734" spans="1:8" ht="15.75" thickBot="1" x14ac:dyDescent="0.3">
      <c r="A3734" s="27" t="s">
        <v>7319</v>
      </c>
      <c r="B3734" s="22" t="s">
        <v>10582</v>
      </c>
      <c r="C3734" s="1"/>
      <c r="D3734" s="2" t="s">
        <v>6</v>
      </c>
      <c r="E3734" s="3" t="str">
        <f>IF(ISERROR(VLOOKUP(B3734,Failures!$A$1:$A$4000,1,FALSE)),"Keep","Delete")</f>
        <v>Keep</v>
      </c>
      <c r="F3734" t="str">
        <f>IF(ISNUMBER(SEARCH("#",B3734)), LEFT(B3734,FIND("#",B3734)-1), B3734)</f>
        <v>Football</v>
      </c>
      <c r="G3734" s="26">
        <f>IF(ISNUMBER(SEARCH("#",B3734)),VALUE(MID(B3734,FIND("#",B3734)+1,1000)),1)</f>
        <v>1</v>
      </c>
      <c r="H3734" t="str">
        <f>IF(AND(regexMatch(B3734,".*#[0-9]*$"),ISNUMBER(SEARCH("#",B3734))),CONCATENATE(TRIM(F3734)," #",G3734),B3734)</f>
        <v>Football</v>
      </c>
    </row>
    <row r="3735" spans="1:8" ht="15.75" thickBot="1" x14ac:dyDescent="0.3">
      <c r="A3735" s="1" t="s">
        <v>1492</v>
      </c>
      <c r="B3735" s="1" t="s">
        <v>1493</v>
      </c>
      <c r="C3735" s="4" t="s">
        <v>5</v>
      </c>
      <c r="D3735" s="2" t="s">
        <v>6</v>
      </c>
      <c r="E3735" s="3" t="str">
        <f>IF(ISERROR(VLOOKUP(B3735,Failures!$A$1:$A$4000,1,FALSE)),"Keep","Delete")</f>
        <v>Keep</v>
      </c>
      <c r="F3735" t="str">
        <f>IF(ISNUMBER(SEARCH("#",B3735)), LEFT(B3735,FIND("#",B3735)-1), B3735)</f>
        <v xml:space="preserve">Free Weight </v>
      </c>
      <c r="G3735" s="26">
        <f>IF(ISNUMBER(SEARCH("#",B3735)),VALUE(MID(B3735,FIND("#",B3735)+1,1000)),1)</f>
        <v>1</v>
      </c>
      <c r="H3735" t="str">
        <f>IF(AND(regexMatch(B3735,".*#[0-9]*$"),ISNUMBER(SEARCH("#",B3735))),CONCATENATE(TRIM(F3735)," #",G3735),B3735)</f>
        <v>Free Weight #1</v>
      </c>
    </row>
    <row r="3736" spans="1:8" ht="15.75" thickBot="1" x14ac:dyDescent="0.3">
      <c r="A3736" s="1" t="s">
        <v>1494</v>
      </c>
      <c r="B3736" s="1" t="s">
        <v>1495</v>
      </c>
      <c r="C3736" s="4" t="s">
        <v>5</v>
      </c>
      <c r="D3736" s="2" t="s">
        <v>6</v>
      </c>
      <c r="E3736" s="3" t="str">
        <f>IF(ISERROR(VLOOKUP(B3736,Failures!$A$1:$A$4000,1,FALSE)),"Keep","Delete")</f>
        <v>Keep</v>
      </c>
      <c r="F3736" t="str">
        <f>IF(ISNUMBER(SEARCH("#",B3736)), LEFT(B3736,FIND("#",B3736)-1), B3736)</f>
        <v xml:space="preserve">Free Weight </v>
      </c>
      <c r="G3736" s="26">
        <f>IF(ISNUMBER(SEARCH("#",B3736)),VALUE(MID(B3736,FIND("#",B3736)+1,1000)),1)</f>
        <v>2</v>
      </c>
      <c r="H3736" t="str">
        <f>IF(AND(regexMatch(B3736,".*#[0-9]*$"),ISNUMBER(SEARCH("#",B3736))),CONCATENATE(TRIM(F3736)," #",G3736),B3736)</f>
        <v>Free Weight #2</v>
      </c>
    </row>
    <row r="3737" spans="1:8" ht="15.75" thickBot="1" x14ac:dyDescent="0.3">
      <c r="A3737" s="1" t="s">
        <v>4919</v>
      </c>
      <c r="B3737" s="1" t="s">
        <v>10040</v>
      </c>
      <c r="C3737" s="1"/>
      <c r="D3737" s="2" t="s">
        <v>6</v>
      </c>
      <c r="E3737" s="3" t="str">
        <f>IF(ISERROR(VLOOKUP(B3737,Failures!$A$1:$A$4000,1,FALSE)),"Keep","Delete")</f>
        <v>Keep</v>
      </c>
      <c r="F3737" t="str">
        <f>IF(ISNUMBER(SEARCH("#",B3737)), LEFT(B3737,FIND("#",B3737)-1), B3737)</f>
        <v>Goal Posts</v>
      </c>
      <c r="G3737" s="26">
        <f>IF(ISNUMBER(SEARCH("#",B3737)),VALUE(MID(B3737,FIND("#",B3737)+1,1000)),1)</f>
        <v>1</v>
      </c>
      <c r="H3737" t="str">
        <f>IF(AND(regexMatch(B3737,".*#[0-9]*$"),ISNUMBER(SEARCH("#",B3737))),CONCATENATE(TRIM(F3737)," #",G3737),B3737)</f>
        <v>Goal Posts</v>
      </c>
    </row>
    <row r="3738" spans="1:8" ht="15.75" thickBot="1" x14ac:dyDescent="0.3">
      <c r="A3738" s="27" t="s">
        <v>6576</v>
      </c>
      <c r="B3738" s="22" t="s">
        <v>10638</v>
      </c>
      <c r="C3738" s="1"/>
      <c r="D3738" s="2" t="s">
        <v>6</v>
      </c>
      <c r="E3738" s="3" t="str">
        <f>IF(ISERROR(VLOOKUP(B3738,Failures!$A$1:$A$4000,1,FALSE)),"Keep","Delete")</f>
        <v>Keep</v>
      </c>
      <c r="F3738" t="str">
        <f>IF(ISNUMBER(SEARCH("#",B3738)), LEFT(B3738,FIND("#",B3738)-1), B3738)</f>
        <v>Hockey Puck</v>
      </c>
      <c r="G3738" s="26">
        <f>IF(ISNUMBER(SEARCH("#",B3738)),VALUE(MID(B3738,FIND("#",B3738)+1,1000)),1)</f>
        <v>1</v>
      </c>
      <c r="H3738" t="str">
        <f>IF(AND(regexMatch(B3738,".*#[0-9]*$"),ISNUMBER(SEARCH("#",B3738))),CONCATENATE(TRIM(F3738)," #",G3738),B3738)</f>
        <v>Hockey Puck</v>
      </c>
    </row>
    <row r="3739" spans="1:8" ht="15.75" thickBot="1" x14ac:dyDescent="0.3">
      <c r="A3739" s="1" t="s">
        <v>2588</v>
      </c>
      <c r="B3739" s="1" t="s">
        <v>2589</v>
      </c>
      <c r="C3739" s="2" t="s">
        <v>5</v>
      </c>
      <c r="D3739" s="2" t="s">
        <v>6</v>
      </c>
      <c r="E3739" s="3" t="str">
        <f>IF(ISERROR(VLOOKUP(B3739,Failures!$A$1:$A$4000,1,FALSE)),"Keep","Delete")</f>
        <v>Keep</v>
      </c>
      <c r="F3739" t="str">
        <f>IF(ISNUMBER(SEARCH("#",B3739)), LEFT(B3739,FIND("#",B3739)-1), B3739)</f>
        <v>Prison Fitness Bars</v>
      </c>
      <c r="G3739" s="26">
        <f>IF(ISNUMBER(SEARCH("#",B3739)),VALUE(MID(B3739,FIND("#",B3739)+1,1000)),1)</f>
        <v>1</v>
      </c>
      <c r="H3739" t="str">
        <f>IF(AND(regexMatch(B3739,".*#[0-9]*$"),ISNUMBER(SEARCH("#",B3739))),CONCATENATE(TRIM(F3739)," #",G3739),B3739)</f>
        <v>Prison Fitness Bars</v>
      </c>
    </row>
    <row r="3740" spans="1:8" ht="15.75" thickBot="1" x14ac:dyDescent="0.3">
      <c r="A3740" s="1" t="s">
        <v>2590</v>
      </c>
      <c r="B3740" s="1" t="s">
        <v>2591</v>
      </c>
      <c r="C3740" s="2" t="s">
        <v>5</v>
      </c>
      <c r="D3740" s="2" t="s">
        <v>6</v>
      </c>
      <c r="E3740" s="3" t="str">
        <f>IF(ISERROR(VLOOKUP(B3740,Failures!$A$1:$A$4000,1,FALSE)),"Keep","Delete")</f>
        <v>Keep</v>
      </c>
      <c r="F3740" t="str">
        <f>IF(ISNUMBER(SEARCH("#",B3740)), LEFT(B3740,FIND("#",B3740)-1), B3740)</f>
        <v>Prison Weightlifting Bench</v>
      </c>
      <c r="G3740" s="26">
        <f>IF(ISNUMBER(SEARCH("#",B3740)),VALUE(MID(B3740,FIND("#",B3740)+1,1000)),1)</f>
        <v>1</v>
      </c>
      <c r="H3740" t="str">
        <f>IF(AND(regexMatch(B3740,".*#[0-9]*$"),ISNUMBER(SEARCH("#",B3740))),CONCATENATE(TRIM(F3740)," #",G3740),B3740)</f>
        <v>Prison Weightlifting Bench</v>
      </c>
    </row>
    <row r="3741" spans="1:8" ht="15.75" thickBot="1" x14ac:dyDescent="0.3">
      <c r="A3741" s="1" t="s">
        <v>2611</v>
      </c>
      <c r="B3741" s="1" t="s">
        <v>2612</v>
      </c>
      <c r="C3741" s="2" t="s">
        <v>5</v>
      </c>
      <c r="D3741" s="2" t="s">
        <v>6</v>
      </c>
      <c r="E3741" s="3" t="str">
        <f>IF(ISERROR(VLOOKUP(B3741,Failures!$A$1:$A$4000,1,FALSE)),"Keep","Delete")</f>
        <v>Keep</v>
      </c>
      <c r="F3741" t="str">
        <f>IF(ISNUMBER(SEARCH("#",B3741)), LEFT(B3741,FIND("#",B3741)-1), B3741)</f>
        <v>Punch Bag Large</v>
      </c>
      <c r="G3741" s="26">
        <f>IF(ISNUMBER(SEARCH("#",B3741)),VALUE(MID(B3741,FIND("#",B3741)+1,1000)),1)</f>
        <v>1</v>
      </c>
      <c r="H3741" t="str">
        <f>IF(AND(regexMatch(B3741,".*#[0-9]*$"),ISNUMBER(SEARCH("#",B3741))),CONCATENATE(TRIM(F3741)," #",G3741),B3741)</f>
        <v>Punch Bag Large</v>
      </c>
    </row>
    <row r="3742" spans="1:8" ht="15.75" thickBot="1" x14ac:dyDescent="0.3">
      <c r="A3742" s="1" t="s">
        <v>2655</v>
      </c>
      <c r="B3742" s="1" t="s">
        <v>3854</v>
      </c>
      <c r="C3742" s="2" t="s">
        <v>5</v>
      </c>
      <c r="D3742" s="2" t="s">
        <v>6</v>
      </c>
      <c r="E3742" s="3" t="str">
        <f>IF(ISERROR(VLOOKUP(B3742,Failures!$A$1:$A$4000,1,FALSE)),"Keep","Delete")</f>
        <v>Keep</v>
      </c>
      <c r="F3742" t="str">
        <f>IF(ISNUMBER(SEARCH("#",B3742)), LEFT(B3742,FIND("#",B3742)-1), B3742)</f>
        <v>Riding Crop</v>
      </c>
      <c r="G3742" s="26">
        <f>IF(ISNUMBER(SEARCH("#",B3742)),VALUE(MID(B3742,FIND("#",B3742)+1,1000)),1)</f>
        <v>1</v>
      </c>
      <c r="H3742" t="str">
        <f>IF(AND(regexMatch(B3742,".*#[0-9]*$"),ISNUMBER(SEARCH("#",B3742))),CONCATENATE(TRIM(F3742)," #",G3742),B3742)</f>
        <v>Riding Crop</v>
      </c>
    </row>
    <row r="3743" spans="1:8" ht="15.75" thickBot="1" x14ac:dyDescent="0.3">
      <c r="A3743" s="1" t="s">
        <v>2671</v>
      </c>
      <c r="B3743" s="1" t="s">
        <v>2672</v>
      </c>
      <c r="C3743" s="2" t="s">
        <v>5</v>
      </c>
      <c r="D3743" s="2" t="s">
        <v>6</v>
      </c>
      <c r="E3743" s="3" t="str">
        <f>IF(ISERROR(VLOOKUP(B3743,Failures!$A$1:$A$4000,1,FALSE)),"Keep","Delete")</f>
        <v>Keep</v>
      </c>
      <c r="F3743" t="str">
        <f>IF(ISNUMBER(SEARCH("#",B3743)), LEFT(B3743,FIND("#",B3743)-1), B3743)</f>
        <v>Rolled Yoga Mat</v>
      </c>
      <c r="G3743" s="26">
        <f>IF(ISNUMBER(SEARCH("#",B3743)),VALUE(MID(B3743,FIND("#",B3743)+1,1000)),1)</f>
        <v>1</v>
      </c>
      <c r="H3743" t="str">
        <f>IF(AND(regexMatch(B3743,".*#[0-9]*$"),ISNUMBER(SEARCH("#",B3743))),CONCATENATE(TRIM(F3743)," #",G3743),B3743)</f>
        <v>Rolled Yoga Mat</v>
      </c>
    </row>
    <row r="3744" spans="1:8" ht="15.75" thickBot="1" x14ac:dyDescent="0.3">
      <c r="A3744" s="1" t="s">
        <v>2930</v>
      </c>
      <c r="B3744" s="1" t="s">
        <v>3893</v>
      </c>
      <c r="C3744" s="4" t="s">
        <v>5</v>
      </c>
      <c r="D3744" s="2" t="s">
        <v>6</v>
      </c>
      <c r="E3744" s="3" t="str">
        <f>IF(ISERROR(VLOOKUP(B3744,Failures!$A$1:$A$4000,1,FALSE)),"Keep","Delete")</f>
        <v>Keep</v>
      </c>
      <c r="F3744" t="str">
        <f>IF(ISNUMBER(SEARCH("#",B3744)), LEFT(B3744,FIND("#",B3744)-1), B3744)</f>
        <v>Speedball</v>
      </c>
      <c r="G3744" s="26">
        <f>IF(ISNUMBER(SEARCH("#",B3744)),VALUE(MID(B3744,FIND("#",B3744)+1,1000)),1)</f>
        <v>1</v>
      </c>
      <c r="H3744" t="str">
        <f>IF(AND(regexMatch(B3744,".*#[0-9]*$"),ISNUMBER(SEARCH("#",B3744))),CONCATENATE(TRIM(F3744)," #",G3744),B3744)</f>
        <v>Speedball</v>
      </c>
    </row>
    <row r="3745" spans="1:8" ht="15.75" thickBot="1" x14ac:dyDescent="0.3">
      <c r="A3745" s="1" t="s">
        <v>3016</v>
      </c>
      <c r="B3745" s="1" t="s">
        <v>3017</v>
      </c>
      <c r="C3745" s="2" t="s">
        <v>5</v>
      </c>
      <c r="D3745" s="2" t="s">
        <v>6</v>
      </c>
      <c r="E3745" s="3" t="str">
        <f>IF(ISERROR(VLOOKUP(B3745,Failures!$A$1:$A$4000,1,FALSE)),"Keep","Delete")</f>
        <v>Keep</v>
      </c>
      <c r="F3745" t="str">
        <f>IF(ISNUMBER(SEARCH("#",B3745)), LEFT(B3745,FIND("#",B3745)-1), B3745)</f>
        <v xml:space="preserve">Surf Board </v>
      </c>
      <c r="G3745" s="26">
        <f>IF(ISNUMBER(SEARCH("#",B3745)),VALUE(MID(B3745,FIND("#",B3745)+1,1000)),1)</f>
        <v>1</v>
      </c>
      <c r="H3745" t="str">
        <f>IF(AND(regexMatch(B3745,".*#[0-9]*$"),ISNUMBER(SEARCH("#",B3745))),CONCATENATE(TRIM(F3745)," #",G3745),B3745)</f>
        <v>Surf Board #1</v>
      </c>
    </row>
    <row r="3746" spans="1:8" ht="15.75" thickBot="1" x14ac:dyDescent="0.3">
      <c r="A3746" s="1" t="s">
        <v>4910</v>
      </c>
      <c r="B3746" s="1" t="s">
        <v>3017</v>
      </c>
      <c r="C3746" s="1"/>
      <c r="D3746" s="2" t="s">
        <v>6</v>
      </c>
      <c r="E3746" s="3" t="str">
        <f>IF(ISERROR(VLOOKUP(B3746,Failures!$A$1:$A$4000,1,FALSE)),"Keep","Delete")</f>
        <v>Keep</v>
      </c>
      <c r="F3746" t="str">
        <f>IF(ISNUMBER(SEARCH("#",B3746)), LEFT(B3746,FIND("#",B3746)-1), B3746)</f>
        <v xml:space="preserve">Surf Board </v>
      </c>
      <c r="G3746" s="26">
        <f>IF(ISNUMBER(SEARCH("#",B3746)),VALUE(MID(B3746,FIND("#",B3746)+1,1000)),1)</f>
        <v>1</v>
      </c>
      <c r="H3746" t="str">
        <f>IF(AND(regexMatch(B3746,".*#[0-9]*$"),ISNUMBER(SEARCH("#",B3746))),CONCATENATE(TRIM(F3746)," #",G3746),B3746)</f>
        <v>Surf Board #1</v>
      </c>
    </row>
    <row r="3747" spans="1:8" ht="15.75" thickBot="1" x14ac:dyDescent="0.3">
      <c r="A3747" s="1" t="s">
        <v>3018</v>
      </c>
      <c r="B3747" s="1" t="s">
        <v>3019</v>
      </c>
      <c r="C3747" s="2" t="s">
        <v>5</v>
      </c>
      <c r="D3747" s="2" t="s">
        <v>6</v>
      </c>
      <c r="E3747" s="3" t="str">
        <f>IF(ISERROR(VLOOKUP(B3747,Failures!$A$1:$A$4000,1,FALSE)),"Keep","Delete")</f>
        <v>Keep</v>
      </c>
      <c r="F3747" t="str">
        <f>IF(ISNUMBER(SEARCH("#",B3747)), LEFT(B3747,FIND("#",B3747)-1), B3747)</f>
        <v xml:space="preserve">Surf Board </v>
      </c>
      <c r="G3747" s="26">
        <f>IF(ISNUMBER(SEARCH("#",B3747)),VALUE(MID(B3747,FIND("#",B3747)+1,1000)),1)</f>
        <v>2</v>
      </c>
      <c r="H3747" t="str">
        <f>IF(AND(regexMatch(B3747,".*#[0-9]*$"),ISNUMBER(SEARCH("#",B3747))),CONCATENATE(TRIM(F3747)," #",G3747),B3747)</f>
        <v>Surf Board #2</v>
      </c>
    </row>
    <row r="3748" spans="1:8" ht="15.75" thickBot="1" x14ac:dyDescent="0.3">
      <c r="A3748" s="1" t="s">
        <v>4909</v>
      </c>
      <c r="B3748" s="1" t="s">
        <v>3019</v>
      </c>
      <c r="C3748" s="1"/>
      <c r="D3748" s="2" t="s">
        <v>6</v>
      </c>
      <c r="E3748" s="3" t="str">
        <f>IF(ISERROR(VLOOKUP(B3748,Failures!$A$1:$A$4000,1,FALSE)),"Keep","Delete")</f>
        <v>Keep</v>
      </c>
      <c r="F3748" t="str">
        <f>IF(ISNUMBER(SEARCH("#",B3748)), LEFT(B3748,FIND("#",B3748)-1), B3748)</f>
        <v xml:space="preserve">Surf Board </v>
      </c>
      <c r="G3748" s="26">
        <f>IF(ISNUMBER(SEARCH("#",B3748)),VALUE(MID(B3748,FIND("#",B3748)+1,1000)),1)</f>
        <v>2</v>
      </c>
      <c r="H3748" t="str">
        <f>IF(AND(regexMatch(B3748,".*#[0-9]*$"),ISNUMBER(SEARCH("#",B3748))),CONCATENATE(TRIM(F3748)," #",G3748),B3748)</f>
        <v>Surf Board #2</v>
      </c>
    </row>
    <row r="3749" spans="1:8" ht="15.75" thickBot="1" x14ac:dyDescent="0.3">
      <c r="A3749" s="1" t="s">
        <v>3020</v>
      </c>
      <c r="B3749" s="1" t="s">
        <v>3021</v>
      </c>
      <c r="C3749" s="2" t="s">
        <v>5</v>
      </c>
      <c r="D3749" s="2" t="s">
        <v>6</v>
      </c>
      <c r="E3749" s="3" t="str">
        <f>IF(ISERROR(VLOOKUP(B3749,Failures!$A$1:$A$4000,1,FALSE)),"Keep","Delete")</f>
        <v>Keep</v>
      </c>
      <c r="F3749" t="str">
        <f>IF(ISNUMBER(SEARCH("#",B3749)), LEFT(B3749,FIND("#",B3749)-1), B3749)</f>
        <v xml:space="preserve">Surf Board </v>
      </c>
      <c r="G3749" s="26">
        <f>IF(ISNUMBER(SEARCH("#",B3749)),VALUE(MID(B3749,FIND("#",B3749)+1,1000)),1)</f>
        <v>3</v>
      </c>
      <c r="H3749" t="str">
        <f>IF(AND(regexMatch(B3749,".*#[0-9]*$"),ISNUMBER(SEARCH("#",B3749))),CONCATENATE(TRIM(F3749)," #",G3749),B3749)</f>
        <v>Surf Board #3</v>
      </c>
    </row>
    <row r="3750" spans="1:8" ht="15.75" thickBot="1" x14ac:dyDescent="0.3">
      <c r="A3750" s="1" t="s">
        <v>4908</v>
      </c>
      <c r="B3750" s="1" t="s">
        <v>3021</v>
      </c>
      <c r="C3750" s="1"/>
      <c r="D3750" s="2" t="s">
        <v>6</v>
      </c>
      <c r="E3750" s="3" t="str">
        <f>IF(ISERROR(VLOOKUP(B3750,Failures!$A$1:$A$4000,1,FALSE)),"Keep","Delete")</f>
        <v>Keep</v>
      </c>
      <c r="F3750" t="str">
        <f>IF(ISNUMBER(SEARCH("#",B3750)), LEFT(B3750,FIND("#",B3750)-1), B3750)</f>
        <v xml:space="preserve">Surf Board </v>
      </c>
      <c r="G3750" s="26">
        <f>IF(ISNUMBER(SEARCH("#",B3750)),VALUE(MID(B3750,FIND("#",B3750)+1,1000)),1)</f>
        <v>3</v>
      </c>
      <c r="H3750" t="str">
        <f>IF(AND(regexMatch(B3750,".*#[0-9]*$"),ISNUMBER(SEARCH("#",B3750))),CONCATENATE(TRIM(F3750)," #",G3750),B3750)</f>
        <v>Surf Board #3</v>
      </c>
    </row>
    <row r="3751" spans="1:8" ht="15.75" thickBot="1" x14ac:dyDescent="0.3">
      <c r="A3751" s="1" t="s">
        <v>3022</v>
      </c>
      <c r="B3751" s="1" t="s">
        <v>3023</v>
      </c>
      <c r="C3751" s="2" t="s">
        <v>5</v>
      </c>
      <c r="D3751" s="2" t="s">
        <v>6</v>
      </c>
      <c r="E3751" s="3" t="str">
        <f>IF(ISERROR(VLOOKUP(B3751,Failures!$A$1:$A$4000,1,FALSE)),"Keep","Delete")</f>
        <v>Keep</v>
      </c>
      <c r="F3751" t="str">
        <f>IF(ISNUMBER(SEARCH("#",B3751)), LEFT(B3751,FIND("#",B3751)-1), B3751)</f>
        <v xml:space="preserve">Surf Board </v>
      </c>
      <c r="G3751" s="26">
        <f>IF(ISNUMBER(SEARCH("#",B3751)),VALUE(MID(B3751,FIND("#",B3751)+1,1000)),1)</f>
        <v>4</v>
      </c>
      <c r="H3751" t="str">
        <f>IF(AND(regexMatch(B3751,".*#[0-9]*$"),ISNUMBER(SEARCH("#",B3751))),CONCATENATE(TRIM(F3751)," #",G3751),B3751)</f>
        <v>Surf Board #4</v>
      </c>
    </row>
    <row r="3752" spans="1:8" ht="15.75" thickBot="1" x14ac:dyDescent="0.3">
      <c r="A3752" s="7" t="s">
        <v>4082</v>
      </c>
      <c r="B3752" s="11" t="s">
        <v>4371</v>
      </c>
      <c r="C3752" s="9"/>
      <c r="D3752" s="2" t="s">
        <v>6</v>
      </c>
      <c r="E3752" s="3" t="str">
        <f>IF(ISERROR(VLOOKUP(B3752,Failures!$A$1:$A$4000,1,FALSE)),"Keep","Delete")</f>
        <v>Keep</v>
      </c>
      <c r="F3752" t="str">
        <f>IF(ISNUMBER(SEARCH("#",B3752)), LEFT(B3752,FIND("#",B3752)-1), B3752)</f>
        <v xml:space="preserve">Surf Board </v>
      </c>
      <c r="G3752" s="26">
        <f>IF(ISNUMBER(SEARCH("#",B3752)),VALUE(MID(B3752,FIND("#",B3752)+1,1000)),1)</f>
        <v>5</v>
      </c>
      <c r="H3752" t="str">
        <f>IF(AND(regexMatch(B3752,".*#[0-9]*$"),ISNUMBER(SEARCH("#",B3752))),CONCATENATE(TRIM(F3752)," #",G3752),B3752)</f>
        <v>Surf Board #5</v>
      </c>
    </row>
    <row r="3753" spans="1:8" ht="15.75" thickBot="1" x14ac:dyDescent="0.3">
      <c r="A3753" s="1" t="s">
        <v>3054</v>
      </c>
      <c r="B3753" s="1" t="s">
        <v>3055</v>
      </c>
      <c r="C3753" s="2" t="s">
        <v>5</v>
      </c>
      <c r="D3753" s="2" t="s">
        <v>6</v>
      </c>
      <c r="E3753" s="3" t="str">
        <f>IF(ISERROR(VLOOKUP(B3753,Failures!$A$1:$A$4000,1,FALSE)),"Keep","Delete")</f>
        <v>Keep</v>
      </c>
      <c r="F3753" t="str">
        <f>IF(ISNUMBER(SEARCH("#",B3753)), LEFT(B3753,FIND("#",B3753)-1), B3753)</f>
        <v>Table Tennis</v>
      </c>
      <c r="G3753" s="26">
        <f>IF(ISNUMBER(SEARCH("#",B3753)),VALUE(MID(B3753,FIND("#",B3753)+1,1000)),1)</f>
        <v>1</v>
      </c>
      <c r="H3753" t="str">
        <f>IF(AND(regexMatch(B3753,".*#[0-9]*$"),ISNUMBER(SEARCH("#",B3753))),CONCATENATE(TRIM(F3753)," #",G3753),B3753)</f>
        <v>Table Tennis</v>
      </c>
    </row>
    <row r="3754" spans="1:8" ht="15.75" thickBot="1" x14ac:dyDescent="0.3">
      <c r="A3754" s="1" t="s">
        <v>2440</v>
      </c>
      <c r="B3754" s="1" t="s">
        <v>2441</v>
      </c>
      <c r="C3754" s="2" t="s">
        <v>5</v>
      </c>
      <c r="D3754" s="2" t="s">
        <v>6</v>
      </c>
      <c r="E3754" s="3" t="str">
        <f>IF(ISERROR(VLOOKUP(B3754,Failures!$A$1:$A$4000,1,FALSE)),"Keep","Delete")</f>
        <v>Keep</v>
      </c>
      <c r="F3754" t="str">
        <f>IF(ISNUMBER(SEARCH("#",B3754)), LEFT(B3754,FIND("#",B3754)-1), B3754)</f>
        <v>Table Tennis Ball</v>
      </c>
      <c r="G3754" s="26">
        <f>IF(ISNUMBER(SEARCH("#",B3754)),VALUE(MID(B3754,FIND("#",B3754)+1,1000)),1)</f>
        <v>1</v>
      </c>
      <c r="H3754" t="str">
        <f>IF(AND(regexMatch(B3754,".*#[0-9]*$"),ISNUMBER(SEARCH("#",B3754))),CONCATENATE(TRIM(F3754)," #",G3754),B3754)</f>
        <v>Table Tennis Ball</v>
      </c>
    </row>
    <row r="3755" spans="1:8" ht="15.75" thickBot="1" x14ac:dyDescent="0.3">
      <c r="A3755" s="1" t="s">
        <v>3052</v>
      </c>
      <c r="B3755" s="1" t="s">
        <v>3053</v>
      </c>
      <c r="C3755" s="2" t="s">
        <v>5</v>
      </c>
      <c r="D3755" s="2" t="s">
        <v>6</v>
      </c>
      <c r="E3755" s="3" t="str">
        <f>IF(ISERROR(VLOOKUP(B3755,Failures!$A$1:$A$4000,1,FALSE)),"Keep","Delete")</f>
        <v>Keep</v>
      </c>
      <c r="F3755" t="str">
        <f>IF(ISNUMBER(SEARCH("#",B3755)), LEFT(B3755,FIND("#",B3755)-1), B3755)</f>
        <v>Table Tennis Bat</v>
      </c>
      <c r="G3755" s="26">
        <f>IF(ISNUMBER(SEARCH("#",B3755)),VALUE(MID(B3755,FIND("#",B3755)+1,1000)),1)</f>
        <v>1</v>
      </c>
      <c r="H3755" t="str">
        <f>IF(AND(regexMatch(B3755,".*#[0-9]*$"),ISNUMBER(SEARCH("#",B3755))),CONCATENATE(TRIM(F3755)," #",G3755),B3755)</f>
        <v>Table Tennis Bat</v>
      </c>
    </row>
    <row r="3756" spans="1:8" ht="15.75" thickBot="1" x14ac:dyDescent="0.3">
      <c r="A3756" s="1" t="s">
        <v>3132</v>
      </c>
      <c r="B3756" s="1" t="s">
        <v>3133</v>
      </c>
      <c r="C3756" s="2" t="s">
        <v>5</v>
      </c>
      <c r="D3756" s="2" t="s">
        <v>6</v>
      </c>
      <c r="E3756" s="3" t="str">
        <f>IF(ISERROR(VLOOKUP(B3756,Failures!$A$1:$A$4000,1,FALSE)),"Keep","Delete")</f>
        <v>Keep</v>
      </c>
      <c r="F3756" t="str">
        <f>IF(ISNUMBER(SEARCH("#",B3756)), LEFT(B3756,FIND("#",B3756)-1), B3756)</f>
        <v>Tennis Ball</v>
      </c>
      <c r="G3756" s="26">
        <f>IF(ISNUMBER(SEARCH("#",B3756)),VALUE(MID(B3756,FIND("#",B3756)+1,1000)),1)</f>
        <v>1</v>
      </c>
      <c r="H3756" t="str">
        <f>IF(AND(regexMatch(B3756,".*#[0-9]*$"),ISNUMBER(SEARCH("#",B3756))),CONCATENATE(TRIM(F3756)," #",G3756),B3756)</f>
        <v>Tennis Ball</v>
      </c>
    </row>
    <row r="3757" spans="1:8" ht="15.75" thickBot="1" x14ac:dyDescent="0.3">
      <c r="A3757" s="1" t="s">
        <v>3134</v>
      </c>
      <c r="B3757" s="1" t="s">
        <v>3135</v>
      </c>
      <c r="C3757" s="2" t="s">
        <v>5</v>
      </c>
      <c r="D3757" s="2" t="s">
        <v>6</v>
      </c>
      <c r="E3757" s="3" t="str">
        <f>IF(ISERROR(VLOOKUP(B3757,Failures!$A$1:$A$4000,1,FALSE)),"Keep","Delete")</f>
        <v>Keep</v>
      </c>
      <c r="F3757" t="str">
        <f>IF(ISNUMBER(SEARCH("#",B3757)), LEFT(B3757,FIND("#",B3757)-1), B3757)</f>
        <v>Tennis Ball Lobber</v>
      </c>
      <c r="G3757" s="26">
        <f>IF(ISNUMBER(SEARCH("#",B3757)),VALUE(MID(B3757,FIND("#",B3757)+1,1000)),1)</f>
        <v>1</v>
      </c>
      <c r="H3757" t="str">
        <f>IF(AND(regexMatch(B3757,".*#[0-9]*$"),ISNUMBER(SEARCH("#",B3757))),CONCATENATE(TRIM(F3757)," #",G3757),B3757)</f>
        <v>Tennis Ball Lobber</v>
      </c>
    </row>
    <row r="3758" spans="1:8" ht="15.75" thickBot="1" x14ac:dyDescent="0.3">
      <c r="A3758" s="1" t="s">
        <v>3136</v>
      </c>
      <c r="B3758" s="1" t="s">
        <v>3137</v>
      </c>
      <c r="C3758" s="2" t="s">
        <v>5</v>
      </c>
      <c r="D3758" s="2" t="s">
        <v>6</v>
      </c>
      <c r="E3758" s="3" t="str">
        <f>IF(ISERROR(VLOOKUP(B3758,Failures!$A$1:$A$4000,1,FALSE)),"Keep","Delete")</f>
        <v>Keep</v>
      </c>
      <c r="F3758" t="str">
        <f>IF(ISNUMBER(SEARCH("#",B3758)), LEFT(B3758,FIND("#",B3758)-1), B3758)</f>
        <v xml:space="preserve">Tennis Racket </v>
      </c>
      <c r="G3758" s="26">
        <f>IF(ISNUMBER(SEARCH("#",B3758)),VALUE(MID(B3758,FIND("#",B3758)+1,1000)),1)</f>
        <v>1</v>
      </c>
      <c r="H3758" t="str">
        <f>IF(AND(regexMatch(B3758,".*#[0-9]*$"),ISNUMBER(SEARCH("#",B3758))),CONCATENATE(TRIM(F3758)," #",G3758),B3758)</f>
        <v>Tennis Racket #1</v>
      </c>
    </row>
    <row r="3759" spans="1:8" ht="15.75" thickBot="1" x14ac:dyDescent="0.3">
      <c r="A3759" s="1" t="s">
        <v>3138</v>
      </c>
      <c r="B3759" s="1" t="s">
        <v>3139</v>
      </c>
      <c r="C3759" s="2" t="s">
        <v>5</v>
      </c>
      <c r="D3759" s="2" t="s">
        <v>6</v>
      </c>
      <c r="E3759" s="3" t="str">
        <f>IF(ISERROR(VLOOKUP(B3759,Failures!$A$1:$A$4000,1,FALSE)),"Keep","Delete")</f>
        <v>Keep</v>
      </c>
      <c r="F3759" t="str">
        <f>IF(ISNUMBER(SEARCH("#",B3759)), LEFT(B3759,FIND("#",B3759)-1), B3759)</f>
        <v xml:space="preserve">Tennis Racket </v>
      </c>
      <c r="G3759" s="26">
        <f>IF(ISNUMBER(SEARCH("#",B3759)),VALUE(MID(B3759,FIND("#",B3759)+1,1000)),1)</f>
        <v>2</v>
      </c>
      <c r="H3759" t="str">
        <f>IF(AND(regexMatch(B3759,".*#[0-9]*$"),ISNUMBER(SEARCH("#",B3759))),CONCATENATE(TRIM(F3759)," #",G3759),B3759)</f>
        <v>Tennis Racket #2</v>
      </c>
    </row>
    <row r="3760" spans="1:8" ht="15.75" thickBot="1" x14ac:dyDescent="0.3">
      <c r="A3760" s="1" t="s">
        <v>3263</v>
      </c>
      <c r="B3760" s="1" t="s">
        <v>3264</v>
      </c>
      <c r="C3760" s="2" t="s">
        <v>5</v>
      </c>
      <c r="D3760" s="2" t="s">
        <v>6</v>
      </c>
      <c r="E3760" s="3" t="str">
        <f>IF(ISERROR(VLOOKUP(B3760,Failures!$A$1:$A$4000,1,FALSE)),"Keep","Delete")</f>
        <v>Keep</v>
      </c>
      <c r="F3760" t="str">
        <f>IF(ISNUMBER(SEARCH("#",B3760)), LEFT(B3760,FIND("#",B3760)-1), B3760)</f>
        <v>Triathlon Finish Banner</v>
      </c>
      <c r="G3760" s="26">
        <f>IF(ISNUMBER(SEARCH("#",B3760)),VALUE(MID(B3760,FIND("#",B3760)+1,1000)),1)</f>
        <v>1</v>
      </c>
      <c r="H3760" t="str">
        <f>IF(AND(regexMatch(B3760,".*#[0-9]*$"),ISNUMBER(SEARCH("#",B3760))),CONCATENATE(TRIM(F3760)," #",G3760),B3760)</f>
        <v>Triathlon Finish Banner</v>
      </c>
    </row>
    <row r="3761" spans="1:8" ht="15.75" thickBot="1" x14ac:dyDescent="0.3">
      <c r="A3761" s="1" t="s">
        <v>3265</v>
      </c>
      <c r="B3761" s="1" t="s">
        <v>3266</v>
      </c>
      <c r="C3761" s="2" t="s">
        <v>5</v>
      </c>
      <c r="D3761" s="2" t="s">
        <v>6</v>
      </c>
      <c r="E3761" s="3" t="str">
        <f>IF(ISERROR(VLOOKUP(B3761,Failures!$A$1:$A$4000,1,FALSE)),"Keep","Delete")</f>
        <v>Keep</v>
      </c>
      <c r="F3761" t="str">
        <f>IF(ISNUMBER(SEARCH("#",B3761)), LEFT(B3761,FIND("#",B3761)-1), B3761)</f>
        <v>Triathlon Start Banner</v>
      </c>
      <c r="G3761" s="26">
        <f>IF(ISNUMBER(SEARCH("#",B3761)),VALUE(MID(B3761,FIND("#",B3761)+1,1000)),1)</f>
        <v>1</v>
      </c>
      <c r="H3761" t="str">
        <f>IF(AND(regexMatch(B3761,".*#[0-9]*$"),ISNUMBER(SEARCH("#",B3761))),CONCATENATE(TRIM(F3761)," #",G3761),B3761)</f>
        <v>Triathlon Start Banner</v>
      </c>
    </row>
    <row r="3762" spans="1:8" ht="15.75" thickBot="1" x14ac:dyDescent="0.3">
      <c r="A3762" s="1" t="s">
        <v>3267</v>
      </c>
      <c r="B3762" s="1" t="s">
        <v>3922</v>
      </c>
      <c r="C3762" s="2" t="s">
        <v>5</v>
      </c>
      <c r="D3762" s="2" t="s">
        <v>6</v>
      </c>
      <c r="E3762" s="3" t="str">
        <f>IF(ISERROR(VLOOKUP(B3762,Failures!$A$1:$A$4000,1,FALSE)),"Keep","Delete")</f>
        <v>Keep</v>
      </c>
      <c r="F3762" t="str">
        <f>IF(ISNUMBER(SEARCH("#",B3762)), LEFT(B3762,FIND("#",B3762)-1), B3762)</f>
        <v>Triathlon Table</v>
      </c>
      <c r="G3762" s="26">
        <f>IF(ISNUMBER(SEARCH("#",B3762)),VALUE(MID(B3762,FIND("#",B3762)+1,1000)),1)</f>
        <v>1</v>
      </c>
      <c r="H3762" t="str">
        <f>IF(AND(regexMatch(B3762,".*#[0-9]*$"),ISNUMBER(SEARCH("#",B3762))),CONCATENATE(TRIM(F3762)," #",G3762),B3762)</f>
        <v>Triathlon Table</v>
      </c>
    </row>
    <row r="3763" spans="1:8" ht="15.75" thickBot="1" x14ac:dyDescent="0.3">
      <c r="A3763" s="1" t="s">
        <v>3412</v>
      </c>
      <c r="B3763" s="1" t="s">
        <v>3413</v>
      </c>
      <c r="C3763" s="2" t="s">
        <v>5</v>
      </c>
      <c r="D3763" s="2" t="s">
        <v>6</v>
      </c>
      <c r="E3763" s="3" t="str">
        <f>IF(ISERROR(VLOOKUP(B3763,Failures!$A$1:$A$4000,1,FALSE)),"Keep","Delete")</f>
        <v>Keep</v>
      </c>
      <c r="F3763" t="str">
        <f>IF(ISNUMBER(SEARCH("#",B3763)), LEFT(B3763,FIND("#",B3763)-1), B3763)</f>
        <v>Weight 10kg</v>
      </c>
      <c r="G3763" s="26">
        <f>IF(ISNUMBER(SEARCH("#",B3763)),VALUE(MID(B3763,FIND("#",B3763)+1,1000)),1)</f>
        <v>1</v>
      </c>
      <c r="H3763" t="str">
        <f>IF(AND(regexMatch(B3763,".*#[0-9]*$"),ISNUMBER(SEARCH("#",B3763))),CONCATENATE(TRIM(F3763)," #",G3763),B3763)</f>
        <v>Weight 10kg</v>
      </c>
    </row>
    <row r="3764" spans="1:8" ht="15.75" thickBot="1" x14ac:dyDescent="0.3">
      <c r="A3764" s="1" t="s">
        <v>3414</v>
      </c>
      <c r="B3764" s="1" t="s">
        <v>3415</v>
      </c>
      <c r="C3764" s="2" t="s">
        <v>5</v>
      </c>
      <c r="D3764" s="2" t="s">
        <v>6</v>
      </c>
      <c r="E3764" s="3" t="str">
        <f>IF(ISERROR(VLOOKUP(B3764,Failures!$A$1:$A$4000,1,FALSE)),"Keep","Delete")</f>
        <v>Keep</v>
      </c>
      <c r="F3764" t="str">
        <f>IF(ISNUMBER(SEARCH("#",B3764)), LEFT(B3764,FIND("#",B3764)-1), B3764)</f>
        <v>Weight 15kg</v>
      </c>
      <c r="G3764" s="26">
        <f>IF(ISNUMBER(SEARCH("#",B3764)),VALUE(MID(B3764,FIND("#",B3764)+1,1000)),1)</f>
        <v>1</v>
      </c>
      <c r="H3764" t="str">
        <f>IF(AND(regexMatch(B3764,".*#[0-9]*$"),ISNUMBER(SEARCH("#",B3764))),CONCATENATE(TRIM(F3764)," #",G3764),B3764)</f>
        <v>Weight 15kg</v>
      </c>
    </row>
    <row r="3765" spans="1:8" ht="15.75" thickBot="1" x14ac:dyDescent="0.3">
      <c r="A3765" s="1" t="s">
        <v>3416</v>
      </c>
      <c r="B3765" s="1" t="s">
        <v>3417</v>
      </c>
      <c r="C3765" s="2" t="s">
        <v>5</v>
      </c>
      <c r="D3765" s="2" t="s">
        <v>6</v>
      </c>
      <c r="E3765" s="3" t="str">
        <f>IF(ISERROR(VLOOKUP(B3765,Failures!$A$1:$A$4000,1,FALSE)),"Keep","Delete")</f>
        <v>Keep</v>
      </c>
      <c r="F3765" t="str">
        <f>IF(ISNUMBER(SEARCH("#",B3765)), LEFT(B3765,FIND("#",B3765)-1), B3765)</f>
        <v>Weight 20kg</v>
      </c>
      <c r="G3765" s="26">
        <f>IF(ISNUMBER(SEARCH("#",B3765)),VALUE(MID(B3765,FIND("#",B3765)+1,1000)),1)</f>
        <v>1</v>
      </c>
      <c r="H3765" t="str">
        <f>IF(AND(regexMatch(B3765,".*#[0-9]*$"),ISNUMBER(SEARCH("#",B3765))),CONCATENATE(TRIM(F3765)," #",G3765),B3765)</f>
        <v>Weight 20kg</v>
      </c>
    </row>
    <row r="3766" spans="1:8" ht="15.75" thickBot="1" x14ac:dyDescent="0.3">
      <c r="A3766" s="1" t="s">
        <v>3420</v>
      </c>
      <c r="B3766" s="1" t="s">
        <v>3421</v>
      </c>
      <c r="C3766" s="2" t="s">
        <v>5</v>
      </c>
      <c r="D3766" s="2" t="s">
        <v>6</v>
      </c>
      <c r="E3766" s="3" t="str">
        <f>IF(ISERROR(VLOOKUP(B3766,Failures!$A$1:$A$4000,1,FALSE)),"Keep","Delete")</f>
        <v>Keep</v>
      </c>
      <c r="F3766" t="str">
        <f>IF(ISNUMBER(SEARCH("#",B3766)), LEFT(B3766,FIND("#",B3766)-1), B3766)</f>
        <v xml:space="preserve">Weight 5kg </v>
      </c>
      <c r="G3766" s="26">
        <f>IF(ISNUMBER(SEARCH("#",B3766)),VALUE(MID(B3766,FIND("#",B3766)+1,1000)),1)</f>
        <v>1</v>
      </c>
      <c r="H3766" t="str">
        <f>IF(AND(regexMatch(B3766,".*#[0-9]*$"),ISNUMBER(SEARCH("#",B3766))),CONCATENATE(TRIM(F3766)," #",G3766),B3766)</f>
        <v>Weight 5kg #1</v>
      </c>
    </row>
    <row r="3767" spans="1:8" ht="15.75" thickBot="1" x14ac:dyDescent="0.3">
      <c r="A3767" s="1" t="s">
        <v>3422</v>
      </c>
      <c r="B3767" s="1" t="s">
        <v>3423</v>
      </c>
      <c r="C3767" s="2" t="s">
        <v>5</v>
      </c>
      <c r="D3767" s="2" t="s">
        <v>6</v>
      </c>
      <c r="E3767" s="3" t="str">
        <f>IF(ISERROR(VLOOKUP(B3767,Failures!$A$1:$A$4000,1,FALSE)),"Keep","Delete")</f>
        <v>Keep</v>
      </c>
      <c r="F3767" t="str">
        <f>IF(ISNUMBER(SEARCH("#",B3767)), LEFT(B3767,FIND("#",B3767)-1), B3767)</f>
        <v xml:space="preserve">Weight 5kg </v>
      </c>
      <c r="G3767" s="26">
        <f>IF(ISNUMBER(SEARCH("#",B3767)),VALUE(MID(B3767,FIND("#",B3767)+1,1000)),1)</f>
        <v>2</v>
      </c>
      <c r="H3767" t="str">
        <f>IF(AND(regexMatch(B3767,".*#[0-9]*$"),ISNUMBER(SEARCH("#",B3767))),CONCATENATE(TRIM(F3767)," #",G3767),B3767)</f>
        <v>Weight 5kg #2</v>
      </c>
    </row>
    <row r="3768" spans="1:8" ht="15.75" thickBot="1" x14ac:dyDescent="0.3">
      <c r="A3768" s="1" t="s">
        <v>3418</v>
      </c>
      <c r="B3768" s="1" t="s">
        <v>3419</v>
      </c>
      <c r="C3768" s="2" t="s">
        <v>5</v>
      </c>
      <c r="D3768" s="2" t="s">
        <v>6</v>
      </c>
      <c r="E3768" s="3" t="str">
        <f>IF(ISERROR(VLOOKUP(B3768,Failures!$A$1:$A$4000,1,FALSE)),"Keep","Delete")</f>
        <v>Keep</v>
      </c>
      <c r="F3768" t="str">
        <f>IF(ISNUMBER(SEARCH("#",B3768)), LEFT(B3768,FIND("#",B3768)-1), B3768)</f>
        <v xml:space="preserve">Weight 5kg </v>
      </c>
      <c r="G3768" s="26">
        <f>IF(ISNUMBER(SEARCH("#",B3768)),VALUE(MID(B3768,FIND("#",B3768)+1,1000)),1)</f>
        <v>3</v>
      </c>
      <c r="H3768" t="str">
        <f>IF(AND(regexMatch(B3768,".*#[0-9]*$"),ISNUMBER(SEARCH("#",B3768))),CONCATENATE(TRIM(F3768)," #",G3768),B3768)</f>
        <v>Weight 5kg #3</v>
      </c>
    </row>
    <row r="3769" spans="1:8" ht="15.75" thickBot="1" x14ac:dyDescent="0.3">
      <c r="A3769" s="1" t="s">
        <v>2217</v>
      </c>
      <c r="B3769" s="1" t="s">
        <v>3941</v>
      </c>
      <c r="C3769" s="2" t="s">
        <v>5</v>
      </c>
      <c r="D3769" s="2" t="s">
        <v>6</v>
      </c>
      <c r="E3769" s="3" t="str">
        <f>IF(ISERROR(VLOOKUP(B3769,Failures!$A$1:$A$4000,1,FALSE)),"Keep","Delete")</f>
        <v>Keep</v>
      </c>
      <c r="F3769" t="str">
        <f>IF(ISNUMBER(SEARCH("#",B3769)), LEFT(B3769,FIND("#",B3769)-1), B3769)</f>
        <v>Weightlifting Bench</v>
      </c>
      <c r="G3769" s="26">
        <f>IF(ISNUMBER(SEARCH("#",B3769)),VALUE(MID(B3769,FIND("#",B3769)+1,1000)),1)</f>
        <v>1</v>
      </c>
      <c r="H3769" t="str">
        <f>IF(AND(regexMatch(B3769,".*#[0-9]*$"),ISNUMBER(SEARCH("#",B3769))),CONCATENATE(TRIM(F3769)," #",G3769),B3769)</f>
        <v>Weightlifting Bench</v>
      </c>
    </row>
    <row r="3770" spans="1:8" ht="15.75" thickBot="1" x14ac:dyDescent="0.3">
      <c r="A3770" s="1" t="s">
        <v>4895</v>
      </c>
      <c r="B3770" s="1" t="s">
        <v>10490</v>
      </c>
      <c r="C3770" s="1"/>
      <c r="D3770" s="2" t="s">
        <v>6</v>
      </c>
      <c r="E3770" s="3" t="str">
        <f>IF(ISERROR(VLOOKUP(B3770,Failures!$A$1:$A$4000,1,FALSE)),"Keep","Delete")</f>
        <v>Keep</v>
      </c>
      <c r="F3770" t="str">
        <f>IF(ISNUMBER(SEARCH("#",B3770)), LEFT(B3770,FIND("#",B3770)-1), B3770)</f>
        <v xml:space="preserve">Weightlifting Bench </v>
      </c>
      <c r="G3770" s="26">
        <f>IF(ISNUMBER(SEARCH("#",B3770)),VALUE(MID(B3770,FIND("#",B3770)+1,1000)),1)</f>
        <v>2</v>
      </c>
      <c r="H3770" t="str">
        <f>IF(AND(regexMatch(B3770,".*#[0-9]*$"),ISNUMBER(SEARCH("#",B3770))),CONCATENATE(TRIM(F3770)," #",G3770),B3770)</f>
        <v>Weightlifting Bench #2</v>
      </c>
    </row>
    <row r="3771" spans="1:8" ht="15.75" thickBot="1" x14ac:dyDescent="0.3">
      <c r="A3771" s="1" t="s">
        <v>4894</v>
      </c>
      <c r="B3771" s="1" t="s">
        <v>2218</v>
      </c>
      <c r="C3771" s="1"/>
      <c r="D3771" s="2" t="s">
        <v>6</v>
      </c>
      <c r="E3771" s="3" t="str">
        <f>IF(ISERROR(VLOOKUP(B3771,Failures!$A$1:$A$4000,1,FALSE)),"Keep","Delete")</f>
        <v>Keep</v>
      </c>
      <c r="F3771" t="str">
        <f>IF(ISNUMBER(SEARCH("#",B3771)), LEFT(B3771,FIND("#",B3771)-1), B3771)</f>
        <v xml:space="preserve">Weightlifting Bench </v>
      </c>
      <c r="G3771" s="26">
        <f>IF(ISNUMBER(SEARCH("#",B3771)),VALUE(MID(B3771,FIND("#",B3771)+1,1000)),1)</f>
        <v>3</v>
      </c>
      <c r="H3771" t="str">
        <f>IF(AND(regexMatch(B3771,".*#[0-9]*$"),ISNUMBER(SEARCH("#",B3771))),CONCATENATE(TRIM(F3771)," #",G3771),B3771)</f>
        <v>Weightlifting Bench #3</v>
      </c>
    </row>
    <row r="3772" spans="1:8" ht="15.75" thickBot="1" x14ac:dyDescent="0.3">
      <c r="A3772" s="1" t="s">
        <v>3499</v>
      </c>
      <c r="B3772" s="1" t="s">
        <v>3500</v>
      </c>
      <c r="C3772" s="2" t="s">
        <v>5</v>
      </c>
      <c r="D3772" s="2" t="s">
        <v>6</v>
      </c>
      <c r="E3772" s="3" t="str">
        <f>IF(ISERROR(VLOOKUP(B3772,Failures!$A$1:$A$4000,1,FALSE)),"Keep","Delete")</f>
        <v>Keep</v>
      </c>
      <c r="F3772" t="str">
        <f>IF(ISNUMBER(SEARCH("#",B3772)), LEFT(B3772,FIND("#",B3772)-1), B3772)</f>
        <v xml:space="preserve">Yoga Mat </v>
      </c>
      <c r="G3772" s="26">
        <f>IF(ISNUMBER(SEARCH("#",B3772)),VALUE(MID(B3772,FIND("#",B3772)+1,1000)),1)</f>
        <v>1</v>
      </c>
      <c r="H3772" t="str">
        <f>IF(AND(regexMatch(B3772,".*#[0-9]*$"),ISNUMBER(SEARCH("#",B3772))),CONCATENATE(TRIM(F3772)," #",G3772),B3772)</f>
        <v>Yoga Mat #1</v>
      </c>
    </row>
    <row r="3773" spans="1:8" ht="15.75" thickBot="1" x14ac:dyDescent="0.3">
      <c r="A3773" s="1" t="s">
        <v>3501</v>
      </c>
      <c r="B3773" s="1" t="s">
        <v>3502</v>
      </c>
      <c r="C3773" s="2" t="s">
        <v>5</v>
      </c>
      <c r="D3773" s="2" t="s">
        <v>6</v>
      </c>
      <c r="E3773" s="3" t="str">
        <f>IF(ISERROR(VLOOKUP(B3773,Failures!$A$1:$A$4000,1,FALSE)),"Keep","Delete")</f>
        <v>Keep</v>
      </c>
      <c r="F3773" t="str">
        <f>IF(ISNUMBER(SEARCH("#",B3773)), LEFT(B3773,FIND("#",B3773)-1), B3773)</f>
        <v xml:space="preserve">Yoga Mat </v>
      </c>
      <c r="G3773" s="26">
        <f>IF(ISNUMBER(SEARCH("#",B3773)),VALUE(MID(B3773,FIND("#",B3773)+1,1000)),1)</f>
        <v>2</v>
      </c>
      <c r="H3773" t="str">
        <f>IF(AND(regexMatch(B3773,".*#[0-9]*$"),ISNUMBER(SEARCH("#",B3773))),CONCATENATE(TRIM(F3773)," #",G3773),B3773)</f>
        <v>Yoga Mat #2</v>
      </c>
    </row>
    <row r="3774" spans="1:8" ht="15.75" thickBot="1" x14ac:dyDescent="0.3">
      <c r="A3774" s="1" t="s">
        <v>3503</v>
      </c>
      <c r="B3774" s="1" t="s">
        <v>3504</v>
      </c>
      <c r="C3774" s="2" t="s">
        <v>5</v>
      </c>
      <c r="D3774" s="2" t="s">
        <v>6</v>
      </c>
      <c r="E3774" s="3" t="str">
        <f>IF(ISERROR(VLOOKUP(B3774,Failures!$A$1:$A$4000,1,FALSE)),"Keep","Delete")</f>
        <v>Keep</v>
      </c>
      <c r="F3774" t="str">
        <f>IF(ISNUMBER(SEARCH("#",B3774)), LEFT(B3774,FIND("#",B3774)-1), B3774)</f>
        <v xml:space="preserve">Yoga Mat </v>
      </c>
      <c r="G3774" s="26">
        <f>IF(ISNUMBER(SEARCH("#",B3774)),VALUE(MID(B3774,FIND("#",B3774)+1,1000)),1)</f>
        <v>3</v>
      </c>
      <c r="H3774" t="str">
        <f>IF(AND(regexMatch(B3774,".*#[0-9]*$"),ISNUMBER(SEARCH("#",B3774))),CONCATENATE(TRIM(F3774)," #",G3774),B3774)</f>
        <v>Yoga Mat #3</v>
      </c>
    </row>
    <row r="3775" spans="1:8" ht="15.75" thickBot="1" x14ac:dyDescent="0.3">
      <c r="A3775" s="1" t="s">
        <v>5393</v>
      </c>
      <c r="B3775" s="1" t="s">
        <v>10115</v>
      </c>
      <c r="C3775" s="1"/>
      <c r="D3775" s="2" t="s">
        <v>304</v>
      </c>
      <c r="E3775" s="3" t="str">
        <f>IF(ISERROR(VLOOKUP(B3775,Failures!$A$1:$A$4000,1,FALSE)),"Keep","Delete")</f>
        <v>Keep</v>
      </c>
      <c r="F3775" t="str">
        <f>IF(ISNUMBER(SEARCH("#",B3775)), LEFT(B3775,FIND("#",B3775)-1), B3775)</f>
        <v>Air Dancer</v>
      </c>
      <c r="G3775" s="26">
        <f>IF(ISNUMBER(SEARCH("#",B3775)),VALUE(MID(B3775,FIND("#",B3775)+1,1000)),1)</f>
        <v>1</v>
      </c>
      <c r="H3775" t="str">
        <f>IF(AND(regexMatch(B3775,".*#[0-9]*$"),ISNUMBER(SEARCH("#",B3775))),CONCATENATE(TRIM(F3775)," #",G3775),B3775)</f>
        <v>Air Dancer</v>
      </c>
    </row>
    <row r="3776" spans="1:8" ht="15.75" thickBot="1" x14ac:dyDescent="0.3">
      <c r="A3776" s="1" t="s">
        <v>303</v>
      </c>
      <c r="B3776" s="1" t="s">
        <v>3511</v>
      </c>
      <c r="C3776" s="2" t="s">
        <v>5</v>
      </c>
      <c r="D3776" s="2" t="s">
        <v>304</v>
      </c>
      <c r="E3776" s="3" t="str">
        <f>IF(ISERROR(VLOOKUP(B3776,Failures!$A$1:$A$4000,1,FALSE)),"Keep","Delete")</f>
        <v>Keep</v>
      </c>
      <c r="F3776" t="str">
        <f>IF(ISNUMBER(SEARCH("#",B3776)), LEFT(B3776,FIND("#",B3776)-1), B3776)</f>
        <v xml:space="preserve">Bench </v>
      </c>
      <c r="G3776" s="26">
        <f>IF(ISNUMBER(SEARCH("#",B3776)),VALUE(MID(B3776,FIND("#",B3776)+1,1000)),1)</f>
        <v>1</v>
      </c>
      <c r="H3776" t="str">
        <f>IF(AND(regexMatch(B3776,".*#[0-9]*$"),ISNUMBER(SEARCH("#",B3776))),CONCATENATE(TRIM(F3776)," #",G3776),B3776)</f>
        <v>Bench #1</v>
      </c>
    </row>
    <row r="3777" spans="1:8" ht="15.75" thickBot="1" x14ac:dyDescent="0.3">
      <c r="A3777" s="1" t="s">
        <v>305</v>
      </c>
      <c r="B3777" s="1" t="s">
        <v>3512</v>
      </c>
      <c r="C3777" s="2" t="s">
        <v>5</v>
      </c>
      <c r="D3777" s="2" t="s">
        <v>304</v>
      </c>
      <c r="E3777" s="3" t="str">
        <f>IF(ISERROR(VLOOKUP(B3777,Failures!$A$1:$A$4000,1,FALSE)),"Keep","Delete")</f>
        <v>Keep</v>
      </c>
      <c r="F3777" t="str">
        <f>IF(ISNUMBER(SEARCH("#",B3777)), LEFT(B3777,FIND("#",B3777)-1), B3777)</f>
        <v xml:space="preserve">Bench </v>
      </c>
      <c r="G3777" s="26">
        <f>IF(ISNUMBER(SEARCH("#",B3777)),VALUE(MID(B3777,FIND("#",B3777)+1,1000)),1)</f>
        <v>2</v>
      </c>
      <c r="H3777" t="str">
        <f>IF(AND(regexMatch(B3777,".*#[0-9]*$"),ISNUMBER(SEARCH("#",B3777))),CONCATENATE(TRIM(F3777)," #",G3777),B3777)</f>
        <v>Bench #2</v>
      </c>
    </row>
    <row r="3778" spans="1:8" ht="15.75" thickBot="1" x14ac:dyDescent="0.3">
      <c r="A3778" s="1" t="s">
        <v>306</v>
      </c>
      <c r="B3778" s="1" t="s">
        <v>3513</v>
      </c>
      <c r="C3778" s="2" t="s">
        <v>5</v>
      </c>
      <c r="D3778" s="2" t="s">
        <v>304</v>
      </c>
      <c r="E3778" s="3" t="str">
        <f>IF(ISERROR(VLOOKUP(B3778,Failures!$A$1:$A$4000,1,FALSE)),"Keep","Delete")</f>
        <v>Keep</v>
      </c>
      <c r="F3778" t="str">
        <f>IF(ISNUMBER(SEARCH("#",B3778)), LEFT(B3778,FIND("#",B3778)-1), B3778)</f>
        <v xml:space="preserve">Bench </v>
      </c>
      <c r="G3778" s="26">
        <f>IF(ISNUMBER(SEARCH("#",B3778)),VALUE(MID(B3778,FIND("#",B3778)+1,1000)),1)</f>
        <v>3</v>
      </c>
      <c r="H3778" t="str">
        <f>IF(AND(regexMatch(B3778,".*#[0-9]*$"),ISNUMBER(SEARCH("#",B3778))),CONCATENATE(TRIM(F3778)," #",G3778),B3778)</f>
        <v>Bench #3</v>
      </c>
    </row>
    <row r="3779" spans="1:8" ht="15.75" thickBot="1" x14ac:dyDescent="0.3">
      <c r="A3779" s="1" t="s">
        <v>310</v>
      </c>
      <c r="B3779" s="1" t="s">
        <v>307</v>
      </c>
      <c r="C3779" s="2" t="s">
        <v>5</v>
      </c>
      <c r="D3779" s="2" t="s">
        <v>304</v>
      </c>
      <c r="E3779" s="3" t="str">
        <f>IF(ISERROR(VLOOKUP(B3779,Failures!$A$1:$A$4000,1,FALSE)),"Keep","Delete")</f>
        <v>Keep</v>
      </c>
      <c r="F3779" t="str">
        <f>IF(ISNUMBER(SEARCH("#",B3779)), LEFT(B3779,FIND("#",B3779)-1), B3779)</f>
        <v xml:space="preserve">Bench </v>
      </c>
      <c r="G3779" s="26">
        <f>IF(ISNUMBER(SEARCH("#",B3779)),VALUE(MID(B3779,FIND("#",B3779)+1,1000)),1)</f>
        <v>4</v>
      </c>
      <c r="H3779" t="str">
        <f>IF(AND(regexMatch(B3779,".*#[0-9]*$"),ISNUMBER(SEARCH("#",B3779))),CONCATENATE(TRIM(F3779)," #",G3779),B3779)</f>
        <v>Bench #4</v>
      </c>
    </row>
    <row r="3780" spans="1:8" ht="15.75" thickBot="1" x14ac:dyDescent="0.3">
      <c r="A3780" s="1" t="s">
        <v>308</v>
      </c>
      <c r="B3780" s="1" t="s">
        <v>309</v>
      </c>
      <c r="C3780" s="2" t="s">
        <v>5</v>
      </c>
      <c r="D3780" s="2" t="s">
        <v>304</v>
      </c>
      <c r="E3780" s="3" t="str">
        <f>IF(ISERROR(VLOOKUP(B3780,Failures!$A$1:$A$4000,1,FALSE)),"Keep","Delete")</f>
        <v>Keep</v>
      </c>
      <c r="F3780" t="str">
        <f>IF(ISNUMBER(SEARCH("#",B3780)), LEFT(B3780,FIND("#",B3780)-1), B3780)</f>
        <v xml:space="preserve">Bench </v>
      </c>
      <c r="G3780" s="26">
        <f>IF(ISNUMBER(SEARCH("#",B3780)),VALUE(MID(B3780,FIND("#",B3780)+1,1000)),1)</f>
        <v>5</v>
      </c>
      <c r="H3780" t="str">
        <f>IF(AND(regexMatch(B3780,".*#[0-9]*$"),ISNUMBER(SEARCH("#",B3780))),CONCATENATE(TRIM(F3780)," #",G3780),B3780)</f>
        <v>Bench #5</v>
      </c>
    </row>
    <row r="3781" spans="1:8" ht="15.75" thickBot="1" x14ac:dyDescent="0.3">
      <c r="A3781" s="7" t="s">
        <v>4093</v>
      </c>
      <c r="B3781" s="1" t="s">
        <v>4619</v>
      </c>
      <c r="C3781" s="9"/>
      <c r="D3781" s="2" t="s">
        <v>304</v>
      </c>
      <c r="E3781" s="3" t="str">
        <f>IF(ISERROR(VLOOKUP(B3781,Failures!$A$1:$A$4000,1,FALSE)),"Keep","Delete")</f>
        <v>Keep</v>
      </c>
      <c r="F3781" t="str">
        <f>IF(ISNUMBER(SEARCH("#",B3781)), LEFT(B3781,FIND("#",B3781)-1), B3781)</f>
        <v xml:space="preserve">Bench </v>
      </c>
      <c r="G3781" s="26">
        <f>IF(ISNUMBER(SEARCH("#",B3781)),VALUE(MID(B3781,FIND("#",B3781)+1,1000)),1)</f>
        <v>6</v>
      </c>
      <c r="H3781" t="str">
        <f>IF(AND(regexMatch(B3781,".*#[0-9]*$"),ISNUMBER(SEARCH("#",B3781))),CONCATENATE(TRIM(F3781)," #",G3781),B3781)</f>
        <v>Bench #6</v>
      </c>
    </row>
    <row r="3782" spans="1:8" ht="15.75" thickBot="1" x14ac:dyDescent="0.3">
      <c r="A3782" s="7" t="s">
        <v>4179</v>
      </c>
      <c r="B3782" s="1" t="s">
        <v>4620</v>
      </c>
      <c r="C3782" s="9"/>
      <c r="D3782" s="2" t="s">
        <v>304</v>
      </c>
      <c r="E3782" s="3" t="str">
        <f>IF(ISERROR(VLOOKUP(B3782,Failures!$A$1:$A$4000,1,FALSE)),"Keep","Delete")</f>
        <v>Keep</v>
      </c>
      <c r="F3782" t="str">
        <f>IF(ISNUMBER(SEARCH("#",B3782)), LEFT(B3782,FIND("#",B3782)-1), B3782)</f>
        <v xml:space="preserve">Bench </v>
      </c>
      <c r="G3782" s="26">
        <f>IF(ISNUMBER(SEARCH("#",B3782)),VALUE(MID(B3782,FIND("#",B3782)+1,1000)),1)</f>
        <v>7</v>
      </c>
      <c r="H3782" t="str">
        <f>IF(AND(regexMatch(B3782,".*#[0-9]*$"),ISNUMBER(SEARCH("#",B3782))),CONCATENATE(TRIM(F3782)," #",G3782),B3782)</f>
        <v>Bench #7</v>
      </c>
    </row>
    <row r="3783" spans="1:8" ht="15.75" thickBot="1" x14ac:dyDescent="0.3">
      <c r="A3783" s="7" t="s">
        <v>4180</v>
      </c>
      <c r="B3783" s="1" t="s">
        <v>4621</v>
      </c>
      <c r="C3783" s="9"/>
      <c r="D3783" s="2" t="s">
        <v>304</v>
      </c>
      <c r="E3783" s="3" t="str">
        <f>IF(ISERROR(VLOOKUP(B3783,Failures!$A$1:$A$4000,1,FALSE)),"Keep","Delete")</f>
        <v>Keep</v>
      </c>
      <c r="F3783" t="str">
        <f>IF(ISNUMBER(SEARCH("#",B3783)), LEFT(B3783,FIND("#",B3783)-1), B3783)</f>
        <v xml:space="preserve">Bench </v>
      </c>
      <c r="G3783" s="26">
        <f>IF(ISNUMBER(SEARCH("#",B3783)),VALUE(MID(B3783,FIND("#",B3783)+1,1000)),1)</f>
        <v>8</v>
      </c>
      <c r="H3783" t="str">
        <f>IF(AND(regexMatch(B3783,".*#[0-9]*$"),ISNUMBER(SEARCH("#",B3783))),CONCATENATE(TRIM(F3783)," #",G3783),B3783)</f>
        <v>Bench #8</v>
      </c>
    </row>
    <row r="3784" spans="1:8" ht="15.75" thickBot="1" x14ac:dyDescent="0.3">
      <c r="A3784" s="1" t="s">
        <v>5627</v>
      </c>
      <c r="B3784" s="1" t="s">
        <v>10066</v>
      </c>
      <c r="C3784" s="1"/>
      <c r="D3784" s="2" t="s">
        <v>304</v>
      </c>
      <c r="E3784" s="3" t="str">
        <f>IF(ISERROR(VLOOKUP(B3784,Failures!$A$1:$A$4000,1,FALSE)),"Keep","Delete")</f>
        <v>Keep</v>
      </c>
      <c r="F3784" t="str">
        <f>IF(ISNUMBER(SEARCH("#",B3784)), LEFT(B3784,FIND("#",B3784)-1), B3784)</f>
        <v xml:space="preserve">Bench </v>
      </c>
      <c r="G3784" s="26">
        <f>G3783+1</f>
        <v>9</v>
      </c>
      <c r="H3784" t="str">
        <f>IF(AND(regexMatch(B3784,".*#[0-9]*$"),ISNUMBER(SEARCH("#",B3784))),CONCATENATE(TRIM(F3784)," #",G3784),B3784)</f>
        <v>Bench #9</v>
      </c>
    </row>
    <row r="3785" spans="1:8" ht="15.75" thickBot="1" x14ac:dyDescent="0.3">
      <c r="A3785" s="1" t="s">
        <v>5626</v>
      </c>
      <c r="B3785" s="1" t="s">
        <v>10066</v>
      </c>
      <c r="C3785" s="1"/>
      <c r="D3785" s="2" t="s">
        <v>304</v>
      </c>
      <c r="E3785" s="3" t="str">
        <f>IF(ISERROR(VLOOKUP(B3785,Failures!$A$1:$A$4000,1,FALSE)),"Keep","Delete")</f>
        <v>Keep</v>
      </c>
      <c r="F3785" t="str">
        <f>IF(ISNUMBER(SEARCH("#",B3785)), LEFT(B3785,FIND("#",B3785)-1), B3785)</f>
        <v xml:space="preserve">Bench </v>
      </c>
      <c r="G3785" s="26">
        <f>G3784+1</f>
        <v>10</v>
      </c>
      <c r="H3785" t="str">
        <f>IF(AND(regexMatch(B3785,".*#[0-9]*$"),ISNUMBER(SEARCH("#",B3785))),CONCATENATE(TRIM(F3785)," #",G3785),B3785)</f>
        <v>Bench #10</v>
      </c>
    </row>
    <row r="3786" spans="1:8" ht="15.75" thickBot="1" x14ac:dyDescent="0.3">
      <c r="A3786" s="1" t="s">
        <v>5625</v>
      </c>
      <c r="B3786" s="1" t="s">
        <v>10066</v>
      </c>
      <c r="C3786" s="1"/>
      <c r="D3786" s="2" t="s">
        <v>304</v>
      </c>
      <c r="E3786" s="3" t="str">
        <f>IF(ISERROR(VLOOKUP(B3786,Failures!$A$1:$A$4000,1,FALSE)),"Keep","Delete")</f>
        <v>Keep</v>
      </c>
      <c r="F3786" t="str">
        <f>IF(ISNUMBER(SEARCH("#",B3786)), LEFT(B3786,FIND("#",B3786)-1), B3786)</f>
        <v xml:space="preserve">Bench </v>
      </c>
      <c r="G3786" s="26">
        <f>G3785+1</f>
        <v>11</v>
      </c>
      <c r="H3786" t="str">
        <f>IF(AND(regexMatch(B3786,".*#[0-9]*$"),ISNUMBER(SEARCH("#",B3786))),CONCATENATE(TRIM(F3786)," #",G3786),B3786)</f>
        <v>Bench #11</v>
      </c>
    </row>
    <row r="3787" spans="1:8" ht="15.75" thickBot="1" x14ac:dyDescent="0.3">
      <c r="A3787" s="1" t="s">
        <v>5624</v>
      </c>
      <c r="B3787" s="1" t="s">
        <v>10066</v>
      </c>
      <c r="C3787" s="1"/>
      <c r="D3787" s="2" t="s">
        <v>304</v>
      </c>
      <c r="E3787" s="3" t="str">
        <f>IF(ISERROR(VLOOKUP(B3787,Failures!$A$1:$A$4000,1,FALSE)),"Keep","Delete")</f>
        <v>Keep</v>
      </c>
      <c r="F3787" t="str">
        <f>IF(ISNUMBER(SEARCH("#",B3787)), LEFT(B3787,FIND("#",B3787)-1), B3787)</f>
        <v xml:space="preserve">Bench </v>
      </c>
      <c r="G3787" s="26">
        <f>G3786+1</f>
        <v>12</v>
      </c>
      <c r="H3787" t="str">
        <f>IF(AND(regexMatch(B3787,".*#[0-9]*$"),ISNUMBER(SEARCH("#",B3787))),CONCATENATE(TRIM(F3787)," #",G3787),B3787)</f>
        <v>Bench #12</v>
      </c>
    </row>
    <row r="3788" spans="1:8" ht="15.75" thickBot="1" x14ac:dyDescent="0.3">
      <c r="A3788" s="1" t="s">
        <v>5623</v>
      </c>
      <c r="B3788" s="1" t="s">
        <v>10066</v>
      </c>
      <c r="C3788" s="1"/>
      <c r="D3788" s="2" t="s">
        <v>304</v>
      </c>
      <c r="E3788" s="3" t="str">
        <f>IF(ISERROR(VLOOKUP(B3788,Failures!$A$1:$A$4000,1,FALSE)),"Keep","Delete")</f>
        <v>Keep</v>
      </c>
      <c r="F3788" t="str">
        <f>IF(ISNUMBER(SEARCH("#",B3788)), LEFT(B3788,FIND("#",B3788)-1), B3788)</f>
        <v xml:space="preserve">Bench </v>
      </c>
      <c r="G3788" s="26">
        <f>G3787+1</f>
        <v>13</v>
      </c>
      <c r="H3788" t="str">
        <f>IF(AND(regexMatch(B3788,".*#[0-9]*$"),ISNUMBER(SEARCH("#",B3788))),CONCATENATE(TRIM(F3788)," #",G3788),B3788)</f>
        <v>Bench #13</v>
      </c>
    </row>
    <row r="3789" spans="1:8" ht="15.75" thickBot="1" x14ac:dyDescent="0.3">
      <c r="A3789" s="1" t="s">
        <v>5470</v>
      </c>
      <c r="B3789" s="1" t="s">
        <v>10066</v>
      </c>
      <c r="C3789" s="1"/>
      <c r="D3789" s="2" t="s">
        <v>304</v>
      </c>
      <c r="E3789" s="3" t="str">
        <f>IF(ISERROR(VLOOKUP(B3789,Failures!$A$1:$A$4000,1,FALSE)),"Keep","Delete")</f>
        <v>Keep</v>
      </c>
      <c r="F3789" t="str">
        <f>IF(ISNUMBER(SEARCH("#",B3789)), LEFT(B3789,FIND("#",B3789)-1), B3789)</f>
        <v xml:space="preserve">Bench </v>
      </c>
      <c r="G3789" s="26">
        <f>G3788+1</f>
        <v>14</v>
      </c>
      <c r="H3789" t="str">
        <f>IF(AND(regexMatch(B3789,".*#[0-9]*$"),ISNUMBER(SEARCH("#",B3789))),CONCATENATE(TRIM(F3789)," #",G3789),B3789)</f>
        <v>Bench #14</v>
      </c>
    </row>
    <row r="3790" spans="1:8" ht="15.75" thickBot="1" x14ac:dyDescent="0.3">
      <c r="A3790" s="1" t="s">
        <v>6087</v>
      </c>
      <c r="B3790" s="1" t="s">
        <v>9820</v>
      </c>
      <c r="C3790" s="1"/>
      <c r="D3790" s="2" t="s">
        <v>304</v>
      </c>
      <c r="E3790" s="3" t="str">
        <f>IF(ISERROR(VLOOKUP(B3790,Failures!$A$1:$A$4000,1,FALSE)),"Keep","Delete")</f>
        <v>Keep</v>
      </c>
      <c r="F3790" t="str">
        <f>IF(ISNUMBER(SEARCH("#",B3790)), LEFT(B3790,FIND("#",B3790)-1), B3790)</f>
        <v>Bicycle Rack</v>
      </c>
      <c r="G3790" s="26">
        <f>IF(ISNUMBER(SEARCH("#",B3790)),VALUE(MID(B3790,FIND("#",B3790)+1,1000)),1)</f>
        <v>1</v>
      </c>
      <c r="H3790" t="str">
        <f>IF(AND(regexMatch(B3790,".*#[0-9]*$"),ISNUMBER(SEARCH("#",B3790))),CONCATENATE(TRIM(F3790)," #",G3790),B3790)</f>
        <v>Bicycle Rack</v>
      </c>
    </row>
    <row r="3791" spans="1:8" ht="15.75" thickBot="1" x14ac:dyDescent="0.3">
      <c r="A3791" s="1" t="s">
        <v>6082</v>
      </c>
      <c r="B3791" s="1" t="s">
        <v>9836</v>
      </c>
      <c r="C3791" s="1"/>
      <c r="D3791" s="2" t="s">
        <v>304</v>
      </c>
      <c r="E3791" s="3" t="str">
        <f>IF(ISERROR(VLOOKUP(B3791,Failures!$A$1:$A$4000,1,FALSE)),"Keep","Delete")</f>
        <v>Keep</v>
      </c>
      <c r="F3791" t="str">
        <f>IF(ISNUMBER(SEARCH("#",B3791)), LEFT(B3791,FIND("#",B3791)-1), B3791)</f>
        <v xml:space="preserve">Bus Shelter </v>
      </c>
      <c r="G3791" s="26">
        <f>IF(ISNUMBER(SEARCH("#",B3791)),VALUE(MID(B3791,FIND("#",B3791)+1,1000)),1)</f>
        <v>1</v>
      </c>
      <c r="H3791" t="str">
        <f>IF(AND(regexMatch(B3791,".*#[0-9]*$"),ISNUMBER(SEARCH("#",B3791))),CONCATENATE(TRIM(F3791)," #",G3791),B3791)</f>
        <v>Bus Shelter #1</v>
      </c>
    </row>
    <row r="3792" spans="1:8" ht="15.75" thickBot="1" x14ac:dyDescent="0.3">
      <c r="A3792" s="1" t="s">
        <v>6081</v>
      </c>
      <c r="B3792" s="1" t="s">
        <v>9837</v>
      </c>
      <c r="C3792" s="1"/>
      <c r="D3792" s="2" t="s">
        <v>304</v>
      </c>
      <c r="E3792" s="3" t="str">
        <f>IF(ISERROR(VLOOKUP(B3792,Failures!$A$1:$A$4000,1,FALSE)),"Keep","Delete")</f>
        <v>Keep</v>
      </c>
      <c r="F3792" t="str">
        <f>IF(ISNUMBER(SEARCH("#",B3792)), LEFT(B3792,FIND("#",B3792)-1), B3792)</f>
        <v xml:space="preserve">Bus Shelter </v>
      </c>
      <c r="G3792" s="26">
        <f>IF(ISNUMBER(SEARCH("#",B3792)),VALUE(MID(B3792,FIND("#",B3792)+1,1000)),1)</f>
        <v>2</v>
      </c>
      <c r="H3792" t="str">
        <f>IF(AND(regexMatch(B3792,".*#[0-9]*$"),ISNUMBER(SEARCH("#",B3792))),CONCATENATE(TRIM(F3792)," #",G3792),B3792)</f>
        <v>Bus Shelter #2</v>
      </c>
    </row>
    <row r="3793" spans="1:8" ht="15.75" thickBot="1" x14ac:dyDescent="0.3">
      <c r="A3793" s="1" t="s">
        <v>6080</v>
      </c>
      <c r="B3793" s="1" t="s">
        <v>9838</v>
      </c>
      <c r="C3793" s="1"/>
      <c r="D3793" s="2" t="s">
        <v>304</v>
      </c>
      <c r="E3793" s="3" t="str">
        <f>IF(ISERROR(VLOOKUP(B3793,Failures!$A$1:$A$4000,1,FALSE)),"Keep","Delete")</f>
        <v>Keep</v>
      </c>
      <c r="F3793" t="str">
        <f>IF(ISNUMBER(SEARCH("#",B3793)), LEFT(B3793,FIND("#",B3793)-1), B3793)</f>
        <v xml:space="preserve">Bus Shelter </v>
      </c>
      <c r="G3793" s="26">
        <f>IF(ISNUMBER(SEARCH("#",B3793)),VALUE(MID(B3793,FIND("#",B3793)+1,1000)),1)</f>
        <v>3</v>
      </c>
      <c r="H3793" t="str">
        <f>IF(AND(regexMatch(B3793,".*#[0-9]*$"),ISNUMBER(SEARCH("#",B3793))),CONCATENATE(TRIM(F3793)," #",G3793),B3793)</f>
        <v>Bus Shelter #3</v>
      </c>
    </row>
    <row r="3794" spans="1:8" ht="15.75" thickBot="1" x14ac:dyDescent="0.3">
      <c r="A3794" s="1" t="s">
        <v>6079</v>
      </c>
      <c r="B3794" s="1" t="s">
        <v>6312</v>
      </c>
      <c r="C3794" s="1"/>
      <c r="D3794" s="2" t="s">
        <v>304</v>
      </c>
      <c r="E3794" s="3" t="str">
        <f>IF(ISERROR(VLOOKUP(B3794,Failures!$A$1:$A$4000,1,FALSE)),"Keep","Delete")</f>
        <v>Keep</v>
      </c>
      <c r="F3794" t="str">
        <f>IF(ISNUMBER(SEARCH("#",B3794)), LEFT(B3794,FIND("#",B3794)-1), B3794)</f>
        <v>Bus Stop Sign</v>
      </c>
      <c r="G3794" s="26">
        <f>IF(ISNUMBER(SEARCH("#",B3794)),VALUE(MID(B3794,FIND("#",B3794)+1,1000)),1)</f>
        <v>1</v>
      </c>
      <c r="H3794" t="str">
        <f>IF(AND(regexMatch(B3794,".*#[0-9]*$"),ISNUMBER(SEARCH("#",B3794))),CONCATENATE(TRIM(F3794)," #",G3794),B3794)</f>
        <v>Bus Stop Sign</v>
      </c>
    </row>
    <row r="3795" spans="1:8" ht="15.75" thickBot="1" x14ac:dyDescent="0.3">
      <c r="A3795" s="1" t="s">
        <v>6034</v>
      </c>
      <c r="B3795" s="1" t="s">
        <v>10128</v>
      </c>
      <c r="C3795" s="1"/>
      <c r="D3795" s="2" t="s">
        <v>304</v>
      </c>
      <c r="E3795" s="3" t="str">
        <f>IF(ISERROR(VLOOKUP(B3795,Failures!$A$1:$A$4000,1,FALSE)),"Keep","Delete")</f>
        <v>Keep</v>
      </c>
      <c r="F3795" t="str">
        <f>IF(ISNUMBER(SEARCH("#",B3795)), LEFT(B3795,FIND("#",B3795)-1), B3795)</f>
        <v>Car Park Barrier Ticket Machine</v>
      </c>
      <c r="G3795" s="26">
        <f>IF(ISNUMBER(SEARCH("#",B3795)),VALUE(MID(B3795,FIND("#",B3795)+1,1000)),1)</f>
        <v>1</v>
      </c>
      <c r="H3795" t="str">
        <f>IF(AND(regexMatch(B3795,".*#[0-9]*$"),ISNUMBER(SEARCH("#",B3795))),CONCATENATE(TRIM(F3795)," #",G3795),B3795)</f>
        <v>Car Park Barrier Ticket Machine</v>
      </c>
    </row>
    <row r="3796" spans="1:8" ht="15.75" thickBot="1" x14ac:dyDescent="0.3">
      <c r="A3796" s="7" t="s">
        <v>4343</v>
      </c>
      <c r="B3796" s="11" t="s">
        <v>4386</v>
      </c>
      <c r="C3796" s="9"/>
      <c r="D3796" s="14" t="s">
        <v>304</v>
      </c>
      <c r="E3796" s="3" t="str">
        <f>IF(ISERROR(VLOOKUP(B3796,Failures!$A$1:$A$4000,1,FALSE)),"Keep","Delete")</f>
        <v>Keep</v>
      </c>
      <c r="F3796" t="str">
        <f>IF(ISNUMBER(SEARCH("#",B3796)), LEFT(B3796,FIND("#",B3796)-1), B3796)</f>
        <v>City Christmas Tree</v>
      </c>
      <c r="G3796" s="26">
        <f>IF(ISNUMBER(SEARCH("#",B3796)),VALUE(MID(B3796,FIND("#",B3796)+1,1000)),1)</f>
        <v>1</v>
      </c>
      <c r="H3796" t="str">
        <f>IF(AND(regexMatch(B3796,".*#[0-9]*$"),ISNUMBER(SEARCH("#",B3796))),CONCATENATE(TRIM(F3796)," #",G3796),B3796)</f>
        <v>City Christmas Tree</v>
      </c>
    </row>
    <row r="3797" spans="1:8" ht="15.75" thickBot="1" x14ac:dyDescent="0.3">
      <c r="A3797" s="1" t="s">
        <v>6059</v>
      </c>
      <c r="B3797" s="1" t="s">
        <v>9896</v>
      </c>
      <c r="C3797" s="1"/>
      <c r="D3797" s="2" t="s">
        <v>304</v>
      </c>
      <c r="E3797" s="3" t="str">
        <f>IF(ISERROR(VLOOKUP(B3797,Failures!$A$1:$A$4000,1,FALSE)),"Keep","Delete")</f>
        <v>Keep</v>
      </c>
      <c r="F3797" t="str">
        <f>IF(ISNUMBER(SEARCH("#",B3797)), LEFT(B3797,FIND("#",B3797)-1), B3797)</f>
        <v xml:space="preserve">Electricity Cabinet </v>
      </c>
      <c r="G3797" s="26">
        <f>IF(ISNUMBER(SEARCH("#",B3797)),VALUE(MID(B3797,FIND("#",B3797)+1,1000)),1)</f>
        <v>1</v>
      </c>
      <c r="H3797" t="str">
        <f>IF(AND(regexMatch(B3797,".*#[0-9]*$"),ISNUMBER(SEARCH("#",B3797))),CONCATENATE(TRIM(F3797)," #",G3797),B3797)</f>
        <v>Electricity Cabinet #1</v>
      </c>
    </row>
    <row r="3798" spans="1:8" ht="15.75" thickBot="1" x14ac:dyDescent="0.3">
      <c r="A3798" s="1" t="s">
        <v>6057</v>
      </c>
      <c r="B3798" s="1" t="s">
        <v>9897</v>
      </c>
      <c r="C3798" s="1"/>
      <c r="D3798" s="2" t="s">
        <v>304</v>
      </c>
      <c r="E3798" s="3" t="str">
        <f>IF(ISERROR(VLOOKUP(B3798,Failures!$A$1:$A$4000,1,FALSE)),"Keep","Delete")</f>
        <v>Keep</v>
      </c>
      <c r="F3798" t="str">
        <f>IF(ISNUMBER(SEARCH("#",B3798)), LEFT(B3798,FIND("#",B3798)-1), B3798)</f>
        <v xml:space="preserve">Electricity Cabinet </v>
      </c>
      <c r="G3798" s="26">
        <f>IF(ISNUMBER(SEARCH("#",B3798)),VALUE(MID(B3798,FIND("#",B3798)+1,1000)),1)</f>
        <v>2</v>
      </c>
      <c r="H3798" t="str">
        <f>IF(AND(regexMatch(B3798,".*#[0-9]*$"),ISNUMBER(SEARCH("#",B3798))),CONCATENATE(TRIM(F3798)," #",G3798),B3798)</f>
        <v>Electricity Cabinet #2</v>
      </c>
    </row>
    <row r="3799" spans="1:8" ht="15.75" thickBot="1" x14ac:dyDescent="0.3">
      <c r="A3799" s="1" t="s">
        <v>6056</v>
      </c>
      <c r="B3799" s="1" t="s">
        <v>9898</v>
      </c>
      <c r="C3799" s="1"/>
      <c r="D3799" s="2" t="s">
        <v>304</v>
      </c>
      <c r="E3799" s="3" t="str">
        <f>IF(ISERROR(VLOOKUP(B3799,Failures!$A$1:$A$4000,1,FALSE)),"Keep","Delete")</f>
        <v>Keep</v>
      </c>
      <c r="F3799" t="str">
        <f>IF(ISNUMBER(SEARCH("#",B3799)), LEFT(B3799,FIND("#",B3799)-1), B3799)</f>
        <v xml:space="preserve">Electricity Cabinet </v>
      </c>
      <c r="G3799" s="26">
        <f>IF(ISNUMBER(SEARCH("#",B3799)),VALUE(MID(B3799,FIND("#",B3799)+1,1000)),1)</f>
        <v>3</v>
      </c>
      <c r="H3799" t="str">
        <f>IF(AND(regexMatch(B3799,".*#[0-9]*$"),ISNUMBER(SEARCH("#",B3799))),CONCATENATE(TRIM(F3799)," #",G3799),B3799)</f>
        <v>Electricity Cabinet #3</v>
      </c>
    </row>
    <row r="3800" spans="1:8" ht="15.75" thickBot="1" x14ac:dyDescent="0.3">
      <c r="A3800" s="1" t="s">
        <v>6066</v>
      </c>
      <c r="B3800" s="1" t="s">
        <v>9899</v>
      </c>
      <c r="C3800" s="1"/>
      <c r="D3800" s="2" t="s">
        <v>304</v>
      </c>
      <c r="E3800" s="3" t="str">
        <f>IF(ISERROR(VLOOKUP(B3800,Failures!$A$1:$A$4000,1,FALSE)),"Keep","Delete")</f>
        <v>Keep</v>
      </c>
      <c r="F3800" t="str">
        <f>IF(ISNUMBER(SEARCH("#",B3800)), LEFT(B3800,FIND("#",B3800)-1), B3800)</f>
        <v xml:space="preserve">Electricity Cabinet </v>
      </c>
      <c r="G3800" s="26">
        <f>IF(ISNUMBER(SEARCH("#",B3800)),VALUE(MID(B3800,FIND("#",B3800)+1,1000)),1)</f>
        <v>4</v>
      </c>
      <c r="H3800" t="str">
        <f>IF(AND(regexMatch(B3800,".*#[0-9]*$"),ISNUMBER(SEARCH("#",B3800))),CONCATENATE(TRIM(F3800)," #",G3800),B3800)</f>
        <v>Electricity Cabinet #4</v>
      </c>
    </row>
    <row r="3801" spans="1:8" ht="15.75" thickBot="1" x14ac:dyDescent="0.3">
      <c r="A3801" s="1" t="s">
        <v>6065</v>
      </c>
      <c r="B3801" s="1" t="s">
        <v>9900</v>
      </c>
      <c r="C3801" s="1"/>
      <c r="D3801" s="2" t="s">
        <v>304</v>
      </c>
      <c r="E3801" s="3" t="str">
        <f>IF(ISERROR(VLOOKUP(B3801,Failures!$A$1:$A$4000,1,FALSE)),"Keep","Delete")</f>
        <v>Keep</v>
      </c>
      <c r="F3801" t="str">
        <f>IF(ISNUMBER(SEARCH("#",B3801)), LEFT(B3801,FIND("#",B3801)-1), B3801)</f>
        <v xml:space="preserve">Electricity Cabinet </v>
      </c>
      <c r="G3801" s="26">
        <f>IF(ISNUMBER(SEARCH("#",B3801)),VALUE(MID(B3801,FIND("#",B3801)+1,1000)),1)</f>
        <v>5</v>
      </c>
      <c r="H3801" t="str">
        <f>IF(AND(regexMatch(B3801,".*#[0-9]*$"),ISNUMBER(SEARCH("#",B3801))),CONCATENATE(TRIM(F3801)," #",G3801),B3801)</f>
        <v>Electricity Cabinet #5</v>
      </c>
    </row>
    <row r="3802" spans="1:8" ht="15.75" thickBot="1" x14ac:dyDescent="0.3">
      <c r="A3802" s="1" t="s">
        <v>6064</v>
      </c>
      <c r="B3802" s="1" t="s">
        <v>9901</v>
      </c>
      <c r="C3802" s="1"/>
      <c r="D3802" s="2" t="s">
        <v>304</v>
      </c>
      <c r="E3802" s="3" t="str">
        <f>IF(ISERROR(VLOOKUP(B3802,Failures!$A$1:$A$4000,1,FALSE)),"Keep","Delete")</f>
        <v>Keep</v>
      </c>
      <c r="F3802" t="str">
        <f>IF(ISNUMBER(SEARCH("#",B3802)), LEFT(B3802,FIND("#",B3802)-1), B3802)</f>
        <v xml:space="preserve">Electricity Cabinet </v>
      </c>
      <c r="G3802" s="26">
        <f>IF(ISNUMBER(SEARCH("#",B3802)),VALUE(MID(B3802,FIND("#",B3802)+1,1000)),1)</f>
        <v>6</v>
      </c>
      <c r="H3802" t="str">
        <f>IF(AND(regexMatch(B3802,".*#[0-9]*$"),ISNUMBER(SEARCH("#",B3802))),CONCATENATE(TRIM(F3802)," #",G3802),B3802)</f>
        <v>Electricity Cabinet #6</v>
      </c>
    </row>
    <row r="3803" spans="1:8" ht="15.75" thickBot="1" x14ac:dyDescent="0.3">
      <c r="A3803" s="1" t="s">
        <v>6063</v>
      </c>
      <c r="B3803" s="1" t="s">
        <v>9902</v>
      </c>
      <c r="C3803" s="1"/>
      <c r="D3803" s="2" t="s">
        <v>304</v>
      </c>
      <c r="E3803" s="3" t="str">
        <f>IF(ISERROR(VLOOKUP(B3803,Failures!$A$1:$A$4000,1,FALSE)),"Keep","Delete")</f>
        <v>Keep</v>
      </c>
      <c r="F3803" t="str">
        <f>IF(ISNUMBER(SEARCH("#",B3803)), LEFT(B3803,FIND("#",B3803)-1), B3803)</f>
        <v xml:space="preserve">Electricity Cabinet </v>
      </c>
      <c r="G3803" s="26">
        <f>IF(ISNUMBER(SEARCH("#",B3803)),VALUE(MID(B3803,FIND("#",B3803)+1,1000)),1)</f>
        <v>7</v>
      </c>
      <c r="H3803" t="str">
        <f>IF(AND(regexMatch(B3803,".*#[0-9]*$"),ISNUMBER(SEARCH("#",B3803))),CONCATENATE(TRIM(F3803)," #",G3803),B3803)</f>
        <v>Electricity Cabinet #7</v>
      </c>
    </row>
    <row r="3804" spans="1:8" ht="15.75" thickBot="1" x14ac:dyDescent="0.3">
      <c r="A3804" s="1" t="s">
        <v>6062</v>
      </c>
      <c r="B3804" s="1" t="s">
        <v>9903</v>
      </c>
      <c r="C3804" s="1"/>
      <c r="D3804" s="2" t="s">
        <v>304</v>
      </c>
      <c r="E3804" s="3" t="str">
        <f>IF(ISERROR(VLOOKUP(B3804,Failures!$A$1:$A$4000,1,FALSE)),"Keep","Delete")</f>
        <v>Keep</v>
      </c>
      <c r="F3804" t="str">
        <f>IF(ISNUMBER(SEARCH("#",B3804)), LEFT(B3804,FIND("#",B3804)-1), B3804)</f>
        <v xml:space="preserve">Electricity Cabinet </v>
      </c>
      <c r="G3804" s="26">
        <f>IF(ISNUMBER(SEARCH("#",B3804)),VALUE(MID(B3804,FIND("#",B3804)+1,1000)),1)</f>
        <v>8</v>
      </c>
      <c r="H3804" t="str">
        <f>IF(AND(regexMatch(B3804,".*#[0-9]*$"),ISNUMBER(SEARCH("#",B3804))),CONCATENATE(TRIM(F3804)," #",G3804),B3804)</f>
        <v>Electricity Cabinet #8</v>
      </c>
    </row>
    <row r="3805" spans="1:8" ht="15.75" thickBot="1" x14ac:dyDescent="0.3">
      <c r="A3805" s="1" t="s">
        <v>6061</v>
      </c>
      <c r="B3805" s="1" t="s">
        <v>9904</v>
      </c>
      <c r="C3805" s="1"/>
      <c r="D3805" s="2" t="s">
        <v>304</v>
      </c>
      <c r="E3805" s="3" t="str">
        <f>IF(ISERROR(VLOOKUP(B3805,Failures!$A$1:$A$4000,1,FALSE)),"Keep","Delete")</f>
        <v>Keep</v>
      </c>
      <c r="F3805" t="str">
        <f>IF(ISNUMBER(SEARCH("#",B3805)), LEFT(B3805,FIND("#",B3805)-1), B3805)</f>
        <v xml:space="preserve">Electricity Cabinet </v>
      </c>
      <c r="G3805" s="26">
        <f>IF(ISNUMBER(SEARCH("#",B3805)),VALUE(MID(B3805,FIND("#",B3805)+1,1000)),1)</f>
        <v>9</v>
      </c>
      <c r="H3805" t="str">
        <f>IF(AND(regexMatch(B3805,".*#[0-9]*$"),ISNUMBER(SEARCH("#",B3805))),CONCATENATE(TRIM(F3805)," #",G3805),B3805)</f>
        <v>Electricity Cabinet #9</v>
      </c>
    </row>
    <row r="3806" spans="1:8" ht="15.75" thickBot="1" x14ac:dyDescent="0.3">
      <c r="A3806" s="1" t="s">
        <v>6060</v>
      </c>
      <c r="B3806" s="1" t="s">
        <v>9905</v>
      </c>
      <c r="C3806" s="1"/>
      <c r="D3806" s="2" t="s">
        <v>304</v>
      </c>
      <c r="E3806" s="3" t="str">
        <f>IF(ISERROR(VLOOKUP(B3806,Failures!$A$1:$A$4000,1,FALSE)),"Keep","Delete")</f>
        <v>Keep</v>
      </c>
      <c r="F3806" t="str">
        <f>IF(ISNUMBER(SEARCH("#",B3806)), LEFT(B3806,FIND("#",B3806)-1), B3806)</f>
        <v xml:space="preserve">Electricity Cabinet </v>
      </c>
      <c r="G3806" s="26">
        <f>IF(ISNUMBER(SEARCH("#",B3806)),VALUE(MID(B3806,FIND("#",B3806)+1,1000)),1)</f>
        <v>10</v>
      </c>
      <c r="H3806" t="str">
        <f>IF(AND(regexMatch(B3806,".*#[0-9]*$"),ISNUMBER(SEARCH("#",B3806))),CONCATENATE(TRIM(F3806)," #",G3806),B3806)</f>
        <v>Electricity Cabinet #10</v>
      </c>
    </row>
    <row r="3807" spans="1:8" ht="15.75" thickBot="1" x14ac:dyDescent="0.3">
      <c r="A3807" s="1" t="s">
        <v>6058</v>
      </c>
      <c r="B3807" s="1" t="s">
        <v>9906</v>
      </c>
      <c r="C3807" s="1"/>
      <c r="D3807" s="2" t="s">
        <v>304</v>
      </c>
      <c r="E3807" s="3" t="str">
        <f>IF(ISERROR(VLOOKUP(B3807,Failures!$A$1:$A$4000,1,FALSE)),"Keep","Delete")</f>
        <v>Keep</v>
      </c>
      <c r="F3807" t="str">
        <f>IF(ISNUMBER(SEARCH("#",B3807)), LEFT(B3807,FIND("#",B3807)-1), B3807)</f>
        <v xml:space="preserve">Electricity Cabinet </v>
      </c>
      <c r="G3807" s="26">
        <f>IF(ISNUMBER(SEARCH("#",B3807)),VALUE(MID(B3807,FIND("#",B3807)+1,1000)),1)</f>
        <v>11</v>
      </c>
      <c r="H3807" t="str">
        <f>IF(AND(regexMatch(B3807,".*#[0-9]*$"),ISNUMBER(SEARCH("#",B3807))),CONCATENATE(TRIM(F3807)," #",G3807),B3807)</f>
        <v>Electricity Cabinet #11</v>
      </c>
    </row>
    <row r="3808" spans="1:8" ht="15.75" thickBot="1" x14ac:dyDescent="0.3">
      <c r="A3808" s="1" t="s">
        <v>6051</v>
      </c>
      <c r="B3808" s="1" t="s">
        <v>6311</v>
      </c>
      <c r="C3808" s="1"/>
      <c r="D3808" s="2" t="s">
        <v>304</v>
      </c>
      <c r="E3808" s="3" t="str">
        <f>IF(ISERROR(VLOOKUP(B3808,Failures!$A$1:$A$4000,1,FALSE)),"Keep","Delete")</f>
        <v>Keep</v>
      </c>
      <c r="F3808" t="str">
        <f>IF(ISNUMBER(SEARCH("#",B3808)), LEFT(B3808,FIND("#",B3808)-1), B3808)</f>
        <v xml:space="preserve">Fire Hydrant </v>
      </c>
      <c r="G3808" s="26">
        <f>IF(ISNUMBER(SEARCH("#",B3808)),VALUE(MID(B3808,FIND("#",B3808)+1,1000)),1)</f>
        <v>1</v>
      </c>
      <c r="H3808" t="str">
        <f>IF(AND(regexMatch(B3808,".*#[0-9]*$"),ISNUMBER(SEARCH("#",B3808))),CONCATENATE(TRIM(F3808)," #",G3808),B3808)</f>
        <v>Fire Hydrant #1</v>
      </c>
    </row>
    <row r="3809" spans="1:8" ht="15.75" thickBot="1" x14ac:dyDescent="0.3">
      <c r="A3809" s="1" t="s">
        <v>6050</v>
      </c>
      <c r="B3809" s="1" t="s">
        <v>6310</v>
      </c>
      <c r="C3809" s="1"/>
      <c r="D3809" s="2" t="s">
        <v>304</v>
      </c>
      <c r="E3809" s="3" t="str">
        <f>IF(ISERROR(VLOOKUP(B3809,Failures!$A$1:$A$4000,1,FALSE)),"Keep","Delete")</f>
        <v>Keep</v>
      </c>
      <c r="F3809" t="str">
        <f>IF(ISNUMBER(SEARCH("#",B3809)), LEFT(B3809,FIND("#",B3809)-1), B3809)</f>
        <v xml:space="preserve">Fire Hydrant </v>
      </c>
      <c r="G3809" s="26">
        <f>IF(ISNUMBER(SEARCH("#",B3809)),VALUE(MID(B3809,FIND("#",B3809)+1,1000)),1)</f>
        <v>2</v>
      </c>
      <c r="H3809" t="str">
        <f>IF(AND(regexMatch(B3809,".*#[0-9]*$"),ISNUMBER(SEARCH("#",B3809))),CONCATENATE(TRIM(F3809)," #",G3809),B3809)</f>
        <v>Fire Hydrant #2</v>
      </c>
    </row>
    <row r="3810" spans="1:8" ht="15.75" thickBot="1" x14ac:dyDescent="0.3">
      <c r="A3810" s="1" t="s">
        <v>6049</v>
      </c>
      <c r="B3810" s="1" t="s">
        <v>9923</v>
      </c>
      <c r="C3810" s="1"/>
      <c r="D3810" s="2" t="s">
        <v>304</v>
      </c>
      <c r="E3810" s="3" t="str">
        <f>IF(ISERROR(VLOOKUP(B3810,Failures!$A$1:$A$4000,1,FALSE)),"Keep","Delete")</f>
        <v>Keep</v>
      </c>
      <c r="F3810" t="str">
        <f>IF(ISNUMBER(SEARCH("#",B3810)), LEFT(B3810,FIND("#",B3810)-1), B3810)</f>
        <v xml:space="preserve">Fire Hydrant </v>
      </c>
      <c r="G3810" s="26">
        <f>IF(ISNUMBER(SEARCH("#",B3810)),VALUE(MID(B3810,FIND("#",B3810)+1,1000)),1)</f>
        <v>3</v>
      </c>
      <c r="H3810" t="str">
        <f>IF(AND(regexMatch(B3810,".*#[0-9]*$"),ISNUMBER(SEARCH("#",B3810))),CONCATENATE(TRIM(F3810)," #",G3810),B3810)</f>
        <v>Fire Hydrant #3</v>
      </c>
    </row>
    <row r="3811" spans="1:8" ht="15.75" thickBot="1" x14ac:dyDescent="0.3">
      <c r="A3811" s="1" t="s">
        <v>4891</v>
      </c>
      <c r="B3811" s="1" t="s">
        <v>10043</v>
      </c>
      <c r="C3811" s="1"/>
      <c r="D3811" s="2" t="s">
        <v>304</v>
      </c>
      <c r="E3811" s="3" t="str">
        <f>IF(ISERROR(VLOOKUP(B3811,Failures!$A$1:$A$4000,1,FALSE)),"Keep","Delete")</f>
        <v>Keep</v>
      </c>
      <c r="F3811" t="str">
        <f>IF(ISNUMBER(SEARCH("#",B3811)), LEFT(B3811,FIND("#",B3811)-1), B3811)</f>
        <v xml:space="preserve">Gumball Machine </v>
      </c>
      <c r="G3811" s="26">
        <f>IF(ISNUMBER(SEARCH("#",B3811)),VALUE(MID(B3811,FIND("#",B3811)+1,1000)),1)</f>
        <v>1</v>
      </c>
      <c r="H3811" t="str">
        <f>IF(AND(regexMatch(B3811,".*#[0-9]*$"),ISNUMBER(SEARCH("#",B3811))),CONCATENATE(TRIM(F3811)," #",G3811),B3811)</f>
        <v>Gumball Machine #1</v>
      </c>
    </row>
    <row r="3812" spans="1:8" ht="15.75" thickBot="1" x14ac:dyDescent="0.3">
      <c r="A3812" s="1" t="s">
        <v>4890</v>
      </c>
      <c r="B3812" s="1" t="s">
        <v>10044</v>
      </c>
      <c r="C3812" s="1"/>
      <c r="D3812" s="2" t="s">
        <v>304</v>
      </c>
      <c r="E3812" s="3" t="str">
        <f>IF(ISERROR(VLOOKUP(B3812,Failures!$A$1:$A$4000,1,FALSE)),"Keep","Delete")</f>
        <v>Keep</v>
      </c>
      <c r="F3812" t="str">
        <f>IF(ISNUMBER(SEARCH("#",B3812)), LEFT(B3812,FIND("#",B3812)-1), B3812)</f>
        <v xml:space="preserve">Gumball Machine </v>
      </c>
      <c r="G3812" s="26">
        <f>IF(ISNUMBER(SEARCH("#",B3812)),VALUE(MID(B3812,FIND("#",B3812)+1,1000)),1)</f>
        <v>2</v>
      </c>
      <c r="H3812" t="str">
        <f>IF(AND(regexMatch(B3812,".*#[0-9]*$"),ISNUMBER(SEARCH("#",B3812))),CONCATENATE(TRIM(F3812)," #",G3812),B3812)</f>
        <v>Gumball Machine #2</v>
      </c>
    </row>
    <row r="3813" spans="1:8" ht="15.75" thickBot="1" x14ac:dyDescent="0.3">
      <c r="A3813" s="1" t="s">
        <v>4889</v>
      </c>
      <c r="B3813" s="1" t="s">
        <v>10045</v>
      </c>
      <c r="C3813" s="1"/>
      <c r="D3813" s="2" t="s">
        <v>304</v>
      </c>
      <c r="E3813" s="3" t="str">
        <f>IF(ISERROR(VLOOKUP(B3813,Failures!$A$1:$A$4000,1,FALSE)),"Keep","Delete")</f>
        <v>Keep</v>
      </c>
      <c r="F3813" t="str">
        <f>IF(ISNUMBER(SEARCH("#",B3813)), LEFT(B3813,FIND("#",B3813)-1), B3813)</f>
        <v xml:space="preserve">Gumball Machine </v>
      </c>
      <c r="G3813" s="26">
        <f>IF(ISNUMBER(SEARCH("#",B3813)),VALUE(MID(B3813,FIND("#",B3813)+1,1000)),1)</f>
        <v>3</v>
      </c>
      <c r="H3813" t="str">
        <f>IF(AND(regexMatch(B3813,".*#[0-9]*$"),ISNUMBER(SEARCH("#",B3813))),CONCATENATE(TRIM(F3813)," #",G3813),B3813)</f>
        <v>Gumball Machine #3</v>
      </c>
    </row>
    <row r="3814" spans="1:8" ht="15.75" thickBot="1" x14ac:dyDescent="0.3">
      <c r="A3814" s="1" t="s">
        <v>2900</v>
      </c>
      <c r="B3814" s="1" t="s">
        <v>2901</v>
      </c>
      <c r="C3814" s="2" t="s">
        <v>5</v>
      </c>
      <c r="D3814" s="2" t="s">
        <v>304</v>
      </c>
      <c r="E3814" s="3" t="str">
        <f>IF(ISERROR(VLOOKUP(B3814,Failures!$A$1:$A$4000,1,FALSE)),"Keep","Delete")</f>
        <v>Keep</v>
      </c>
      <c r="F3814" t="str">
        <f>IF(ISNUMBER(SEARCH("#",B3814)), LEFT(B3814,FIND("#",B3814)-1), B3814)</f>
        <v>Lamp Post (Snowy)</v>
      </c>
      <c r="G3814" s="26">
        <f>IF(ISNUMBER(SEARCH("#",B3814)),VALUE(MID(B3814,FIND("#",B3814)+1,1000)),1)</f>
        <v>1</v>
      </c>
      <c r="H3814" t="str">
        <f>IF(AND(regexMatch(B3814,".*#[0-9]*$"),ISNUMBER(SEARCH("#",B3814))),CONCATENATE(TRIM(F3814)," #",G3814),B3814)</f>
        <v>Lamp Post (Snowy)</v>
      </c>
    </row>
    <row r="3815" spans="1:8" ht="15.75" thickBot="1" x14ac:dyDescent="0.3">
      <c r="A3815" s="7" t="s">
        <v>4275</v>
      </c>
      <c r="B3815" s="9" t="s">
        <v>4733</v>
      </c>
      <c r="C3815" s="9"/>
      <c r="D3815" s="14" t="s">
        <v>304</v>
      </c>
      <c r="E3815" s="3" t="str">
        <f>IF(ISERROR(VLOOKUP(B3815,Failures!$A$1:$A$4000,1,FALSE)),"Keep","Delete")</f>
        <v>Keep</v>
      </c>
      <c r="F3815" t="str">
        <f>IF(ISNUMBER(SEARCH("#",B3815)), LEFT(B3815,FIND("#",B3815)-1), B3815)</f>
        <v xml:space="preserve">Marathon Start Gate </v>
      </c>
      <c r="G3815" s="26">
        <f>IF(ISNUMBER(SEARCH("#",B3815)),VALUE(MID(B3815,FIND("#",B3815)+1,1000)),1)</f>
        <v>1</v>
      </c>
      <c r="H3815" t="str">
        <f>IF(AND(regexMatch(B3815,".*#[0-9]*$"),ISNUMBER(SEARCH("#",B3815))),CONCATENATE(TRIM(F3815)," #",G3815),B3815)</f>
        <v>Marathon Start Gate #1</v>
      </c>
    </row>
    <row r="3816" spans="1:8" ht="15.75" thickBot="1" x14ac:dyDescent="0.3">
      <c r="A3816" s="7" t="s">
        <v>4177</v>
      </c>
      <c r="B3816" s="9" t="s">
        <v>4734</v>
      </c>
      <c r="C3816" s="9"/>
      <c r="D3816" s="14" t="s">
        <v>304</v>
      </c>
      <c r="E3816" s="3" t="str">
        <f>IF(ISERROR(VLOOKUP(B3816,Failures!$A$1:$A$4000,1,FALSE)),"Keep","Delete")</f>
        <v>Keep</v>
      </c>
      <c r="F3816" t="str">
        <f>IF(ISNUMBER(SEARCH("#",B3816)), LEFT(B3816,FIND("#",B3816)-1), B3816)</f>
        <v xml:space="preserve">Marathon Start Gate </v>
      </c>
      <c r="G3816" s="26">
        <f>IF(ISNUMBER(SEARCH("#",B3816)),VALUE(MID(B3816,FIND("#",B3816)+1,1000)),1)</f>
        <v>2</v>
      </c>
      <c r="H3816" t="str">
        <f>IF(AND(regexMatch(B3816,".*#[0-9]*$"),ISNUMBER(SEARCH("#",B3816))),CONCATENATE(TRIM(F3816)," #",G3816),B3816)</f>
        <v>Marathon Start Gate #2</v>
      </c>
    </row>
    <row r="3817" spans="1:8" ht="15.75" thickBot="1" x14ac:dyDescent="0.3">
      <c r="A3817" s="7" t="s">
        <v>4355</v>
      </c>
      <c r="B3817" s="8" t="s">
        <v>4539</v>
      </c>
      <c r="C3817" s="9"/>
      <c r="D3817" s="2" t="s">
        <v>304</v>
      </c>
      <c r="E3817" s="3" t="str">
        <f>IF(ISERROR(VLOOKUP(B3817,Failures!$A$1:$A$4000,1,FALSE)),"Keep","Delete")</f>
        <v>Keep</v>
      </c>
      <c r="F3817" t="str">
        <f>IF(ISNUMBER(SEARCH("#",B3817)), LEFT(B3817,FIND("#",B3817)-1), B3817)</f>
        <v xml:space="preserve">News Dispenser </v>
      </c>
      <c r="G3817" s="26">
        <f>IF(ISNUMBER(SEARCH("#",B3817)),VALUE(MID(B3817,FIND("#",B3817)+1,1000)),1)</f>
        <v>1</v>
      </c>
      <c r="H3817" t="str">
        <f>IF(AND(regexMatch(B3817,".*#[0-9]*$"),ISNUMBER(SEARCH("#",B3817))),CONCATENATE(TRIM(F3817)," #",G3817),B3817)</f>
        <v>News Dispenser #1</v>
      </c>
    </row>
    <row r="3818" spans="1:8" s="30" customFormat="1" x14ac:dyDescent="0.25">
      <c r="A3818" s="38" t="s">
        <v>4360</v>
      </c>
      <c r="B3818" s="8" t="s">
        <v>4540</v>
      </c>
      <c r="C3818" s="21"/>
      <c r="D3818" s="15" t="s">
        <v>304</v>
      </c>
      <c r="E3818" s="40" t="str">
        <f>IF(ISERROR(VLOOKUP(B3818,Failures!$A$1:$A$4000,1,FALSE)),"Keep","Delete")</f>
        <v>Keep</v>
      </c>
      <c r="F3818" t="str">
        <f>IF(ISNUMBER(SEARCH("#",B3818)), LEFT(B3818,FIND("#",B3818)-1), B3818)</f>
        <v xml:space="preserve">News Dispenser </v>
      </c>
      <c r="G3818" s="26">
        <f>IF(ISNUMBER(SEARCH("#",B3818)),VALUE(MID(B3818,FIND("#",B3818)+1,1000)),1)</f>
        <v>2</v>
      </c>
      <c r="H3818" t="str">
        <f>IF(AND(regexMatch(B3818,".*#[0-9]*$"),ISNUMBER(SEARCH("#",B3818))),CONCATENATE(TRIM(F3818)," #",G3818),B3818)</f>
        <v>News Dispenser #2</v>
      </c>
    </row>
    <row r="3819" spans="1:8" x14ac:dyDescent="0.25">
      <c r="A3819" s="8" t="s">
        <v>2227</v>
      </c>
      <c r="B3819" s="8" t="s">
        <v>4541</v>
      </c>
      <c r="C3819" s="13" t="s">
        <v>5</v>
      </c>
      <c r="D3819" s="15" t="s">
        <v>304</v>
      </c>
      <c r="E3819" s="40" t="str">
        <f>IF(ISERROR(VLOOKUP(B3819,Failures!$A$1:$A$4000,1,FALSE)),"Keep","Delete")</f>
        <v>Keep</v>
      </c>
      <c r="F3819" t="str">
        <f>IF(ISNUMBER(SEARCH("#",B3819)), LEFT(B3819,FIND("#",B3819)-1), B3819)</f>
        <v xml:space="preserve">News Dispenser </v>
      </c>
      <c r="G3819" s="26">
        <f>IF(ISNUMBER(SEARCH("#",B3819)),VALUE(MID(B3819,FIND("#",B3819)+1,1000)),1)</f>
        <v>3</v>
      </c>
      <c r="H3819" t="str">
        <f>IF(AND(regexMatch(B3819,".*#[0-9]*$"),ISNUMBER(SEARCH("#",B3819))),CONCATENATE(TRIM(F3819)," #",G3819),B3819)</f>
        <v>News Dispenser #3</v>
      </c>
    </row>
    <row r="3820" spans="1:8" x14ac:dyDescent="0.25">
      <c r="A3820" s="18" t="s">
        <v>4362</v>
      </c>
      <c r="B3820" s="8" t="s">
        <v>4542</v>
      </c>
      <c r="C3820" s="21"/>
      <c r="D3820" s="15" t="s">
        <v>304</v>
      </c>
      <c r="E3820" s="40" t="str">
        <f>IF(ISERROR(VLOOKUP(B3820,Failures!$A$1:$A$4000,1,FALSE)),"Keep","Delete")</f>
        <v>Keep</v>
      </c>
      <c r="F3820" t="str">
        <f>IF(ISNUMBER(SEARCH("#",B3820)), LEFT(B3820,FIND("#",B3820)-1), B3820)</f>
        <v xml:space="preserve">News Dispenser </v>
      </c>
      <c r="G3820" s="26">
        <f>IF(ISNUMBER(SEARCH("#",B3820)),VALUE(MID(B3820,FIND("#",B3820)+1,1000)),1)</f>
        <v>4</v>
      </c>
      <c r="H3820" t="str">
        <f>IF(AND(regexMatch(B3820,".*#[0-9]*$"),ISNUMBER(SEARCH("#",B3820))),CONCATENATE(TRIM(F3820)," #",G3820),B3820)</f>
        <v>News Dispenser #4</v>
      </c>
    </row>
    <row r="3821" spans="1:8" x14ac:dyDescent="0.25">
      <c r="A3821" s="18" t="s">
        <v>4359</v>
      </c>
      <c r="B3821" s="8" t="s">
        <v>4543</v>
      </c>
      <c r="C3821" s="21"/>
      <c r="D3821" s="15" t="s">
        <v>304</v>
      </c>
      <c r="E3821" s="40" t="str">
        <f>IF(ISERROR(VLOOKUP(B3821,Failures!$A$1:$A$4000,1,FALSE)),"Keep","Delete")</f>
        <v>Keep</v>
      </c>
      <c r="F3821" t="str">
        <f>IF(ISNUMBER(SEARCH("#",B3821)), LEFT(B3821,FIND("#",B3821)-1), B3821)</f>
        <v xml:space="preserve">News Dispenser </v>
      </c>
      <c r="G3821" s="26">
        <f>IF(ISNUMBER(SEARCH("#",B3821)),VALUE(MID(B3821,FIND("#",B3821)+1,1000)),1)</f>
        <v>5</v>
      </c>
      <c r="H3821" t="str">
        <f>IF(AND(regexMatch(B3821,".*#[0-9]*$"),ISNUMBER(SEARCH("#",B3821))),CONCATENATE(TRIM(F3821)," #",G3821),B3821)</f>
        <v>News Dispenser #5</v>
      </c>
    </row>
    <row r="3822" spans="1:8" x14ac:dyDescent="0.25">
      <c r="A3822" s="18" t="s">
        <v>4239</v>
      </c>
      <c r="B3822" s="8" t="s">
        <v>4544</v>
      </c>
      <c r="C3822" s="21"/>
      <c r="D3822" s="15" t="s">
        <v>304</v>
      </c>
      <c r="E3822" s="40" t="str">
        <f>IF(ISERROR(VLOOKUP(B3822,Failures!$A$1:$A$4000,1,FALSE)),"Keep","Delete")</f>
        <v>Keep</v>
      </c>
      <c r="F3822" t="str">
        <f>IF(ISNUMBER(SEARCH("#",B3822)), LEFT(B3822,FIND("#",B3822)-1), B3822)</f>
        <v xml:space="preserve">News Dispenser </v>
      </c>
      <c r="G3822" s="26">
        <f>IF(ISNUMBER(SEARCH("#",B3822)),VALUE(MID(B3822,FIND("#",B3822)+1,1000)),1)</f>
        <v>6</v>
      </c>
      <c r="H3822" t="str">
        <f>IF(AND(regexMatch(B3822,".*#[0-9]*$"),ISNUMBER(SEARCH("#",B3822))),CONCATENATE(TRIM(F3822)," #",G3822),B3822)</f>
        <v>News Dispenser #6</v>
      </c>
    </row>
    <row r="3823" spans="1:8" x14ac:dyDescent="0.25">
      <c r="A3823" s="18" t="s">
        <v>4358</v>
      </c>
      <c r="B3823" s="8" t="s">
        <v>4545</v>
      </c>
      <c r="C3823" s="21"/>
      <c r="D3823" s="15" t="s">
        <v>304</v>
      </c>
      <c r="E3823" s="40" t="str">
        <f>IF(ISERROR(VLOOKUP(B3823,Failures!$A$1:$A$4000,1,FALSE)),"Keep","Delete")</f>
        <v>Keep</v>
      </c>
      <c r="F3823" t="str">
        <f>IF(ISNUMBER(SEARCH("#",B3823)), LEFT(B3823,FIND("#",B3823)-1), B3823)</f>
        <v xml:space="preserve">News Dispenser </v>
      </c>
      <c r="G3823" s="26">
        <f>IF(ISNUMBER(SEARCH("#",B3823)),VALUE(MID(B3823,FIND("#",B3823)+1,1000)),1)</f>
        <v>7</v>
      </c>
      <c r="H3823" t="str">
        <f>IF(AND(regexMatch(B3823,".*#[0-9]*$"),ISNUMBER(SEARCH("#",B3823))),CONCATENATE(TRIM(F3823)," #",G3823),B3823)</f>
        <v>News Dispenser #7</v>
      </c>
    </row>
    <row r="3824" spans="1:8" x14ac:dyDescent="0.25">
      <c r="A3824" s="18" t="s">
        <v>4357</v>
      </c>
      <c r="B3824" s="8" t="s">
        <v>4546</v>
      </c>
      <c r="C3824" s="21"/>
      <c r="D3824" s="15" t="s">
        <v>304</v>
      </c>
      <c r="E3824" s="40" t="str">
        <f>IF(ISERROR(VLOOKUP(B3824,Failures!$A$1:$A$4000,1,FALSE)),"Keep","Delete")</f>
        <v>Keep</v>
      </c>
      <c r="F3824" t="str">
        <f>IF(ISNUMBER(SEARCH("#",B3824)), LEFT(B3824,FIND("#",B3824)-1), B3824)</f>
        <v xml:space="preserve">News Dispenser </v>
      </c>
      <c r="G3824" s="26">
        <f>IF(ISNUMBER(SEARCH("#",B3824)),VALUE(MID(B3824,FIND("#",B3824)+1,1000)),1)</f>
        <v>8</v>
      </c>
      <c r="H3824" t="str">
        <f>IF(AND(regexMatch(B3824,".*#[0-9]*$"),ISNUMBER(SEARCH("#",B3824))),CONCATENATE(TRIM(F3824)," #",G3824),B3824)</f>
        <v>News Dispenser #8</v>
      </c>
    </row>
    <row r="3825" spans="1:8" x14ac:dyDescent="0.25">
      <c r="A3825" s="18" t="s">
        <v>4354</v>
      </c>
      <c r="B3825" s="8" t="s">
        <v>4547</v>
      </c>
      <c r="C3825" s="21"/>
      <c r="D3825" s="15" t="s">
        <v>304</v>
      </c>
      <c r="E3825" s="40" t="str">
        <f>IF(ISERROR(VLOOKUP(B3825,Failures!$A$1:$A$4000,1,FALSE)),"Keep","Delete")</f>
        <v>Keep</v>
      </c>
      <c r="F3825" t="str">
        <f>IF(ISNUMBER(SEARCH("#",B3825)), LEFT(B3825,FIND("#",B3825)-1), B3825)</f>
        <v xml:space="preserve">News Dispenser </v>
      </c>
      <c r="G3825" s="26">
        <f>IF(ISNUMBER(SEARCH("#",B3825)),VALUE(MID(B3825,FIND("#",B3825)+1,1000)),1)</f>
        <v>9</v>
      </c>
      <c r="H3825" t="str">
        <f>IF(AND(regexMatch(B3825,".*#[0-9]*$"),ISNUMBER(SEARCH("#",B3825))),CONCATENATE(TRIM(F3825)," #",G3825),B3825)</f>
        <v>News Dispenser #9</v>
      </c>
    </row>
    <row r="3826" spans="1:8" x14ac:dyDescent="0.25">
      <c r="A3826" s="18" t="s">
        <v>4356</v>
      </c>
      <c r="B3826" s="8" t="s">
        <v>4548</v>
      </c>
      <c r="C3826" s="21"/>
      <c r="D3826" s="15" t="s">
        <v>304</v>
      </c>
      <c r="E3826" s="40" t="str">
        <f>IF(ISERROR(VLOOKUP(B3826,Failures!$A$1:$A$4000,1,FALSE)),"Keep","Delete")</f>
        <v>Keep</v>
      </c>
      <c r="F3826" t="str">
        <f>IF(ISNUMBER(SEARCH("#",B3826)), LEFT(B3826,FIND("#",B3826)-1), B3826)</f>
        <v xml:space="preserve">News Dispenser </v>
      </c>
      <c r="G3826" s="26">
        <f>IF(ISNUMBER(SEARCH("#",B3826)),VALUE(MID(B3826,FIND("#",B3826)+1,1000)),1)</f>
        <v>10</v>
      </c>
      <c r="H3826" t="str">
        <f>IF(AND(regexMatch(B3826,".*#[0-9]*$"),ISNUMBER(SEARCH("#",B3826))),CONCATENATE(TRIM(F3826)," #",G3826),B3826)</f>
        <v>News Dispenser #10</v>
      </c>
    </row>
    <row r="3827" spans="1:8" x14ac:dyDescent="0.25">
      <c r="A3827" s="18" t="s">
        <v>4361</v>
      </c>
      <c r="B3827" s="8" t="s">
        <v>4549</v>
      </c>
      <c r="C3827" s="21"/>
      <c r="D3827" s="15" t="s">
        <v>304</v>
      </c>
      <c r="E3827" s="40" t="str">
        <f>IF(ISERROR(VLOOKUP(B3827,Failures!$A$1:$A$4000,1,FALSE)),"Keep","Delete")</f>
        <v>Keep</v>
      </c>
      <c r="F3827" t="str">
        <f>IF(ISNUMBER(SEARCH("#",B3827)), LEFT(B3827,FIND("#",B3827)-1), B3827)</f>
        <v xml:space="preserve">News Dispenser </v>
      </c>
      <c r="G3827" s="26">
        <f>IF(ISNUMBER(SEARCH("#",B3827)),VALUE(MID(B3827,FIND("#",B3827)+1,1000)),1)</f>
        <v>11</v>
      </c>
      <c r="H3827" t="str">
        <f>IF(AND(regexMatch(B3827,".*#[0-9]*$"),ISNUMBER(SEARCH("#",B3827))),CONCATENATE(TRIM(F3827)," #",G3827),B3827)</f>
        <v>News Dispenser #11</v>
      </c>
    </row>
    <row r="3828" spans="1:8" x14ac:dyDescent="0.25">
      <c r="A3828" s="8" t="s">
        <v>6007</v>
      </c>
      <c r="B3828" s="8" t="s">
        <v>10109</v>
      </c>
      <c r="C3828" s="8"/>
      <c r="D3828" s="15" t="s">
        <v>304</v>
      </c>
      <c r="E3828" s="40" t="str">
        <f>IF(ISERROR(VLOOKUP(B3828,Failures!$A$1:$A$4000,1,FALSE)),"Keep","Delete")</f>
        <v>Keep</v>
      </c>
      <c r="F3828" t="str">
        <f>IF(ISNUMBER(SEARCH("#",B3828)), LEFT(B3828,FIND("#",B3828)-1), B3828)</f>
        <v>Old Street Light</v>
      </c>
      <c r="G3828" s="26">
        <f>IF(ISNUMBER(SEARCH("#",B3828)),VALUE(MID(B3828,FIND("#",B3828)+1,1000)),1)</f>
        <v>1</v>
      </c>
      <c r="H3828" t="str">
        <f>IF(AND(regexMatch(B3828,".*#[0-9]*$"),ISNUMBER(SEARCH("#",B3828))),CONCATENATE(TRIM(F3828)," #",G3828),B3828)</f>
        <v>Old Street Light</v>
      </c>
    </row>
    <row r="3829" spans="1:8" x14ac:dyDescent="0.25">
      <c r="A3829" s="8" t="s">
        <v>6005</v>
      </c>
      <c r="B3829" s="8" t="s">
        <v>10111</v>
      </c>
      <c r="C3829" s="8"/>
      <c r="D3829" s="15" t="s">
        <v>304</v>
      </c>
      <c r="E3829" s="40" t="str">
        <f>IF(ISERROR(VLOOKUP(B3829,Failures!$A$1:$A$4000,1,FALSE)),"Keep","Delete")</f>
        <v>Keep</v>
      </c>
      <c r="F3829" t="str">
        <f>IF(ISNUMBER(SEARCH("#",B3829)), LEFT(B3829,FIND("#",B3829)-1), B3829)</f>
        <v>Old Street Light Top</v>
      </c>
      <c r="G3829" s="26">
        <f>IF(ISNUMBER(SEARCH("#",B3829)),VALUE(MID(B3829,FIND("#",B3829)+1,1000)),1)</f>
        <v>1</v>
      </c>
      <c r="H3829" t="str">
        <f>IF(AND(regexMatch(B3829,".*#[0-9]*$"),ISNUMBER(SEARCH("#",B3829))),CONCATENATE(TRIM(F3829)," #",G3829),B3829)</f>
        <v>Old Street Light Top</v>
      </c>
    </row>
    <row r="3830" spans="1:8" x14ac:dyDescent="0.25">
      <c r="A3830" s="8" t="s">
        <v>6006</v>
      </c>
      <c r="B3830" s="8" t="s">
        <v>10110</v>
      </c>
      <c r="C3830" s="8"/>
      <c r="D3830" s="15" t="s">
        <v>304</v>
      </c>
      <c r="E3830" s="40" t="str">
        <f>IF(ISERROR(VLOOKUP(B3830,Failures!$A$1:$A$4000,1,FALSE)),"Keep","Delete")</f>
        <v>Keep</v>
      </c>
      <c r="F3830" t="str">
        <f>IF(ISNUMBER(SEARCH("#",B3830)), LEFT(B3830,FIND("#",B3830)-1), B3830)</f>
        <v>Old Street Light Top With Hook</v>
      </c>
      <c r="G3830" s="26">
        <f>IF(ISNUMBER(SEARCH("#",B3830)),VALUE(MID(B3830,FIND("#",B3830)+1,1000)),1)</f>
        <v>1</v>
      </c>
      <c r="H3830" t="str">
        <f>IF(AND(regexMatch(B3830,".*#[0-9]*$"),ISNUMBER(SEARCH("#",B3830))),CONCATENATE(TRIM(F3830)," #",G3830),B3830)</f>
        <v>Old Street Light Top With Hook</v>
      </c>
    </row>
    <row r="3831" spans="1:8" x14ac:dyDescent="0.25">
      <c r="A3831" s="8" t="s">
        <v>2902</v>
      </c>
      <c r="B3831" s="8" t="s">
        <v>2903</v>
      </c>
      <c r="C3831" s="13" t="s">
        <v>145</v>
      </c>
      <c r="D3831" s="15" t="s">
        <v>304</v>
      </c>
      <c r="E3831" s="40" t="str">
        <f>IF(ISERROR(VLOOKUP(B3831,Failures!$A$1:$A$4000,1,FALSE)),"Keep","Delete")</f>
        <v>Keep</v>
      </c>
      <c r="F3831" t="str">
        <f>IF(ISNUMBER(SEARCH("#",B3831)), LEFT(B3831,FIND("#",B3831)-1), B3831)</f>
        <v>Outside Lamp (Snowy)</v>
      </c>
      <c r="G3831" s="26">
        <f>IF(ISNUMBER(SEARCH("#",B3831)),VALUE(MID(B3831,FIND("#",B3831)+1,1000)),1)</f>
        <v>1</v>
      </c>
      <c r="H3831" t="str">
        <f>IF(AND(regexMatch(B3831,".*#[0-9]*$"),ISNUMBER(SEARCH("#",B3831))),CONCATENATE(TRIM(F3831)," #",G3831),B3831)</f>
        <v>Outside Lamp (Snowy)</v>
      </c>
    </row>
    <row r="3832" spans="1:8" x14ac:dyDescent="0.25">
      <c r="A3832" s="8" t="s">
        <v>6033</v>
      </c>
      <c r="B3832" s="8" t="s">
        <v>4526</v>
      </c>
      <c r="C3832" s="8"/>
      <c r="D3832" s="15" t="s">
        <v>304</v>
      </c>
      <c r="E3832" s="40" t="str">
        <f>IF(ISERROR(VLOOKUP(B3832,Failures!$A$1:$A$4000,1,FALSE)),"Keep","Delete")</f>
        <v>Keep</v>
      </c>
      <c r="F3832" t="str">
        <f>IF(ISNUMBER(SEARCH("#",B3832)), LEFT(B3832,FIND("#",B3832)-1), B3832)</f>
        <v>Parking Hut</v>
      </c>
      <c r="G3832" s="26">
        <f>IF(ISNUMBER(SEARCH("#",B3832)),VALUE(MID(B3832,FIND("#",B3832)+1,1000)),1)</f>
        <v>1</v>
      </c>
      <c r="H3832" t="str">
        <f>IF(AND(regexMatch(B3832,".*#[0-9]*$"),ISNUMBER(SEARCH("#",B3832))),CONCATENATE(TRIM(F3832)," #",G3832),B3832)</f>
        <v>Parking Hut</v>
      </c>
    </row>
    <row r="3833" spans="1:8" x14ac:dyDescent="0.25">
      <c r="A3833" s="8" t="s">
        <v>6032</v>
      </c>
      <c r="B3833" s="8" t="s">
        <v>10129</v>
      </c>
      <c r="C3833" s="8"/>
      <c r="D3833" s="15" t="s">
        <v>304</v>
      </c>
      <c r="E3833" s="40" t="str">
        <f>IF(ISERROR(VLOOKUP(B3833,Failures!$A$1:$A$4000,1,FALSE)),"Keep","Delete")</f>
        <v>Keep</v>
      </c>
      <c r="F3833" t="str">
        <f>IF(ISNUMBER(SEARCH("#",B3833)), LEFT(B3833,FIND("#",B3833)-1), B3833)</f>
        <v xml:space="preserve">Parking Meter </v>
      </c>
      <c r="G3833" s="26">
        <f>IF(ISNUMBER(SEARCH("#",B3833)),VALUE(MID(B3833,FIND("#",B3833)+1,1000)),1)</f>
        <v>1</v>
      </c>
      <c r="H3833" t="str">
        <f>IF(AND(regexMatch(B3833,".*#[0-9]*$"),ISNUMBER(SEARCH("#",B3833))),CONCATENATE(TRIM(F3833)," #",G3833),B3833)</f>
        <v>Parking Meter #1</v>
      </c>
    </row>
    <row r="3834" spans="1:8" x14ac:dyDescent="0.25">
      <c r="A3834" s="8" t="s">
        <v>6031</v>
      </c>
      <c r="B3834" s="8" t="s">
        <v>10130</v>
      </c>
      <c r="C3834" s="8"/>
      <c r="D3834" s="15" t="s">
        <v>304</v>
      </c>
      <c r="E3834" s="40" t="str">
        <f>IF(ISERROR(VLOOKUP(B3834,Failures!$A$1:$A$4000,1,FALSE)),"Keep","Delete")</f>
        <v>Keep</v>
      </c>
      <c r="F3834" t="str">
        <f>IF(ISNUMBER(SEARCH("#",B3834)), LEFT(B3834,FIND("#",B3834)-1), B3834)</f>
        <v xml:space="preserve">Parking Meter </v>
      </c>
      <c r="G3834" s="26">
        <f>IF(ISNUMBER(SEARCH("#",B3834)),VALUE(MID(B3834,FIND("#",B3834)+1,1000)),1)</f>
        <v>2</v>
      </c>
      <c r="H3834" t="str">
        <f>IF(AND(regexMatch(B3834,".*#[0-9]*$"),ISNUMBER(SEARCH("#",B3834))),CONCATENATE(TRIM(F3834)," #",G3834),B3834)</f>
        <v>Parking Meter #2</v>
      </c>
    </row>
    <row r="3835" spans="1:8" x14ac:dyDescent="0.25">
      <c r="A3835" s="18" t="s">
        <v>4091</v>
      </c>
      <c r="B3835" s="8" t="s">
        <v>10120</v>
      </c>
      <c r="C3835" s="21"/>
      <c r="D3835" s="5" t="s">
        <v>304</v>
      </c>
      <c r="E3835" s="40" t="str">
        <f>IF(ISERROR(VLOOKUP(B3835,Failures!$A$1:$A$4000,1,FALSE)),"Keep","Delete")</f>
        <v>Keep</v>
      </c>
      <c r="F3835" t="str">
        <f>IF(ISNUMBER(SEARCH("#",B3835)), LEFT(B3835,FIND("#",B3835)-1), B3835)</f>
        <v xml:space="preserve">Phone Box </v>
      </c>
      <c r="G3835" s="26">
        <v>1</v>
      </c>
      <c r="H3835" t="str">
        <f>IF(AND(regexMatch(B3835,".*#[0-9]*$"),ISNUMBER(SEARCH("#",B3835))),CONCATENATE(TRIM(F3835)," #",G3835),B3835)</f>
        <v>Phone Box #1</v>
      </c>
    </row>
    <row r="3836" spans="1:8" x14ac:dyDescent="0.25">
      <c r="A3836" s="8" t="s">
        <v>5536</v>
      </c>
      <c r="B3836" s="8" t="s">
        <v>10120</v>
      </c>
      <c r="C3836" s="8"/>
      <c r="D3836" s="15" t="s">
        <v>304</v>
      </c>
      <c r="E3836" s="40" t="str">
        <f>IF(ISERROR(VLOOKUP(B3836,Failures!$A$1:$A$4000,1,FALSE)),"Keep","Delete")</f>
        <v>Keep</v>
      </c>
      <c r="F3836" t="str">
        <f>IF(ISNUMBER(SEARCH("#",B3836)), LEFT(B3836,FIND("#",B3836)-1), B3836)</f>
        <v xml:space="preserve">Phone Box </v>
      </c>
      <c r="G3836" s="26">
        <v>2</v>
      </c>
      <c r="H3836" t="str">
        <f>IF(AND(regexMatch(B3836,".*#[0-9]*$"),ISNUMBER(SEARCH("#",B3836))),CONCATENATE(TRIM(F3836)," #",G3836),B3836)</f>
        <v>Phone Box #2</v>
      </c>
    </row>
    <row r="3837" spans="1:8" x14ac:dyDescent="0.25">
      <c r="A3837" s="8" t="s">
        <v>6028</v>
      </c>
      <c r="B3837" s="8" t="s">
        <v>10120</v>
      </c>
      <c r="C3837" s="8"/>
      <c r="D3837" s="15" t="s">
        <v>304</v>
      </c>
      <c r="E3837" s="40" t="str">
        <f>IF(ISERROR(VLOOKUP(B3837,Failures!$A$1:$A$4000,1,FALSE)),"Keep","Delete")</f>
        <v>Keep</v>
      </c>
      <c r="F3837" t="str">
        <f>IF(ISNUMBER(SEARCH("#",B3837)), LEFT(B3837,FIND("#",B3837)-1), B3837)</f>
        <v xml:space="preserve">Phone Box </v>
      </c>
      <c r="G3837" s="26">
        <v>3</v>
      </c>
      <c r="H3837" t="str">
        <f>IF(AND(regexMatch(B3837,".*#[0-9]*$"),ISNUMBER(SEARCH("#",B3837))),CONCATENATE(TRIM(F3837)," #",G3837),B3837)</f>
        <v>Phone Box #3</v>
      </c>
    </row>
    <row r="3838" spans="1:8" x14ac:dyDescent="0.25">
      <c r="A3838" s="8" t="s">
        <v>6027</v>
      </c>
      <c r="B3838" s="8" t="s">
        <v>10120</v>
      </c>
      <c r="C3838" s="8"/>
      <c r="D3838" s="15" t="s">
        <v>304</v>
      </c>
      <c r="E3838" s="40" t="str">
        <f>IF(ISERROR(VLOOKUP(B3838,Failures!$A$1:$A$4000,1,FALSE)),"Keep","Delete")</f>
        <v>Keep</v>
      </c>
      <c r="F3838" t="str">
        <f>IF(ISNUMBER(SEARCH("#",B3838)), LEFT(B3838,FIND("#",B3838)-1), B3838)</f>
        <v xml:space="preserve">Phone Box </v>
      </c>
      <c r="G3838" s="26">
        <v>4</v>
      </c>
      <c r="H3838" t="str">
        <f>IF(AND(regexMatch(B3838,".*#[0-9]*$"),ISNUMBER(SEARCH("#",B3838))),CONCATENATE(TRIM(F3838)," #",G3838),B3838)</f>
        <v>Phone Box #4</v>
      </c>
    </row>
    <row r="3839" spans="1:8" x14ac:dyDescent="0.25">
      <c r="A3839" s="8" t="s">
        <v>6026</v>
      </c>
      <c r="B3839" s="8" t="s">
        <v>10120</v>
      </c>
      <c r="C3839" s="8"/>
      <c r="D3839" s="15" t="s">
        <v>304</v>
      </c>
      <c r="E3839" s="40" t="str">
        <f>IF(ISERROR(VLOOKUP(B3839,Failures!$A$1:$A$4000,1,FALSE)),"Keep","Delete")</f>
        <v>Keep</v>
      </c>
      <c r="F3839" t="str">
        <f>IF(ISNUMBER(SEARCH("#",B3839)), LEFT(B3839,FIND("#",B3839)-1), B3839)</f>
        <v xml:space="preserve">Phone Box </v>
      </c>
      <c r="G3839" s="26">
        <v>5</v>
      </c>
      <c r="H3839" t="str">
        <f>IF(AND(regexMatch(B3839,".*#[0-9]*$"),ISNUMBER(SEARCH("#",B3839))),CONCATENATE(TRIM(F3839)," #",G3839),B3839)</f>
        <v>Phone Box #5</v>
      </c>
    </row>
    <row r="3840" spans="1:8" x14ac:dyDescent="0.25">
      <c r="A3840" s="8" t="s">
        <v>6030</v>
      </c>
      <c r="B3840" s="8" t="s">
        <v>10120</v>
      </c>
      <c r="C3840" s="8"/>
      <c r="D3840" s="15" t="s">
        <v>304</v>
      </c>
      <c r="E3840" s="40" t="str">
        <f>IF(ISERROR(VLOOKUP(B3840,Failures!$A$1:$A$4000,1,FALSE)),"Keep","Delete")</f>
        <v>Keep</v>
      </c>
      <c r="F3840" t="str">
        <f>IF(ISNUMBER(SEARCH("#",B3840)), LEFT(B3840,FIND("#",B3840)-1), B3840)</f>
        <v xml:space="preserve">Phone Box </v>
      </c>
      <c r="G3840" s="26">
        <v>6</v>
      </c>
      <c r="H3840" t="str">
        <f>IF(AND(regexMatch(B3840,".*#[0-9]*$"),ISNUMBER(SEARCH("#",B3840))),CONCATENATE(TRIM(F3840)," #",G3840),B3840)</f>
        <v>Phone Box #6</v>
      </c>
    </row>
    <row r="3841" spans="1:8" x14ac:dyDescent="0.25">
      <c r="A3841" s="8" t="s">
        <v>6029</v>
      </c>
      <c r="B3841" s="8" t="s">
        <v>10120</v>
      </c>
      <c r="C3841" s="8"/>
      <c r="D3841" s="15" t="s">
        <v>304</v>
      </c>
      <c r="E3841" s="40" t="str">
        <f>IF(ISERROR(VLOOKUP(B3841,Failures!$A$1:$A$4000,1,FALSE)),"Keep","Delete")</f>
        <v>Keep</v>
      </c>
      <c r="F3841" t="str">
        <f>IF(ISNUMBER(SEARCH("#",B3841)), LEFT(B3841,FIND("#",B3841)-1), B3841)</f>
        <v xml:space="preserve">Phone Box </v>
      </c>
      <c r="G3841" s="26">
        <v>7</v>
      </c>
      <c r="H3841" t="str">
        <f>IF(AND(regexMatch(B3841,".*#[0-9]*$"),ISNUMBER(SEARCH("#",B3841))),CONCATENATE(TRIM(F3841)," #",G3841),B3841)</f>
        <v>Phone Box #7</v>
      </c>
    </row>
    <row r="3842" spans="1:8" x14ac:dyDescent="0.25">
      <c r="A3842" s="18" t="s">
        <v>4238</v>
      </c>
      <c r="B3842" s="21" t="s">
        <v>4508</v>
      </c>
      <c r="C3842" s="21"/>
      <c r="D3842" s="5" t="s">
        <v>304</v>
      </c>
      <c r="E3842" s="40" t="str">
        <f>IF(ISERROR(VLOOKUP(B3842,Failures!$A$1:$A$4000,1,FALSE)),"Keep","Delete")</f>
        <v>Keep</v>
      </c>
      <c r="F3842" t="str">
        <f>IF(ISNUMBER(SEARCH("#",B3842)), LEFT(B3842,FIND("#",B3842)-1), B3842)</f>
        <v xml:space="preserve">Post Box </v>
      </c>
      <c r="G3842" s="26">
        <f>IF(ISNUMBER(SEARCH("#",B3842)),VALUE(MID(B3842,FIND("#",B3842)+1,1000)),1)</f>
        <v>1</v>
      </c>
      <c r="H3842" t="str">
        <f>IF(AND(regexMatch(B3842,".*#[0-9]*$"),ISNUMBER(SEARCH("#",B3842))),CONCATENATE(TRIM(F3842)," #",G3842),B3842)</f>
        <v>Post Box #1</v>
      </c>
    </row>
    <row r="3843" spans="1:8" x14ac:dyDescent="0.25">
      <c r="A3843" s="18" t="s">
        <v>4363</v>
      </c>
      <c r="B3843" s="21" t="s">
        <v>4509</v>
      </c>
      <c r="C3843" s="21"/>
      <c r="D3843" s="5" t="s">
        <v>304</v>
      </c>
      <c r="E3843" s="40" t="str">
        <f>IF(ISERROR(VLOOKUP(B3843,Failures!$A$1:$A$4000,1,FALSE)),"Keep","Delete")</f>
        <v>Keep</v>
      </c>
      <c r="F3843" t="str">
        <f>IF(ISNUMBER(SEARCH("#",B3843)), LEFT(B3843,FIND("#",B3843)-1), B3843)</f>
        <v xml:space="preserve">Post Box </v>
      </c>
      <c r="G3843" s="26">
        <f>IF(ISNUMBER(SEARCH("#",B3843)),VALUE(MID(B3843,FIND("#",B3843)+1,1000)),1)</f>
        <v>2</v>
      </c>
      <c r="H3843" t="str">
        <f>IF(AND(regexMatch(B3843,".*#[0-9]*$"),ISNUMBER(SEARCH("#",B3843))),CONCATENATE(TRIM(F3843)," #",G3843),B3843)</f>
        <v>Post Box #2</v>
      </c>
    </row>
    <row r="3844" spans="1:8" x14ac:dyDescent="0.25">
      <c r="A3844" s="8" t="s">
        <v>6001</v>
      </c>
      <c r="B3844" s="8" t="s">
        <v>10330</v>
      </c>
      <c r="C3844" s="8"/>
      <c r="D3844" s="15" t="s">
        <v>304</v>
      </c>
      <c r="E3844" s="40" t="str">
        <f>IF(ISERROR(VLOOKUP(B3844,Failures!$A$1:$A$4000,1,FALSE)),"Keep","Delete")</f>
        <v>Keep</v>
      </c>
      <c r="F3844" t="str">
        <f>IF(ISNUMBER(SEARCH("#",B3844)), LEFT(B3844,FIND("#",B3844)-1), B3844)</f>
        <v xml:space="preserve">Street Light </v>
      </c>
      <c r="G3844" s="26">
        <v>1</v>
      </c>
      <c r="H3844" t="str">
        <f>IF(AND(regexMatch(B3844,".*#[0-9]*$"),ISNUMBER(SEARCH("#",B3844))),CONCATENATE(TRIM(F3844)," #",G3844),B3844)</f>
        <v>Street Light #1</v>
      </c>
    </row>
    <row r="3845" spans="1:8" x14ac:dyDescent="0.25">
      <c r="A3845" s="8" t="s">
        <v>6000</v>
      </c>
      <c r="B3845" s="8" t="s">
        <v>10330</v>
      </c>
      <c r="C3845" s="8"/>
      <c r="D3845" s="15" t="s">
        <v>304</v>
      </c>
      <c r="E3845" s="40" t="str">
        <f>IF(ISERROR(VLOOKUP(B3845,Failures!$A$1:$A$4000,1,FALSE)),"Keep","Delete")</f>
        <v>Keep</v>
      </c>
      <c r="F3845" t="str">
        <f>IF(ISNUMBER(SEARCH("#",B3845)), LEFT(B3845,FIND("#",B3845)-1), B3845)</f>
        <v xml:space="preserve">Street Light </v>
      </c>
      <c r="G3845" s="26">
        <f>G3844+1</f>
        <v>2</v>
      </c>
      <c r="H3845" t="str">
        <f>IF(AND(regexMatch(B3845,".*#[0-9]*$"),ISNUMBER(SEARCH("#",B3845))),CONCATENATE(TRIM(F3845)," #",G3845),B3845)</f>
        <v>Street Light #2</v>
      </c>
    </row>
    <row r="3846" spans="1:8" x14ac:dyDescent="0.25">
      <c r="A3846" s="8" t="s">
        <v>5996</v>
      </c>
      <c r="B3846" s="8" t="s">
        <v>10330</v>
      </c>
      <c r="C3846" s="8"/>
      <c r="D3846" s="15" t="s">
        <v>304</v>
      </c>
      <c r="E3846" s="40" t="str">
        <f>IF(ISERROR(VLOOKUP(B3846,Failures!$A$1:$A$4000,1,FALSE)),"Keep","Delete")</f>
        <v>Keep</v>
      </c>
      <c r="F3846" t="str">
        <f>IF(ISNUMBER(SEARCH("#",B3846)), LEFT(B3846,FIND("#",B3846)-1), B3846)</f>
        <v xml:space="preserve">Street Light </v>
      </c>
      <c r="G3846" s="26">
        <f>G3845+1</f>
        <v>3</v>
      </c>
      <c r="H3846" t="str">
        <f>IF(AND(regexMatch(B3846,".*#[0-9]*$"),ISNUMBER(SEARCH("#",B3846))),CONCATENATE(TRIM(F3846)," #",G3846),B3846)</f>
        <v>Street Light #3</v>
      </c>
    </row>
    <row r="3847" spans="1:8" x14ac:dyDescent="0.25">
      <c r="A3847" s="8" t="s">
        <v>5995</v>
      </c>
      <c r="B3847" s="8" t="s">
        <v>10330</v>
      </c>
      <c r="C3847" s="8"/>
      <c r="D3847" s="15" t="s">
        <v>304</v>
      </c>
      <c r="E3847" s="40" t="str">
        <f>IF(ISERROR(VLOOKUP(B3847,Failures!$A$1:$A$4000,1,FALSE)),"Keep","Delete")</f>
        <v>Keep</v>
      </c>
      <c r="F3847" t="str">
        <f>IF(ISNUMBER(SEARCH("#",B3847)), LEFT(B3847,FIND("#",B3847)-1), B3847)</f>
        <v xml:space="preserve">Street Light </v>
      </c>
      <c r="G3847" s="26">
        <f>G3846+1</f>
        <v>4</v>
      </c>
      <c r="H3847" t="str">
        <f>IF(AND(regexMatch(B3847,".*#[0-9]*$"),ISNUMBER(SEARCH("#",B3847))),CONCATENATE(TRIM(F3847)," #",G3847),B3847)</f>
        <v>Street Light #4</v>
      </c>
    </row>
    <row r="3848" spans="1:8" x14ac:dyDescent="0.25">
      <c r="A3848" s="8" t="s">
        <v>5993</v>
      </c>
      <c r="B3848" s="8" t="s">
        <v>10330</v>
      </c>
      <c r="C3848" s="8"/>
      <c r="D3848" s="15" t="s">
        <v>304</v>
      </c>
      <c r="E3848" s="40" t="str">
        <f>IF(ISERROR(VLOOKUP(B3848,Failures!$A$1:$A$4000,1,FALSE)),"Keep","Delete")</f>
        <v>Keep</v>
      </c>
      <c r="F3848" t="str">
        <f>IF(ISNUMBER(SEARCH("#",B3848)), LEFT(B3848,FIND("#",B3848)-1), B3848)</f>
        <v xml:space="preserve">Street Light </v>
      </c>
      <c r="G3848" s="26">
        <f>G3847+1</f>
        <v>5</v>
      </c>
      <c r="H3848" t="str">
        <f>IF(AND(regexMatch(B3848,".*#[0-9]*$"),ISNUMBER(SEARCH("#",B3848))),CONCATENATE(TRIM(F3848)," #",G3848),B3848)</f>
        <v>Street Light #5</v>
      </c>
    </row>
    <row r="3849" spans="1:8" x14ac:dyDescent="0.25">
      <c r="A3849" s="8" t="s">
        <v>5990</v>
      </c>
      <c r="B3849" s="8" t="s">
        <v>10330</v>
      </c>
      <c r="C3849" s="8"/>
      <c r="D3849" s="15" t="s">
        <v>304</v>
      </c>
      <c r="E3849" s="40" t="str">
        <f>IF(ISERROR(VLOOKUP(B3849,Failures!$A$1:$A$4000,1,FALSE)),"Keep","Delete")</f>
        <v>Keep</v>
      </c>
      <c r="F3849" t="str">
        <f>IF(ISNUMBER(SEARCH("#",B3849)), LEFT(B3849,FIND("#",B3849)-1), B3849)</f>
        <v xml:space="preserve">Street Light </v>
      </c>
      <c r="G3849" s="26">
        <f>G3848+1</f>
        <v>6</v>
      </c>
      <c r="H3849" t="str">
        <f>IF(AND(regexMatch(B3849,".*#[0-9]*$"),ISNUMBER(SEARCH("#",B3849))),CONCATENATE(TRIM(F3849)," #",G3849),B3849)</f>
        <v>Street Light #6</v>
      </c>
    </row>
    <row r="3850" spans="1:8" x14ac:dyDescent="0.25">
      <c r="A3850" s="8" t="s">
        <v>5989</v>
      </c>
      <c r="B3850" s="8" t="s">
        <v>10330</v>
      </c>
      <c r="C3850" s="8"/>
      <c r="D3850" s="15" t="s">
        <v>304</v>
      </c>
      <c r="E3850" s="40" t="str">
        <f>IF(ISERROR(VLOOKUP(B3850,Failures!$A$1:$A$4000,1,FALSE)),"Keep","Delete")</f>
        <v>Keep</v>
      </c>
      <c r="F3850" t="str">
        <f>IF(ISNUMBER(SEARCH("#",B3850)), LEFT(B3850,FIND("#",B3850)-1), B3850)</f>
        <v xml:space="preserve">Street Light </v>
      </c>
      <c r="G3850" s="26">
        <f>G3849+1</f>
        <v>7</v>
      </c>
      <c r="H3850" t="str">
        <f>IF(AND(regexMatch(B3850,".*#[0-9]*$"),ISNUMBER(SEARCH("#",B3850))),CONCATENATE(TRIM(F3850)," #",G3850),B3850)</f>
        <v>Street Light #7</v>
      </c>
    </row>
    <row r="3851" spans="1:8" x14ac:dyDescent="0.25">
      <c r="A3851" s="8" t="s">
        <v>5988</v>
      </c>
      <c r="B3851" s="8" t="s">
        <v>10330</v>
      </c>
      <c r="C3851" s="8"/>
      <c r="D3851" s="15" t="s">
        <v>304</v>
      </c>
      <c r="E3851" s="40" t="str">
        <f>IF(ISERROR(VLOOKUP(B3851,Failures!$A$1:$A$4000,1,FALSE)),"Keep","Delete")</f>
        <v>Keep</v>
      </c>
      <c r="F3851" t="str">
        <f>IF(ISNUMBER(SEARCH("#",B3851)), LEFT(B3851,FIND("#",B3851)-1), B3851)</f>
        <v xml:space="preserve">Street Light </v>
      </c>
      <c r="G3851" s="26">
        <f>G3850+1</f>
        <v>8</v>
      </c>
      <c r="H3851" t="str">
        <f>IF(AND(regexMatch(B3851,".*#[0-9]*$"),ISNUMBER(SEARCH("#",B3851))),CONCATENATE(TRIM(F3851)," #",G3851),B3851)</f>
        <v>Street Light #8</v>
      </c>
    </row>
    <row r="3852" spans="1:8" x14ac:dyDescent="0.25">
      <c r="A3852" s="8" t="s">
        <v>5987</v>
      </c>
      <c r="B3852" s="8" t="s">
        <v>10330</v>
      </c>
      <c r="C3852" s="8"/>
      <c r="D3852" s="15" t="s">
        <v>304</v>
      </c>
      <c r="E3852" s="40" t="str">
        <f>IF(ISERROR(VLOOKUP(B3852,Failures!$A$1:$A$4000,1,FALSE)),"Keep","Delete")</f>
        <v>Keep</v>
      </c>
      <c r="F3852" t="str">
        <f>IF(ISNUMBER(SEARCH("#",B3852)), LEFT(B3852,FIND("#",B3852)-1), B3852)</f>
        <v xml:space="preserve">Street Light </v>
      </c>
      <c r="G3852" s="26">
        <f>G3851+1</f>
        <v>9</v>
      </c>
      <c r="H3852" t="str">
        <f>IF(AND(regexMatch(B3852,".*#[0-9]*$"),ISNUMBER(SEARCH("#",B3852))),CONCATENATE(TRIM(F3852)," #",G3852),B3852)</f>
        <v>Street Light #9</v>
      </c>
    </row>
    <row r="3853" spans="1:8" x14ac:dyDescent="0.25">
      <c r="A3853" s="8" t="s">
        <v>5986</v>
      </c>
      <c r="B3853" s="8" t="s">
        <v>10330</v>
      </c>
      <c r="C3853" s="8"/>
      <c r="D3853" s="15" t="s">
        <v>304</v>
      </c>
      <c r="E3853" s="40" t="str">
        <f>IF(ISERROR(VLOOKUP(B3853,Failures!$A$1:$A$4000,1,FALSE)),"Keep","Delete")</f>
        <v>Keep</v>
      </c>
      <c r="F3853" t="str">
        <f>IF(ISNUMBER(SEARCH("#",B3853)), LEFT(B3853,FIND("#",B3853)-1), B3853)</f>
        <v xml:space="preserve">Street Light </v>
      </c>
      <c r="G3853" s="26">
        <f>G3852+1</f>
        <v>10</v>
      </c>
      <c r="H3853" t="str">
        <f>IF(AND(regexMatch(B3853,".*#[0-9]*$"),ISNUMBER(SEARCH("#",B3853))),CONCATENATE(TRIM(F3853)," #",G3853),B3853)</f>
        <v>Street Light #10</v>
      </c>
    </row>
    <row r="3854" spans="1:8" x14ac:dyDescent="0.25">
      <c r="A3854" s="8" t="s">
        <v>5985</v>
      </c>
      <c r="B3854" s="8" t="s">
        <v>10330</v>
      </c>
      <c r="C3854" s="8"/>
      <c r="D3854" s="15" t="s">
        <v>304</v>
      </c>
      <c r="E3854" s="40" t="str">
        <f>IF(ISERROR(VLOOKUP(B3854,Failures!$A$1:$A$4000,1,FALSE)),"Keep","Delete")</f>
        <v>Keep</v>
      </c>
      <c r="F3854" t="str">
        <f>IF(ISNUMBER(SEARCH("#",B3854)), LEFT(B3854,FIND("#",B3854)-1), B3854)</f>
        <v xml:space="preserve">Street Light </v>
      </c>
      <c r="G3854" s="26">
        <f>G3853+1</f>
        <v>11</v>
      </c>
      <c r="H3854" t="str">
        <f>IF(AND(regexMatch(B3854,".*#[0-9]*$"),ISNUMBER(SEARCH("#",B3854))),CONCATENATE(TRIM(F3854)," #",G3854),B3854)</f>
        <v>Street Light #11</v>
      </c>
    </row>
    <row r="3855" spans="1:8" x14ac:dyDescent="0.25">
      <c r="A3855" s="8" t="s">
        <v>5984</v>
      </c>
      <c r="B3855" s="8" t="s">
        <v>10330</v>
      </c>
      <c r="C3855" s="8"/>
      <c r="D3855" s="15" t="s">
        <v>304</v>
      </c>
      <c r="E3855" s="40" t="str">
        <f>IF(ISERROR(VLOOKUP(B3855,Failures!$A$1:$A$4000,1,FALSE)),"Keep","Delete")</f>
        <v>Keep</v>
      </c>
      <c r="F3855" t="str">
        <f>IF(ISNUMBER(SEARCH("#",B3855)), LEFT(B3855,FIND("#",B3855)-1), B3855)</f>
        <v xml:space="preserve">Street Light </v>
      </c>
      <c r="G3855" s="26">
        <f>G3854+1</f>
        <v>12</v>
      </c>
      <c r="H3855" t="str">
        <f>IF(AND(regexMatch(B3855,".*#[0-9]*$"),ISNUMBER(SEARCH("#",B3855))),CONCATENATE(TRIM(F3855)," #",G3855),B3855)</f>
        <v>Street Light #12</v>
      </c>
    </row>
    <row r="3856" spans="1:8" x14ac:dyDescent="0.25">
      <c r="A3856" s="8" t="s">
        <v>5983</v>
      </c>
      <c r="B3856" s="8" t="s">
        <v>10330</v>
      </c>
      <c r="C3856" s="8"/>
      <c r="D3856" s="15" t="s">
        <v>304</v>
      </c>
      <c r="E3856" s="40" t="str">
        <f>IF(ISERROR(VLOOKUP(B3856,Failures!$A$1:$A$4000,1,FALSE)),"Keep","Delete")</f>
        <v>Keep</v>
      </c>
      <c r="F3856" t="str">
        <f>IF(ISNUMBER(SEARCH("#",B3856)), LEFT(B3856,FIND("#",B3856)-1), B3856)</f>
        <v xml:space="preserve">Street Light </v>
      </c>
      <c r="G3856" s="26">
        <f>G3855+1</f>
        <v>13</v>
      </c>
      <c r="H3856" t="str">
        <f>IF(AND(regexMatch(B3856,".*#[0-9]*$"),ISNUMBER(SEARCH("#",B3856))),CONCATENATE(TRIM(F3856)," #",G3856),B3856)</f>
        <v>Street Light #13</v>
      </c>
    </row>
    <row r="3857" spans="1:8" x14ac:dyDescent="0.25">
      <c r="A3857" s="8" t="s">
        <v>5982</v>
      </c>
      <c r="B3857" s="8" t="s">
        <v>10330</v>
      </c>
      <c r="C3857" s="8"/>
      <c r="D3857" s="15" t="s">
        <v>304</v>
      </c>
      <c r="E3857" s="40" t="str">
        <f>IF(ISERROR(VLOOKUP(B3857,Failures!$A$1:$A$4000,1,FALSE)),"Keep","Delete")</f>
        <v>Keep</v>
      </c>
      <c r="F3857" t="str">
        <f>IF(ISNUMBER(SEARCH("#",B3857)), LEFT(B3857,FIND("#",B3857)-1), B3857)</f>
        <v xml:space="preserve">Street Light </v>
      </c>
      <c r="G3857" s="26">
        <f>G3856+1</f>
        <v>14</v>
      </c>
      <c r="H3857" t="str">
        <f>IF(AND(regexMatch(B3857,".*#[0-9]*$"),ISNUMBER(SEARCH("#",B3857))),CONCATENATE(TRIM(F3857)," #",G3857),B3857)</f>
        <v>Street Light #14</v>
      </c>
    </row>
    <row r="3858" spans="1:8" x14ac:dyDescent="0.25">
      <c r="A3858" s="8" t="s">
        <v>5981</v>
      </c>
      <c r="B3858" s="8" t="s">
        <v>10330</v>
      </c>
      <c r="C3858" s="8"/>
      <c r="D3858" s="15" t="s">
        <v>304</v>
      </c>
      <c r="E3858" s="40" t="str">
        <f>IF(ISERROR(VLOOKUP(B3858,Failures!$A$1:$A$4000,1,FALSE)),"Keep","Delete")</f>
        <v>Keep</v>
      </c>
      <c r="F3858" t="str">
        <f>IF(ISNUMBER(SEARCH("#",B3858)), LEFT(B3858,FIND("#",B3858)-1), B3858)</f>
        <v xml:space="preserve">Street Light </v>
      </c>
      <c r="G3858" s="26">
        <f>G3857+1</f>
        <v>15</v>
      </c>
      <c r="H3858" t="str">
        <f>IF(AND(regexMatch(B3858,".*#[0-9]*$"),ISNUMBER(SEARCH("#",B3858))),CONCATENATE(TRIM(F3858)," #",G3858),B3858)</f>
        <v>Street Light #15</v>
      </c>
    </row>
    <row r="3859" spans="1:8" s="30" customFormat="1" x14ac:dyDescent="0.25">
      <c r="A3859" s="8" t="s">
        <v>5980</v>
      </c>
      <c r="B3859" s="8" t="s">
        <v>10330</v>
      </c>
      <c r="C3859" s="8"/>
      <c r="D3859" s="15" t="s">
        <v>304</v>
      </c>
      <c r="E3859" s="40" t="str">
        <f>IF(ISERROR(VLOOKUP(B3859,Failures!$A$1:$A$4000,1,FALSE)),"Keep","Delete")</f>
        <v>Keep</v>
      </c>
      <c r="F3859" t="str">
        <f>IF(ISNUMBER(SEARCH("#",B3859)), LEFT(B3859,FIND("#",B3859)-1), B3859)</f>
        <v xml:space="preserve">Street Light </v>
      </c>
      <c r="G3859" s="26">
        <f>G3858+1</f>
        <v>16</v>
      </c>
      <c r="H3859" t="str">
        <f>IF(AND(regexMatch(B3859,".*#[0-9]*$"),ISNUMBER(SEARCH("#",B3859))),CONCATENATE(TRIM(F3859)," #",G3859),B3859)</f>
        <v>Street Light #16</v>
      </c>
    </row>
    <row r="3860" spans="1:8" x14ac:dyDescent="0.25">
      <c r="A3860" s="8" t="s">
        <v>6002</v>
      </c>
      <c r="B3860" s="8" t="s">
        <v>10330</v>
      </c>
      <c r="C3860" s="8"/>
      <c r="D3860" s="15" t="s">
        <v>304</v>
      </c>
      <c r="E3860" s="40" t="str">
        <f>IF(ISERROR(VLOOKUP(B3860,Failures!$A$1:$A$4000,1,FALSE)),"Keep","Delete")</f>
        <v>Keep</v>
      </c>
      <c r="F3860" t="str">
        <f>IF(ISNUMBER(SEARCH("#",B3860)), LEFT(B3860,FIND("#",B3860)-1), B3860)</f>
        <v xml:space="preserve">Street Light </v>
      </c>
      <c r="G3860" s="26">
        <f>G3859+1</f>
        <v>17</v>
      </c>
      <c r="H3860" t="str">
        <f>IF(AND(regexMatch(B3860,".*#[0-9]*$"),ISNUMBER(SEARCH("#",B3860))),CONCATENATE(TRIM(F3860)," #",G3860),B3860)</f>
        <v>Street Light #17</v>
      </c>
    </row>
    <row r="3861" spans="1:8" x14ac:dyDescent="0.25">
      <c r="A3861" s="8" t="s">
        <v>5999</v>
      </c>
      <c r="B3861" s="8" t="s">
        <v>10330</v>
      </c>
      <c r="C3861" s="8"/>
      <c r="D3861" s="15" t="s">
        <v>304</v>
      </c>
      <c r="E3861" s="40" t="str">
        <f>IF(ISERROR(VLOOKUP(B3861,Failures!$A$1:$A$4000,1,FALSE)),"Keep","Delete")</f>
        <v>Keep</v>
      </c>
      <c r="F3861" t="str">
        <f>IF(ISNUMBER(SEARCH("#",B3861)), LEFT(B3861,FIND("#",B3861)-1), B3861)</f>
        <v xml:space="preserve">Street Light </v>
      </c>
      <c r="G3861" s="26">
        <f>G3860+1</f>
        <v>18</v>
      </c>
      <c r="H3861" t="str">
        <f>IF(AND(regexMatch(B3861,".*#[0-9]*$"),ISNUMBER(SEARCH("#",B3861))),CONCATENATE(TRIM(F3861)," #",G3861),B3861)</f>
        <v>Street Light #18</v>
      </c>
    </row>
    <row r="3862" spans="1:8" x14ac:dyDescent="0.25">
      <c r="A3862" s="8" t="s">
        <v>5998</v>
      </c>
      <c r="B3862" s="8" t="s">
        <v>10330</v>
      </c>
      <c r="C3862" s="8"/>
      <c r="D3862" s="15" t="s">
        <v>304</v>
      </c>
      <c r="E3862" s="40" t="str">
        <f>IF(ISERROR(VLOOKUP(B3862,Failures!$A$1:$A$4000,1,FALSE)),"Keep","Delete")</f>
        <v>Keep</v>
      </c>
      <c r="F3862" t="str">
        <f>IF(ISNUMBER(SEARCH("#",B3862)), LEFT(B3862,FIND("#",B3862)-1), B3862)</f>
        <v xml:space="preserve">Street Light </v>
      </c>
      <c r="G3862" s="26">
        <f>G3861+1</f>
        <v>19</v>
      </c>
      <c r="H3862" t="str">
        <f>IF(AND(regexMatch(B3862,".*#[0-9]*$"),ISNUMBER(SEARCH("#",B3862))),CONCATENATE(TRIM(F3862)," #",G3862),B3862)</f>
        <v>Street Light #19</v>
      </c>
    </row>
    <row r="3863" spans="1:8" x14ac:dyDescent="0.25">
      <c r="A3863" s="8" t="s">
        <v>5997</v>
      </c>
      <c r="B3863" s="8" t="s">
        <v>10330</v>
      </c>
      <c r="C3863" s="8"/>
      <c r="D3863" s="15" t="s">
        <v>304</v>
      </c>
      <c r="E3863" s="40" t="str">
        <f>IF(ISERROR(VLOOKUP(B3863,Failures!$A$1:$A$4000,1,FALSE)),"Keep","Delete")</f>
        <v>Keep</v>
      </c>
      <c r="F3863" t="str">
        <f>IF(ISNUMBER(SEARCH("#",B3863)), LEFT(B3863,FIND("#",B3863)-1), B3863)</f>
        <v xml:space="preserve">Street Light </v>
      </c>
      <c r="G3863" s="26">
        <f>G3862+1</f>
        <v>20</v>
      </c>
      <c r="H3863" t="str">
        <f>IF(AND(regexMatch(B3863,".*#[0-9]*$"),ISNUMBER(SEARCH("#",B3863))),CONCATENATE(TRIM(F3863)," #",G3863),B3863)</f>
        <v>Street Light #20</v>
      </c>
    </row>
    <row r="3864" spans="1:8" x14ac:dyDescent="0.25">
      <c r="A3864" s="8" t="s">
        <v>5992</v>
      </c>
      <c r="B3864" s="8" t="s">
        <v>10330</v>
      </c>
      <c r="C3864" s="8"/>
      <c r="D3864" s="15" t="s">
        <v>304</v>
      </c>
      <c r="E3864" s="40" t="str">
        <f>IF(ISERROR(VLOOKUP(B3864,Failures!$A$1:$A$4000,1,FALSE)),"Keep","Delete")</f>
        <v>Keep</v>
      </c>
      <c r="F3864" t="str">
        <f>IF(ISNUMBER(SEARCH("#",B3864)), LEFT(B3864,FIND("#",B3864)-1), B3864)</f>
        <v xml:space="preserve">Street Light </v>
      </c>
      <c r="G3864" s="26">
        <f>G3863+1</f>
        <v>21</v>
      </c>
      <c r="H3864" t="str">
        <f>IF(AND(regexMatch(B3864,".*#[0-9]*$"),ISNUMBER(SEARCH("#",B3864))),CONCATENATE(TRIM(F3864)," #",G3864),B3864)</f>
        <v>Street Light #21</v>
      </c>
    </row>
    <row r="3865" spans="1:8" x14ac:dyDescent="0.25">
      <c r="A3865" s="8" t="s">
        <v>5991</v>
      </c>
      <c r="B3865" s="8" t="s">
        <v>10330</v>
      </c>
      <c r="C3865" s="8"/>
      <c r="D3865" s="15" t="s">
        <v>304</v>
      </c>
      <c r="E3865" s="40" t="str">
        <f>IF(ISERROR(VLOOKUP(B3865,Failures!$A$1:$A$4000,1,FALSE)),"Keep","Delete")</f>
        <v>Keep</v>
      </c>
      <c r="F3865" t="str">
        <f>IF(ISNUMBER(SEARCH("#",B3865)), LEFT(B3865,FIND("#",B3865)-1), B3865)</f>
        <v xml:space="preserve">Street Light </v>
      </c>
      <c r="G3865" s="26">
        <f>G3864+1</f>
        <v>22</v>
      </c>
      <c r="H3865" t="str">
        <f>IF(AND(regexMatch(B3865,".*#[0-9]*$"),ISNUMBER(SEARCH("#",B3865))),CONCATENATE(TRIM(F3865)," #",G3865),B3865)</f>
        <v>Street Light #22</v>
      </c>
    </row>
    <row r="3866" spans="1:8" x14ac:dyDescent="0.25">
      <c r="A3866" s="8" t="s">
        <v>5994</v>
      </c>
      <c r="B3866" s="8" t="s">
        <v>10330</v>
      </c>
      <c r="C3866" s="8"/>
      <c r="D3866" s="15" t="s">
        <v>304</v>
      </c>
      <c r="E3866" s="40" t="str">
        <f>IF(ISERROR(VLOOKUP(B3866,Failures!$A$1:$A$4000,1,FALSE)),"Keep","Delete")</f>
        <v>Keep</v>
      </c>
      <c r="F3866" t="str">
        <f>IF(ISNUMBER(SEARCH("#",B3866)), LEFT(B3866,FIND("#",B3866)-1), B3866)</f>
        <v xml:space="preserve">Street Light </v>
      </c>
      <c r="G3866" s="26">
        <f>G3865+1</f>
        <v>23</v>
      </c>
      <c r="H3866" t="str">
        <f>IF(AND(regexMatch(B3866,".*#[0-9]*$"),ISNUMBER(SEARCH("#",B3866))),CONCATENATE(TRIM(F3866)," #",G3866),B3866)</f>
        <v>Street Light #23</v>
      </c>
    </row>
    <row r="3867" spans="1:8" x14ac:dyDescent="0.25">
      <c r="A3867" s="18" t="s">
        <v>4108</v>
      </c>
      <c r="B3867" s="8" t="s">
        <v>10330</v>
      </c>
      <c r="C3867" s="21"/>
      <c r="D3867" s="5" t="s">
        <v>304</v>
      </c>
      <c r="E3867" s="40" t="str">
        <f>IF(ISERROR(VLOOKUP(B3867,Failures!$A$1:$A$4000,1,FALSE)),"Keep","Delete")</f>
        <v>Keep</v>
      </c>
      <c r="F3867" t="str">
        <f>IF(ISNUMBER(SEARCH("#",B3867)), LEFT(B3867,FIND("#",B3867)-1), B3867)</f>
        <v xml:space="preserve">Street Light </v>
      </c>
      <c r="G3867" s="26">
        <f>G3866+1</f>
        <v>24</v>
      </c>
      <c r="H3867" t="str">
        <f>IF(AND(regexMatch(B3867,".*#[0-9]*$"),ISNUMBER(SEARCH("#",B3867))),CONCATENATE(TRIM(F3867)," #",G3867),B3867)</f>
        <v>Street Light #24</v>
      </c>
    </row>
    <row r="3868" spans="1:8" x14ac:dyDescent="0.25">
      <c r="A3868" s="18" t="s">
        <v>4113</v>
      </c>
      <c r="B3868" s="8" t="s">
        <v>10330</v>
      </c>
      <c r="C3868" s="21"/>
      <c r="D3868" s="5" t="s">
        <v>304</v>
      </c>
      <c r="E3868" s="40" t="str">
        <f>IF(ISERROR(VLOOKUP(B3868,Failures!$A$1:$A$4000,1,FALSE)),"Keep","Delete")</f>
        <v>Keep</v>
      </c>
      <c r="F3868" t="str">
        <f>IF(ISNUMBER(SEARCH("#",B3868)), LEFT(B3868,FIND("#",B3868)-1), B3868)</f>
        <v xml:space="preserve">Street Light </v>
      </c>
      <c r="G3868" s="26">
        <f>G3867+1</f>
        <v>25</v>
      </c>
      <c r="H3868" t="str">
        <f>IF(AND(regexMatch(B3868,".*#[0-9]*$"),ISNUMBER(SEARCH("#",B3868))),CONCATENATE(TRIM(F3868)," #",G3868),B3868)</f>
        <v>Street Light #25</v>
      </c>
    </row>
    <row r="3869" spans="1:8" x14ac:dyDescent="0.25">
      <c r="A3869" s="8" t="s">
        <v>5493</v>
      </c>
      <c r="B3869" s="8" t="s">
        <v>10327</v>
      </c>
      <c r="C3869" s="8"/>
      <c r="D3869" s="15" t="s">
        <v>304</v>
      </c>
      <c r="E3869" s="40" t="str">
        <f>IF(ISERROR(VLOOKUP(B3869,Failures!$A$1:$A$4000,1,FALSE)),"Keep","Delete")</f>
        <v>Keep</v>
      </c>
      <c r="F3869" t="str">
        <f>IF(ISNUMBER(SEARCH("#",B3869)), LEFT(B3869,FIND("#",B3869)-1), B3869)</f>
        <v xml:space="preserve">Streetlight (Snowy) </v>
      </c>
      <c r="G3869" s="26">
        <v>1</v>
      </c>
      <c r="H3869" t="str">
        <f>IF(AND(regexMatch(B3869,".*#[0-9]*$"),ISNUMBER(SEARCH("#",B3869))),CONCATENATE(TRIM(F3869)," #",G3869),B3869)</f>
        <v>Streetlight (Snowy) #1</v>
      </c>
    </row>
    <row r="3870" spans="1:8" x14ac:dyDescent="0.25">
      <c r="A3870" s="8" t="s">
        <v>5492</v>
      </c>
      <c r="B3870" s="8" t="s">
        <v>10327</v>
      </c>
      <c r="C3870" s="8"/>
      <c r="D3870" s="15" t="s">
        <v>304</v>
      </c>
      <c r="E3870" s="40" t="str">
        <f>IF(ISERROR(VLOOKUP(B3870,Failures!$A$1:$A$4000,1,FALSE)),"Keep","Delete")</f>
        <v>Keep</v>
      </c>
      <c r="F3870" t="str">
        <f>IF(ISNUMBER(SEARCH("#",B3870)), LEFT(B3870,FIND("#",B3870)-1), B3870)</f>
        <v xml:space="preserve">Streetlight (Snowy) </v>
      </c>
      <c r="G3870" s="26">
        <v>2</v>
      </c>
      <c r="H3870" t="str">
        <f>IF(AND(regexMatch(B3870,".*#[0-9]*$"),ISNUMBER(SEARCH("#",B3870))),CONCATENATE(TRIM(F3870)," #",G3870),B3870)</f>
        <v>Streetlight (Snowy) #2</v>
      </c>
    </row>
    <row r="3871" spans="1:8" x14ac:dyDescent="0.25">
      <c r="A3871" s="8" t="s">
        <v>3125</v>
      </c>
      <c r="B3871" s="8" t="s">
        <v>3126</v>
      </c>
      <c r="C3871" s="13" t="s">
        <v>5</v>
      </c>
      <c r="D3871" s="15" t="s">
        <v>304</v>
      </c>
      <c r="E3871" s="40" t="str">
        <f>IF(ISERROR(VLOOKUP(B3871,Failures!$A$1:$A$4000,1,FALSE)),"Keep","Delete")</f>
        <v>Keep</v>
      </c>
      <c r="F3871" t="str">
        <f>IF(ISNUMBER(SEARCH("#",B3871)), LEFT(B3871,FIND("#",B3871)-1), B3871)</f>
        <v xml:space="preserve">Tourist Telescope </v>
      </c>
      <c r="G3871" s="26">
        <f>IF(ISNUMBER(SEARCH("#",B3871)),VALUE(MID(B3871,FIND("#",B3871)+1,1000)),1)</f>
        <v>1</v>
      </c>
      <c r="H3871" t="str">
        <f>IF(AND(regexMatch(B3871,".*#[0-9]*$"),ISNUMBER(SEARCH("#",B3871))),CONCATENATE(TRIM(F3871)," #",G3871),B3871)</f>
        <v>Tourist Telescope #1</v>
      </c>
    </row>
    <row r="3872" spans="1:8" x14ac:dyDescent="0.25">
      <c r="A3872" s="8" t="s">
        <v>3127</v>
      </c>
      <c r="B3872" s="8" t="s">
        <v>3128</v>
      </c>
      <c r="C3872" s="13" t="s">
        <v>5</v>
      </c>
      <c r="D3872" s="15" t="s">
        <v>304</v>
      </c>
      <c r="E3872" s="40" t="str">
        <f>IF(ISERROR(VLOOKUP(B3872,Failures!$A$1:$A$4000,1,FALSE)),"Keep","Delete")</f>
        <v>Keep</v>
      </c>
      <c r="F3872" t="str">
        <f>IF(ISNUMBER(SEARCH("#",B3872)), LEFT(B3872,FIND("#",B3872)-1), B3872)</f>
        <v xml:space="preserve">Tourist Telescope </v>
      </c>
      <c r="G3872" s="26">
        <f>IF(ISNUMBER(SEARCH("#",B3872)),VALUE(MID(B3872,FIND("#",B3872)+1,1000)),1)</f>
        <v>2</v>
      </c>
      <c r="H3872" t="str">
        <f>IF(AND(regexMatch(B3872,".*#[0-9]*$"),ISNUMBER(SEARCH("#",B3872))),CONCATENATE(TRIM(F3872)," #",G3872),B3872)</f>
        <v>Tourist Telescope #2</v>
      </c>
    </row>
    <row r="3873" spans="1:8" x14ac:dyDescent="0.25">
      <c r="A3873" s="8" t="s">
        <v>147</v>
      </c>
      <c r="B3873" s="8" t="s">
        <v>148</v>
      </c>
      <c r="C3873" s="13" t="s">
        <v>5</v>
      </c>
      <c r="D3873" s="15" t="s">
        <v>149</v>
      </c>
      <c r="E3873" s="40" t="str">
        <f>IF(ISERROR(VLOOKUP(B3873,Failures!$A$1:$A$4000,1,FALSE)),"Keep","Delete")</f>
        <v>Keep</v>
      </c>
      <c r="F3873" t="str">
        <f>IF(ISNUMBER(SEARCH("#",B3873)), LEFT(B3873,FIND("#",B3873)-1), B3873)</f>
        <v>Arm Wrestling Table</v>
      </c>
      <c r="G3873" s="26">
        <f>IF(ISNUMBER(SEARCH("#",B3873)),VALUE(MID(B3873,FIND("#",B3873)+1,1000)),1)</f>
        <v>1</v>
      </c>
      <c r="H3873" t="str">
        <f>IF(AND(regexMatch(B3873,".*#[0-9]*$"),ISNUMBER(SEARCH("#",B3873))),CONCATENATE(TRIM(F3873)," #",G3873),B3873)</f>
        <v>Arm Wrestling Table</v>
      </c>
    </row>
    <row r="3874" spans="1:8" x14ac:dyDescent="0.25">
      <c r="A3874" s="28" t="s">
        <v>9104</v>
      </c>
      <c r="B3874" s="25" t="s">
        <v>10564</v>
      </c>
      <c r="C3874" s="8"/>
      <c r="D3874" s="15" t="s">
        <v>149</v>
      </c>
      <c r="E3874" s="40" t="str">
        <f>IF(ISERROR(VLOOKUP(B3874,Failures!$A$1:$A$4000,1,FALSE)),"Keep","Delete")</f>
        <v>Keep</v>
      </c>
      <c r="F3874" t="str">
        <f>IF(ISNUMBER(SEARCH("#",B3874)), LEFT(B3874,FIND("#",B3874)-1), B3874)</f>
        <v>Bright Green Animated Table Overlay</v>
      </c>
      <c r="G3874" s="26">
        <f>IF(ISNUMBER(SEARCH("#",B3874)),VALUE(MID(B3874,FIND("#",B3874)+1,1000)),1)</f>
        <v>1</v>
      </c>
      <c r="H3874" t="str">
        <f>IF(AND(regexMatch(B3874,".*#[0-9]*$"),ISNUMBER(SEARCH("#",B3874))),CONCATENATE(TRIM(F3874)," #",G3874),B3874)</f>
        <v>Bright Green Animated Table Overlay</v>
      </c>
    </row>
    <row r="3875" spans="1:8" x14ac:dyDescent="0.25">
      <c r="A3875" s="18" t="s">
        <v>4321</v>
      </c>
      <c r="B3875" s="21" t="s">
        <v>4601</v>
      </c>
      <c r="C3875" s="21"/>
      <c r="D3875" s="5" t="s">
        <v>149</v>
      </c>
      <c r="E3875" s="40" t="str">
        <f>IF(ISERROR(VLOOKUP(B3875,Failures!$A$1:$A$4000,1,FALSE)),"Keep","Delete")</f>
        <v>Keep</v>
      </c>
      <c r="F3875" t="str">
        <f>IF(ISNUMBER(SEARCH("#",B3875)), LEFT(B3875,FIND("#",B3875)-1), B3875)</f>
        <v>Chateau Table</v>
      </c>
      <c r="G3875" s="26">
        <f>IF(ISNUMBER(SEARCH("#",B3875)),VALUE(MID(B3875,FIND("#",B3875)+1,1000)),1)</f>
        <v>1</v>
      </c>
      <c r="H3875" t="str">
        <f>IF(AND(regexMatch(B3875,".*#[0-9]*$"),ISNUMBER(SEARCH("#",B3875))),CONCATENATE(TRIM(F3875)," #",G3875),B3875)</f>
        <v>Chateau Table</v>
      </c>
    </row>
    <row r="3876" spans="1:8" x14ac:dyDescent="0.25">
      <c r="A3876" s="8" t="s">
        <v>5612</v>
      </c>
      <c r="B3876" s="8" t="s">
        <v>10336</v>
      </c>
      <c r="C3876" s="8"/>
      <c r="D3876" s="15" t="s">
        <v>149</v>
      </c>
      <c r="E3876" s="40" t="str">
        <f>IF(ISERROR(VLOOKUP(B3876,Failures!$A$1:$A$4000,1,FALSE)),"Keep","Delete")</f>
        <v>Keep</v>
      </c>
      <c r="F3876" t="str">
        <f>IF(ISNUMBER(SEARCH("#",B3876)), LEFT(B3876,FIND("#",B3876)-1), B3876)</f>
        <v>Coffee Shop Parasol Table</v>
      </c>
      <c r="G3876" s="26">
        <f>IF(ISNUMBER(SEARCH("#",B3876)),VALUE(MID(B3876,FIND("#",B3876)+1,1000)),1)</f>
        <v>1</v>
      </c>
      <c r="H3876" t="str">
        <f>IF(AND(regexMatch(B3876,".*#[0-9]*$"),ISNUMBER(SEARCH("#",B3876))),CONCATENATE(TRIM(F3876)," #",G3876),B3876)</f>
        <v>Coffee Shop Parasol Table</v>
      </c>
    </row>
    <row r="3877" spans="1:8" x14ac:dyDescent="0.25">
      <c r="A3877" s="8" t="s">
        <v>3025</v>
      </c>
      <c r="B3877" s="8" t="s">
        <v>3026</v>
      </c>
      <c r="C3877" s="13" t="s">
        <v>5</v>
      </c>
      <c r="D3877" s="15" t="s">
        <v>149</v>
      </c>
      <c r="E3877" s="40" t="str">
        <f>IF(ISERROR(VLOOKUP(B3877,Failures!$A$1:$A$4000,1,FALSE)),"Keep","Delete")</f>
        <v>Keep</v>
      </c>
      <c r="F3877" t="str">
        <f>IF(ISNUMBER(SEARCH("#",B3877)), LEFT(B3877,FIND("#",B3877)-1), B3877)</f>
        <v>Coffee Table</v>
      </c>
      <c r="G3877" s="26">
        <f>IF(ISNUMBER(SEARCH("#",B3877)),VALUE(MID(B3877,FIND("#",B3877)+1,1000)),1)</f>
        <v>1</v>
      </c>
      <c r="H3877" t="str">
        <f>IF(AND(regexMatch(B3877,".*#[0-9]*$"),ISNUMBER(SEARCH("#",B3877))),CONCATENATE(TRIM(F3877)," #",G3877),B3877)</f>
        <v>Coffee Table</v>
      </c>
    </row>
    <row r="3878" spans="1:8" x14ac:dyDescent="0.25">
      <c r="A3878" s="8" t="s">
        <v>5352</v>
      </c>
      <c r="B3878" s="8" t="s">
        <v>10333</v>
      </c>
      <c r="C3878" s="8"/>
      <c r="D3878" s="15" t="s">
        <v>149</v>
      </c>
      <c r="E3878" s="40" t="str">
        <f>IF(ISERROR(VLOOKUP(B3878,Failures!$A$1:$A$4000,1,FALSE)),"Keep","Delete")</f>
        <v>Keep</v>
      </c>
      <c r="F3878" t="str">
        <f>IF(ISNUMBER(SEARCH("#",B3878)), LEFT(B3878,FIND("#",B3878)-1), B3878)</f>
        <v>Glass Coffee Table</v>
      </c>
      <c r="G3878" s="26">
        <f>IF(ISNUMBER(SEARCH("#",B3878)),VALUE(MID(B3878,FIND("#",B3878)+1,1000)),1)</f>
        <v>1</v>
      </c>
      <c r="H3878" t="str">
        <f>IF(AND(regexMatch(B3878,".*#[0-9]*$"),ISNUMBER(SEARCH("#",B3878))),CONCATENATE(TRIM(F3878)," #",G3878),B3878)</f>
        <v>Glass Coffee Table</v>
      </c>
    </row>
    <row r="3879" spans="1:8" x14ac:dyDescent="0.25">
      <c r="A3879" s="8" t="s">
        <v>2020</v>
      </c>
      <c r="B3879" s="8" t="s">
        <v>3755</v>
      </c>
      <c r="C3879" s="12" t="s">
        <v>145</v>
      </c>
      <c r="D3879" s="15" t="s">
        <v>149</v>
      </c>
      <c r="E3879" s="40" t="str">
        <f>IF(ISERROR(VLOOKUP(B3879,Failures!$A$1:$A$4000,1,FALSE)),"Keep","Delete")</f>
        <v>Keep</v>
      </c>
      <c r="F3879" t="str">
        <f>IF(ISNUMBER(SEARCH("#",B3879)), LEFT(B3879,FIND("#",B3879)-1), B3879)</f>
        <v>Lectern</v>
      </c>
      <c r="G3879" s="26">
        <f>IF(ISNUMBER(SEARCH("#",B3879)),VALUE(MID(B3879,FIND("#",B3879)+1,1000)),1)</f>
        <v>1</v>
      </c>
      <c r="H3879" t="str">
        <f>IF(AND(regexMatch(B3879,".*#[0-9]*$"),ISNUMBER(SEARCH("#",B3879))),CONCATENATE(TRIM(F3879)," #",G3879),B3879)</f>
        <v>Lectern</v>
      </c>
    </row>
    <row r="3880" spans="1:8" x14ac:dyDescent="0.25">
      <c r="A3880" s="8" t="s">
        <v>1385</v>
      </c>
      <c r="B3880" s="8" t="s">
        <v>1386</v>
      </c>
      <c r="C3880" s="13" t="s">
        <v>5</v>
      </c>
      <c r="D3880" s="15" t="s">
        <v>149</v>
      </c>
      <c r="E3880" s="40" t="str">
        <f>IF(ISERROR(VLOOKUP(B3880,Failures!$A$1:$A$4000,1,FALSE)),"Keep","Delete")</f>
        <v>Keep</v>
      </c>
      <c r="F3880" t="str">
        <f>IF(ISNUMBER(SEARCH("#",B3880)), LEFT(B3880,FIND("#",B3880)-1), B3880)</f>
        <v>Office Coffee Table</v>
      </c>
      <c r="G3880" s="26">
        <f>IF(ISNUMBER(SEARCH("#",B3880)),VALUE(MID(B3880,FIND("#",B3880)+1,1000)),1)</f>
        <v>1</v>
      </c>
      <c r="H3880" t="str">
        <f>IF(AND(regexMatch(B3880,".*#[0-9]*$"),ISNUMBER(SEARCH("#",B3880))),CONCATENATE(TRIM(F3880)," #",G3880),B3880)</f>
        <v>Office Coffee Table</v>
      </c>
    </row>
    <row r="3881" spans="1:8" x14ac:dyDescent="0.25">
      <c r="A3881" s="8" t="s">
        <v>5609</v>
      </c>
      <c r="B3881" s="8" t="s">
        <v>10338</v>
      </c>
      <c r="C3881" s="8"/>
      <c r="D3881" s="15" t="s">
        <v>149</v>
      </c>
      <c r="E3881" s="40" t="str">
        <f>IF(ISERROR(VLOOKUP(B3881,Failures!$A$1:$A$4000,1,FALSE)),"Keep","Delete")</f>
        <v>Keep</v>
      </c>
      <c r="F3881" t="str">
        <f>IF(ISNUMBER(SEARCH("#",B3881)), LEFT(B3881,FIND("#",B3881)-1), B3881)</f>
        <v>Parasol Picnic Bench</v>
      </c>
      <c r="G3881" s="26">
        <f>IF(ISNUMBER(SEARCH("#",B3881)),VALUE(MID(B3881,FIND("#",B3881)+1,1000)),1)</f>
        <v>1</v>
      </c>
      <c r="H3881" t="str">
        <f>IF(AND(regexMatch(B3881,".*#[0-9]*$"),ISNUMBER(SEARCH("#",B3881))),CONCATENATE(TRIM(F3881)," #",G3881),B3881)</f>
        <v>Parasol Picnic Bench</v>
      </c>
    </row>
    <row r="3882" spans="1:8" x14ac:dyDescent="0.25">
      <c r="A3882" s="8" t="s">
        <v>5611</v>
      </c>
      <c r="B3882" s="8" t="s">
        <v>10337</v>
      </c>
      <c r="C3882" s="8"/>
      <c r="D3882" s="15" t="s">
        <v>149</v>
      </c>
      <c r="E3882" s="40" t="str">
        <f>IF(ISERROR(VLOOKUP(B3882,Failures!$A$1:$A$4000,1,FALSE)),"Keep","Delete")</f>
        <v>Keep</v>
      </c>
      <c r="F3882" t="str">
        <f>IF(ISNUMBER(SEARCH("#",B3882)), LEFT(B3882,FIND("#",B3882)-1), B3882)</f>
        <v xml:space="preserve">Parasol Table </v>
      </c>
      <c r="G3882" s="26">
        <v>1</v>
      </c>
      <c r="H3882" t="str">
        <f>IF(AND(regexMatch(B3882,".*#[0-9]*$"),ISNUMBER(SEARCH("#",B3882))),CONCATENATE(TRIM(F3882)," #",G3882),B3882)</f>
        <v>Parasol Table #1</v>
      </c>
    </row>
    <row r="3883" spans="1:8" x14ac:dyDescent="0.25">
      <c r="A3883" s="8" t="s">
        <v>5610</v>
      </c>
      <c r="B3883" s="8" t="s">
        <v>10337</v>
      </c>
      <c r="C3883" s="8"/>
      <c r="D3883" s="15" t="s">
        <v>149</v>
      </c>
      <c r="E3883" s="40" t="str">
        <f>IF(ISERROR(VLOOKUP(B3883,Failures!$A$1:$A$4000,1,FALSE)),"Keep","Delete")</f>
        <v>Keep</v>
      </c>
      <c r="F3883" t="str">
        <f>IF(ISNUMBER(SEARCH("#",B3883)), LEFT(B3883,FIND("#",B3883)-1), B3883)</f>
        <v xml:space="preserve">Parasol Table </v>
      </c>
      <c r="G3883" s="26">
        <v>2</v>
      </c>
      <c r="H3883" t="str">
        <f>IF(AND(regexMatch(B3883,".*#[0-9]*$"),ISNUMBER(SEARCH("#",B3883))),CONCATENATE(TRIM(F3883)," #",G3883),B3883)</f>
        <v>Parasol Table #2</v>
      </c>
    </row>
    <row r="3884" spans="1:8" x14ac:dyDescent="0.25">
      <c r="A3884" s="8" t="s">
        <v>2373</v>
      </c>
      <c r="B3884" s="8" t="s">
        <v>2374</v>
      </c>
      <c r="C3884" s="13" t="s">
        <v>5</v>
      </c>
      <c r="D3884" s="15" t="s">
        <v>149</v>
      </c>
      <c r="E3884" s="40" t="str">
        <f>IF(ISERROR(VLOOKUP(B3884,Failures!$A$1:$A$4000,1,FALSE)),"Keep","Delete")</f>
        <v>Keep</v>
      </c>
      <c r="F3884" t="str">
        <f>IF(ISNUMBER(SEARCH("#",B3884)), LEFT(B3884,FIND("#",B3884)-1), B3884)</f>
        <v>Patio Lounger Table</v>
      </c>
      <c r="G3884" s="26">
        <f>IF(ISNUMBER(SEARCH("#",B3884)),VALUE(MID(B3884,FIND("#",B3884)+1,1000)),1)</f>
        <v>1</v>
      </c>
      <c r="H3884" t="str">
        <f>IF(AND(regexMatch(B3884,".*#[0-9]*$"),ISNUMBER(SEARCH("#",B3884))),CONCATENATE(TRIM(F3884)," #",G3884),B3884)</f>
        <v>Patio Lounger Table</v>
      </c>
    </row>
    <row r="3885" spans="1:8" x14ac:dyDescent="0.25">
      <c r="A3885" s="8" t="s">
        <v>5617</v>
      </c>
      <c r="B3885" s="8" t="s">
        <v>10132</v>
      </c>
      <c r="C3885" s="8"/>
      <c r="D3885" s="15" t="s">
        <v>149</v>
      </c>
      <c r="E3885" s="40" t="str">
        <f>IF(ISERROR(VLOOKUP(B3885,Failures!$A$1:$A$4000,1,FALSE)),"Keep","Delete")</f>
        <v>Keep</v>
      </c>
      <c r="F3885" t="str">
        <f>IF(ISNUMBER(SEARCH("#",B3885)), LEFT(B3885,FIND("#",B3885)-1), B3885)</f>
        <v>Picnic Table</v>
      </c>
      <c r="G3885" s="26">
        <f>IF(ISNUMBER(SEARCH("#",B3885)),VALUE(MID(B3885,FIND("#",B3885)+1,1000)),1)</f>
        <v>1</v>
      </c>
      <c r="H3885" t="str">
        <f>IF(AND(regexMatch(B3885,".*#[0-9]*$"),ISNUMBER(SEARCH("#",B3885))),CONCATENATE(TRIM(F3885)," #",G3885),B3885)</f>
        <v>Picnic Table</v>
      </c>
    </row>
    <row r="3886" spans="1:8" x14ac:dyDescent="0.25">
      <c r="A3886" s="8" t="s">
        <v>2605</v>
      </c>
      <c r="B3886" s="8" t="s">
        <v>2606</v>
      </c>
      <c r="C3886" s="13" t="s">
        <v>5</v>
      </c>
      <c r="D3886" s="15" t="s">
        <v>149</v>
      </c>
      <c r="E3886" s="40" t="str">
        <f>IF(ISERROR(VLOOKUP(B3886,Failures!$A$1:$A$4000,1,FALSE)),"Keep","Delete")</f>
        <v>Keep</v>
      </c>
      <c r="F3886" t="str">
        <f>IF(ISNUMBER(SEARCH("#",B3886)), LEFT(B3886,FIND("#",B3886)-1), B3886)</f>
        <v>Protest Table</v>
      </c>
      <c r="G3886" s="26">
        <f>IF(ISNUMBER(SEARCH("#",B3886)),VALUE(MID(B3886,FIND("#",B3886)+1,1000)),1)</f>
        <v>1</v>
      </c>
      <c r="H3886" t="str">
        <f>IF(AND(regexMatch(B3886,".*#[0-9]*$"),ISNUMBER(SEARCH("#",B3886))),CONCATENATE(TRIM(F3886)," #",G3886),B3886)</f>
        <v>Protest Table</v>
      </c>
    </row>
    <row r="3887" spans="1:8" x14ac:dyDescent="0.25">
      <c r="A3887" s="8" t="s">
        <v>2609</v>
      </c>
      <c r="B3887" s="8" t="s">
        <v>2610</v>
      </c>
      <c r="C3887" s="13" t="s">
        <v>5</v>
      </c>
      <c r="D3887" s="15" t="s">
        <v>149</v>
      </c>
      <c r="E3887" s="40" t="str">
        <f>IF(ISERROR(VLOOKUP(B3887,Failures!$A$1:$A$4000,1,FALSE)),"Keep","Delete")</f>
        <v>Keep</v>
      </c>
      <c r="F3887" t="str">
        <f>IF(ISNUMBER(SEARCH("#",B3887)), LEFT(B3887,FIND("#",B3887)-1), B3887)</f>
        <v>Proxy Chateau Table</v>
      </c>
      <c r="G3887" s="26">
        <f>IF(ISNUMBER(SEARCH("#",B3887)),VALUE(MID(B3887,FIND("#",B3887)+1,1000)),1)</f>
        <v>1</v>
      </c>
      <c r="H3887" t="str">
        <f>IF(AND(regexMatch(B3887,".*#[0-9]*$"),ISNUMBER(SEARCH("#",B3887))),CONCATENATE(TRIM(F3887)," #",G3887),B3887)</f>
        <v>Proxy Chateau Table</v>
      </c>
    </row>
    <row r="3888" spans="1:8" x14ac:dyDescent="0.25">
      <c r="A3888" s="8" t="s">
        <v>3042</v>
      </c>
      <c r="B3888" s="8" t="s">
        <v>3913</v>
      </c>
      <c r="C3888" s="13" t="s">
        <v>5</v>
      </c>
      <c r="D3888" s="15" t="s">
        <v>149</v>
      </c>
      <c r="E3888" s="40" t="str">
        <f>IF(ISERROR(VLOOKUP(B3888,Failures!$A$1:$A$4000,1,FALSE)),"Keep","Delete")</f>
        <v>Keep</v>
      </c>
      <c r="F3888" t="str">
        <f>IF(ISNUMBER(SEARCH("#",B3888)), LEFT(B3888,FIND("#",B3888)-1), B3888)</f>
        <v xml:space="preserve">Table </v>
      </c>
      <c r="G3888" s="26">
        <f>IF(ISNUMBER(SEARCH("#",B3888)),VALUE(MID(B3888,FIND("#",B3888)+1,1000)),1)</f>
        <v>1</v>
      </c>
      <c r="H3888" t="str">
        <f>IF(AND(regexMatch(B3888,".*#[0-9]*$"),ISNUMBER(SEARCH("#",B3888))),CONCATENATE(TRIM(F3888)," #",G3888),B3888)</f>
        <v>Table #1</v>
      </c>
    </row>
    <row r="3889" spans="1:8" x14ac:dyDescent="0.25">
      <c r="A3889" s="8" t="s">
        <v>3031</v>
      </c>
      <c r="B3889" s="8" t="s">
        <v>3032</v>
      </c>
      <c r="C3889" s="13" t="s">
        <v>5</v>
      </c>
      <c r="D3889" s="15" t="s">
        <v>149</v>
      </c>
      <c r="E3889" s="40" t="str">
        <f>IF(ISERROR(VLOOKUP(B3889,Failures!$A$1:$A$4000,1,FALSE)),"Keep","Delete")</f>
        <v>Keep</v>
      </c>
      <c r="F3889" t="str">
        <f>IF(ISNUMBER(SEARCH("#",B3889)), LEFT(B3889,FIND("#",B3889)-1), B3889)</f>
        <v xml:space="preserve">Table </v>
      </c>
      <c r="G3889" s="26">
        <f>IF(ISNUMBER(SEARCH("#",B3889)),VALUE(MID(B3889,FIND("#",B3889)+1,1000)),1)</f>
        <v>2</v>
      </c>
      <c r="H3889" t="str">
        <f>IF(AND(regexMatch(B3889,".*#[0-9]*$"),ISNUMBER(SEARCH("#",B3889))),CONCATENATE(TRIM(F3889)," #",G3889),B3889)</f>
        <v>Table #2</v>
      </c>
    </row>
    <row r="3890" spans="1:8" s="30" customFormat="1" x14ac:dyDescent="0.25">
      <c r="A3890" s="8" t="s">
        <v>3040</v>
      </c>
      <c r="B3890" s="8" t="s">
        <v>3912</v>
      </c>
      <c r="C3890" s="13" t="s">
        <v>5</v>
      </c>
      <c r="D3890" s="15" t="s">
        <v>149</v>
      </c>
      <c r="E3890" s="40" t="str">
        <f>IF(ISERROR(VLOOKUP(B3890,Failures!$A$1:$A$4000,1,FALSE)),"Keep","Delete")</f>
        <v>Keep</v>
      </c>
      <c r="F3890" t="str">
        <f>IF(ISNUMBER(SEARCH("#",B3890)), LEFT(B3890,FIND("#",B3890)-1), B3890)</f>
        <v xml:space="preserve">Table </v>
      </c>
      <c r="G3890" s="26">
        <f>IF(ISNUMBER(SEARCH("#",B3890)),VALUE(MID(B3890,FIND("#",B3890)+1,1000)),1)</f>
        <v>3</v>
      </c>
      <c r="H3890" t="str">
        <f>IF(AND(regexMatch(B3890,".*#[0-9]*$"),ISNUMBER(SEARCH("#",B3890))),CONCATENATE(TRIM(F3890)," #",G3890),B3890)</f>
        <v>Table #3</v>
      </c>
    </row>
    <row r="3891" spans="1:8" x14ac:dyDescent="0.25">
      <c r="A3891" s="8" t="s">
        <v>5613</v>
      </c>
      <c r="B3891" s="8" t="s">
        <v>3912</v>
      </c>
      <c r="C3891" s="8"/>
      <c r="D3891" s="15" t="s">
        <v>149</v>
      </c>
      <c r="E3891" s="40" t="str">
        <f>IF(ISERROR(VLOOKUP(B3891,Failures!$A$1:$A$4000,1,FALSE)),"Keep","Delete")</f>
        <v>Keep</v>
      </c>
      <c r="F3891" t="str">
        <f>IF(ISNUMBER(SEARCH("#",B3891)), LEFT(B3891,FIND("#",B3891)-1), B3891)</f>
        <v xml:space="preserve">Table </v>
      </c>
      <c r="G3891" s="26">
        <f>IF(ISNUMBER(SEARCH("#",B3891)),VALUE(MID(B3891,FIND("#",B3891)+1,1000)),1)</f>
        <v>3</v>
      </c>
      <c r="H3891" t="str">
        <f>IF(AND(regexMatch(B3891,".*#[0-9]*$"),ISNUMBER(SEARCH("#",B3891))),CONCATENATE(TRIM(F3891)," #",G3891),B3891)</f>
        <v>Table #3</v>
      </c>
    </row>
    <row r="3892" spans="1:8" x14ac:dyDescent="0.25">
      <c r="A3892" s="8" t="s">
        <v>3033</v>
      </c>
      <c r="B3892" s="8" t="s">
        <v>3034</v>
      </c>
      <c r="C3892" s="13" t="s">
        <v>5</v>
      </c>
      <c r="D3892" s="15" t="s">
        <v>149</v>
      </c>
      <c r="E3892" s="40" t="str">
        <f>IF(ISERROR(VLOOKUP(B3892,Failures!$A$1:$A$4000,1,FALSE)),"Keep","Delete")</f>
        <v>Keep</v>
      </c>
      <c r="F3892" t="str">
        <f>IF(ISNUMBER(SEARCH("#",B3892)), LEFT(B3892,FIND("#",B3892)-1), B3892)</f>
        <v xml:space="preserve">Table </v>
      </c>
      <c r="G3892" s="26">
        <f>IF(ISNUMBER(SEARCH("#",B3892)),VALUE(MID(B3892,FIND("#",B3892)+1,1000)),1)</f>
        <v>4</v>
      </c>
      <c r="H3892" t="str">
        <f>IF(AND(regexMatch(B3892,".*#[0-9]*$"),ISNUMBER(SEARCH("#",B3892))),CONCATENATE(TRIM(F3892)," #",G3892),B3892)</f>
        <v>Table #4</v>
      </c>
    </row>
    <row r="3893" spans="1:8" x14ac:dyDescent="0.25">
      <c r="A3893" s="8" t="s">
        <v>3036</v>
      </c>
      <c r="B3893" s="8" t="s">
        <v>3037</v>
      </c>
      <c r="C3893" s="13" t="s">
        <v>5</v>
      </c>
      <c r="D3893" s="15" t="s">
        <v>149</v>
      </c>
      <c r="E3893" s="40" t="str">
        <f>IF(ISERROR(VLOOKUP(B3893,Failures!$A$1:$A$4000,1,FALSE)),"Keep","Delete")</f>
        <v>Keep</v>
      </c>
      <c r="F3893" t="str">
        <f>IF(ISNUMBER(SEARCH("#",B3893)), LEFT(B3893,FIND("#",B3893)-1), B3893)</f>
        <v xml:space="preserve">Table </v>
      </c>
      <c r="G3893" s="26">
        <f>IF(ISNUMBER(SEARCH("#",B3893)),VALUE(MID(B3893,FIND("#",B3893)+1,1000)),1)</f>
        <v>5</v>
      </c>
      <c r="H3893" t="str">
        <f>IF(AND(regexMatch(B3893,".*#[0-9]*$"),ISNUMBER(SEARCH("#",B3893))),CONCATENATE(TRIM(F3893)," #",G3893),B3893)</f>
        <v>Table #5</v>
      </c>
    </row>
    <row r="3894" spans="1:8" x14ac:dyDescent="0.25">
      <c r="A3894" s="8" t="s">
        <v>3038</v>
      </c>
      <c r="B3894" s="8" t="s">
        <v>3039</v>
      </c>
      <c r="C3894" s="13" t="s">
        <v>5</v>
      </c>
      <c r="D3894" s="15" t="s">
        <v>149</v>
      </c>
      <c r="E3894" s="40" t="str">
        <f>IF(ISERROR(VLOOKUP(B3894,Failures!$A$1:$A$4000,1,FALSE)),"Keep","Delete")</f>
        <v>Keep</v>
      </c>
      <c r="F3894" t="str">
        <f>IF(ISNUMBER(SEARCH("#",B3894)), LEFT(B3894,FIND("#",B3894)-1), B3894)</f>
        <v xml:space="preserve">Table </v>
      </c>
      <c r="G3894" s="26">
        <f>IF(ISNUMBER(SEARCH("#",B3894)),VALUE(MID(B3894,FIND("#",B3894)+1,1000)),1)</f>
        <v>6</v>
      </c>
      <c r="H3894" t="str">
        <f>IF(AND(regexMatch(B3894,".*#[0-9]*$"),ISNUMBER(SEARCH("#",B3894))),CONCATENATE(TRIM(F3894)," #",G3894),B3894)</f>
        <v>Table #6</v>
      </c>
    </row>
    <row r="3895" spans="1:8" x14ac:dyDescent="0.25">
      <c r="A3895" s="8" t="s">
        <v>3044</v>
      </c>
      <c r="B3895" s="8" t="s">
        <v>3041</v>
      </c>
      <c r="C3895" s="13" t="s">
        <v>145</v>
      </c>
      <c r="D3895" s="15" t="s">
        <v>149</v>
      </c>
      <c r="E3895" s="40" t="str">
        <f>IF(ISERROR(VLOOKUP(B3895,Failures!$A$1:$A$4000,1,FALSE)),"Keep","Delete")</f>
        <v>Keep</v>
      </c>
      <c r="F3895" t="str">
        <f>IF(ISNUMBER(SEARCH("#",B3895)), LEFT(B3895,FIND("#",B3895)-1), B3895)</f>
        <v xml:space="preserve">Table </v>
      </c>
      <c r="G3895" s="26">
        <f>IF(ISNUMBER(SEARCH("#",B3895)),VALUE(MID(B3895,FIND("#",B3895)+1,1000)),1)</f>
        <v>7</v>
      </c>
      <c r="H3895" t="str">
        <f>IF(AND(regexMatch(B3895,".*#[0-9]*$"),ISNUMBER(SEARCH("#",B3895))),CONCATENATE(TRIM(F3895)," #",G3895),B3895)</f>
        <v>Table #7</v>
      </c>
    </row>
    <row r="3896" spans="1:8" x14ac:dyDescent="0.25">
      <c r="A3896" s="8" t="s">
        <v>3045</v>
      </c>
      <c r="B3896" s="8" t="s">
        <v>3043</v>
      </c>
      <c r="C3896" s="13" t="s">
        <v>145</v>
      </c>
      <c r="D3896" s="15" t="s">
        <v>149</v>
      </c>
      <c r="E3896" s="40" t="str">
        <f>IF(ISERROR(VLOOKUP(B3896,Failures!$A$1:$A$4000,1,FALSE)),"Keep","Delete")</f>
        <v>Keep</v>
      </c>
      <c r="F3896" t="str">
        <f>IF(ISNUMBER(SEARCH("#",B3896)), LEFT(B3896,FIND("#",B3896)-1), B3896)</f>
        <v xml:space="preserve">Table </v>
      </c>
      <c r="G3896" s="26">
        <f>IF(ISNUMBER(SEARCH("#",B3896)),VALUE(MID(B3896,FIND("#",B3896)+1,1000)),1)</f>
        <v>8</v>
      </c>
      <c r="H3896" t="str">
        <f>IF(AND(regexMatch(B3896,".*#[0-9]*$"),ISNUMBER(SEARCH("#",B3896))),CONCATENATE(TRIM(F3896)," #",G3896),B3896)</f>
        <v>Table #8</v>
      </c>
    </row>
    <row r="3897" spans="1:8" x14ac:dyDescent="0.25">
      <c r="A3897" s="8" t="s">
        <v>3046</v>
      </c>
      <c r="B3897" s="8" t="s">
        <v>3914</v>
      </c>
      <c r="C3897" s="13" t="s">
        <v>145</v>
      </c>
      <c r="D3897" s="15" t="s">
        <v>149</v>
      </c>
      <c r="E3897" s="40" t="str">
        <f>IF(ISERROR(VLOOKUP(B3897,Failures!$A$1:$A$4000,1,FALSE)),"Keep","Delete")</f>
        <v>Keep</v>
      </c>
      <c r="F3897" t="str">
        <f>IF(ISNUMBER(SEARCH("#",B3897)), LEFT(B3897,FIND("#",B3897)-1), B3897)</f>
        <v xml:space="preserve">Table </v>
      </c>
      <c r="G3897" s="26">
        <f>IF(ISNUMBER(SEARCH("#",B3897)),VALUE(MID(B3897,FIND("#",B3897)+1,1000)),1)</f>
        <v>9</v>
      </c>
      <c r="H3897" t="str">
        <f>IF(AND(regexMatch(B3897,".*#[0-9]*$"),ISNUMBER(SEARCH("#",B3897))),CONCATENATE(TRIM(F3897)," #",G3897),B3897)</f>
        <v>Table #9</v>
      </c>
    </row>
    <row r="3898" spans="1:8" x14ac:dyDescent="0.25">
      <c r="A3898" s="8" t="s">
        <v>3047</v>
      </c>
      <c r="B3898" s="8" t="s">
        <v>3915</v>
      </c>
      <c r="C3898" s="13" t="s">
        <v>145</v>
      </c>
      <c r="D3898" s="15" t="s">
        <v>149</v>
      </c>
      <c r="E3898" s="40" t="str">
        <f>IF(ISERROR(VLOOKUP(B3898,Failures!$A$1:$A$4000,1,FALSE)),"Keep","Delete")</f>
        <v>Keep</v>
      </c>
      <c r="F3898" t="str">
        <f>IF(ISNUMBER(SEARCH("#",B3898)), LEFT(B3898,FIND("#",B3898)-1), B3898)</f>
        <v xml:space="preserve">Table </v>
      </c>
      <c r="G3898" s="26">
        <f>IF(ISNUMBER(SEARCH("#",B3898)),VALUE(MID(B3898,FIND("#",B3898)+1,1000)),1)</f>
        <v>10</v>
      </c>
      <c r="H3898" t="str">
        <f>IF(AND(regexMatch(B3898,".*#[0-9]*$"),ISNUMBER(SEARCH("#",B3898))),CONCATENATE(TRIM(F3898)," #",G3898),B3898)</f>
        <v>Table #10</v>
      </c>
    </row>
    <row r="3899" spans="1:8" x14ac:dyDescent="0.25">
      <c r="A3899" s="18" t="s">
        <v>4095</v>
      </c>
      <c r="B3899" s="10" t="s">
        <v>4418</v>
      </c>
      <c r="C3899" s="21"/>
      <c r="D3899" s="15" t="s">
        <v>149</v>
      </c>
      <c r="E3899" s="40" t="str">
        <f>IF(ISERROR(VLOOKUP(B3899,Failures!$A$1:$A$4000,1,FALSE)),"Keep","Delete")</f>
        <v>Keep</v>
      </c>
      <c r="F3899" t="str">
        <f>IF(ISNUMBER(SEARCH("#",B3899)), LEFT(B3899,FIND("#",B3899)-1), B3899)</f>
        <v xml:space="preserve">Table </v>
      </c>
      <c r="G3899" s="26">
        <f>IF(ISNUMBER(SEARCH("#",B3899)),VALUE(MID(B3899,FIND("#",B3899)+1,1000)),1)</f>
        <v>12</v>
      </c>
      <c r="H3899" t="str">
        <f>IF(AND(regexMatch(B3899,".*#[0-9]*$"),ISNUMBER(SEARCH("#",B3899))),CONCATENATE(TRIM(F3899)," #",G3899),B3899)</f>
        <v>Table #12</v>
      </c>
    </row>
    <row r="3900" spans="1:8" x14ac:dyDescent="0.25">
      <c r="A3900" s="8" t="s">
        <v>5449</v>
      </c>
      <c r="B3900" s="8" t="s">
        <v>10085</v>
      </c>
      <c r="C3900" s="8"/>
      <c r="D3900" s="15" t="s">
        <v>149</v>
      </c>
      <c r="E3900" s="40" t="str">
        <f>IF(ISERROR(VLOOKUP(B3900,Failures!$A$1:$A$4000,1,FALSE)),"Keep","Delete")</f>
        <v>Keep</v>
      </c>
      <c r="F3900" t="str">
        <f>IF(ISNUMBER(SEARCH("#",B3900)), LEFT(B3900,FIND("#",B3900)-1), B3900)</f>
        <v>Table With Meal &amp; Beers</v>
      </c>
      <c r="G3900" s="26">
        <f>IF(ISNUMBER(SEARCH("#",B3900)),VALUE(MID(B3900,FIND("#",B3900)+1,1000)),1)</f>
        <v>1</v>
      </c>
      <c r="H3900" t="str">
        <f>IF(AND(regexMatch(B3900,".*#[0-9]*$"),ISNUMBER(SEARCH("#",B3900))),CONCATENATE(TRIM(F3900)," #",G3900),B3900)</f>
        <v>Table With Meal &amp; Beers</v>
      </c>
    </row>
    <row r="3901" spans="1:8" x14ac:dyDescent="0.25">
      <c r="A3901" s="8" t="s">
        <v>3050</v>
      </c>
      <c r="B3901" s="8" t="s">
        <v>3051</v>
      </c>
      <c r="C3901" s="13" t="s">
        <v>5</v>
      </c>
      <c r="D3901" s="15" t="s">
        <v>149</v>
      </c>
      <c r="E3901" s="40" t="str">
        <f>IF(ISERROR(VLOOKUP(B3901,Failures!$A$1:$A$4000,1,FALSE)),"Keep","Delete")</f>
        <v>Keep</v>
      </c>
      <c r="F3901" t="str">
        <f>IF(ISNUMBER(SEARCH("#",B3901)), LEFT(B3901,FIND("#",B3901)-1), B3901)</f>
        <v>Table With Parasol</v>
      </c>
      <c r="G3901" s="26">
        <f>IF(ISNUMBER(SEARCH("#",B3901)),VALUE(MID(B3901,FIND("#",B3901)+1,1000)),1)</f>
        <v>1</v>
      </c>
      <c r="H3901" t="str">
        <f>IF(AND(regexMatch(B3901,".*#[0-9]*$"),ISNUMBER(SEARCH("#",B3901))),CONCATENATE(TRIM(F3901)," #",G3901),B3901)</f>
        <v>Table With Parasol</v>
      </c>
    </row>
    <row r="3902" spans="1:8" x14ac:dyDescent="0.25">
      <c r="A3902" s="8" t="s">
        <v>5450</v>
      </c>
      <c r="B3902" s="8" t="s">
        <v>10084</v>
      </c>
      <c r="C3902" s="8"/>
      <c r="D3902" s="15" t="s">
        <v>149</v>
      </c>
      <c r="E3902" s="40" t="str">
        <f>IF(ISERROR(VLOOKUP(B3902,Failures!$A$1:$A$4000,1,FALSE)),"Keep","Delete")</f>
        <v>Keep</v>
      </c>
      <c r="F3902" t="str">
        <f>IF(ISNUMBER(SEARCH("#",B3902)), LEFT(B3902,FIND("#",B3902)-1), B3902)</f>
        <v>Table With TV</v>
      </c>
      <c r="G3902" s="26">
        <f>IF(ISNUMBER(SEARCH("#",B3902)),VALUE(MID(B3902,FIND("#",B3902)+1,1000)),1)</f>
        <v>1</v>
      </c>
      <c r="H3902" t="str">
        <f>IF(AND(regexMatch(B3902,".*#[0-9]*$"),ISNUMBER(SEARCH("#",B3902))),CONCATENATE(TRIM(F3902)," #",G3902),B3902)</f>
        <v>Table With TV</v>
      </c>
    </row>
    <row r="3903" spans="1:8" x14ac:dyDescent="0.25">
      <c r="A3903" s="8" t="s">
        <v>3343</v>
      </c>
      <c r="B3903" s="8" t="s">
        <v>3344</v>
      </c>
      <c r="C3903" s="13" t="s">
        <v>5</v>
      </c>
      <c r="D3903" s="15" t="s">
        <v>149</v>
      </c>
      <c r="E3903" s="40" t="str">
        <f>IF(ISERROR(VLOOKUP(B3903,Failures!$A$1:$A$4000,1,FALSE)),"Keep","Delete")</f>
        <v>Keep</v>
      </c>
      <c r="F3903" t="str">
        <f>IF(ISNUMBER(SEARCH("#",B3903)), LEFT(B3903,FIND("#",B3903)-1), B3903)</f>
        <v>Venice Market Table</v>
      </c>
      <c r="G3903" s="26">
        <f>IF(ISNUMBER(SEARCH("#",B3903)),VALUE(MID(B3903,FIND("#",B3903)+1,1000)),1)</f>
        <v>1</v>
      </c>
      <c r="H3903" t="str">
        <f>IF(AND(regexMatch(B3903,".*#[0-9]*$"),ISNUMBER(SEARCH("#",B3903))),CONCATENATE(TRIM(F3903)," #",G3903),B3903)</f>
        <v>Venice Market Table</v>
      </c>
    </row>
    <row r="3904" spans="1:8" x14ac:dyDescent="0.25">
      <c r="A3904" s="8" t="s">
        <v>3492</v>
      </c>
      <c r="B3904" s="8" t="s">
        <v>3493</v>
      </c>
      <c r="C3904" s="13" t="s">
        <v>5</v>
      </c>
      <c r="D3904" s="15" t="s">
        <v>149</v>
      </c>
      <c r="E3904" s="40" t="str">
        <f>IF(ISERROR(VLOOKUP(B3904,Failures!$A$1:$A$4000,1,FALSE)),"Keep","Delete")</f>
        <v>Keep</v>
      </c>
      <c r="F3904" t="str">
        <f>IF(ISNUMBER(SEARCH("#",B3904)), LEFT(B3904,FIND("#",B3904)-1), B3904)</f>
        <v xml:space="preserve">Yacht Table </v>
      </c>
      <c r="G3904" s="26">
        <f>IF(ISNUMBER(SEARCH("#",B3904)),VALUE(MID(B3904,FIND("#",B3904)+1,1000)),1)</f>
        <v>1</v>
      </c>
      <c r="H3904" t="str">
        <f>IF(AND(regexMatch(B3904,".*#[0-9]*$"),ISNUMBER(SEARCH("#",B3904))),CONCATENATE(TRIM(F3904)," #",G3904),B3904)</f>
        <v>Yacht Table #1</v>
      </c>
    </row>
    <row r="3905" spans="1:8" x14ac:dyDescent="0.25">
      <c r="A3905" s="8" t="s">
        <v>3494</v>
      </c>
      <c r="B3905" s="8" t="s">
        <v>3495</v>
      </c>
      <c r="C3905" s="13" t="s">
        <v>5</v>
      </c>
      <c r="D3905" s="15" t="s">
        <v>149</v>
      </c>
      <c r="E3905" s="40" t="str">
        <f>IF(ISERROR(VLOOKUP(B3905,Failures!$A$1:$A$4000,1,FALSE)),"Keep","Delete")</f>
        <v>Keep</v>
      </c>
      <c r="F3905" t="str">
        <f>IF(ISNUMBER(SEARCH("#",B3905)), LEFT(B3905,FIND("#",B3905)-1), B3905)</f>
        <v xml:space="preserve">Yacht Table </v>
      </c>
      <c r="G3905" s="26">
        <f>IF(ISNUMBER(SEARCH("#",B3905)),VALUE(MID(B3905,FIND("#",B3905)+1,1000)),1)</f>
        <v>2</v>
      </c>
      <c r="H3905" t="str">
        <f>IF(AND(regexMatch(B3905,".*#[0-9]*$"),ISNUMBER(SEARCH("#",B3905))),CONCATENATE(TRIM(F3905)," #",G3905),B3905)</f>
        <v>Yacht Table #2</v>
      </c>
    </row>
    <row r="3906" spans="1:8" x14ac:dyDescent="0.25">
      <c r="A3906" s="8" t="s">
        <v>3496</v>
      </c>
      <c r="B3906" s="8" t="s">
        <v>3497</v>
      </c>
      <c r="C3906" s="12" t="s">
        <v>5</v>
      </c>
      <c r="D3906" s="15" t="s">
        <v>149</v>
      </c>
      <c r="E3906" s="40" t="str">
        <f>IF(ISERROR(VLOOKUP(B3906,Failures!$A$1:$A$4000,1,FALSE)),"Keep","Delete")</f>
        <v>Keep</v>
      </c>
      <c r="F3906" t="str">
        <f>IF(ISNUMBER(SEARCH("#",B3906)), LEFT(B3906,FIND("#",B3906)-1), B3906)</f>
        <v xml:space="preserve">Yacht Table </v>
      </c>
      <c r="G3906" s="26">
        <f>IF(ISNUMBER(SEARCH("#",B3906)),VALUE(MID(B3906,FIND("#",B3906)+1,1000)),1)</f>
        <v>3</v>
      </c>
      <c r="H3906" t="str">
        <f>IF(AND(regexMatch(B3906,".*#[0-9]*$"),ISNUMBER(SEARCH("#",B3906))),CONCATENATE(TRIM(F3906)," #",G3906),B3906)</f>
        <v>Yacht Table #3</v>
      </c>
    </row>
    <row r="3907" spans="1:8" x14ac:dyDescent="0.25">
      <c r="A3907" s="8" t="s">
        <v>3172</v>
      </c>
      <c r="B3907" s="8" t="s">
        <v>3992</v>
      </c>
      <c r="C3907" s="13" t="s">
        <v>5</v>
      </c>
      <c r="D3907" s="15" t="s">
        <v>434</v>
      </c>
      <c r="E3907" s="40" t="str">
        <f>IF(ISERROR(VLOOKUP(B3907,Failures!$A$1:$A$4000,1,FALSE)),"Keep","Delete")</f>
        <v>Keep</v>
      </c>
      <c r="F3907" t="str">
        <f>IF(ISNUMBER(SEARCH("#",B3907)), LEFT(B3907,FIND("#",B3907)-1), B3907)</f>
        <v>Adjustable Spanner</v>
      </c>
      <c r="G3907" s="26">
        <f>IF(ISNUMBER(SEARCH("#",B3907)),VALUE(MID(B3907,FIND("#",B3907)+1,1000)),1)</f>
        <v>1</v>
      </c>
      <c r="H3907" t="str">
        <f>IF(AND(regexMatch(B3907,".*#[0-9]*$"),ISNUMBER(SEARCH("#",B3907))),CONCATENATE(TRIM(F3907)," #",G3907),B3907)</f>
        <v>Adjustable Spanner</v>
      </c>
    </row>
    <row r="3908" spans="1:8" x14ac:dyDescent="0.25">
      <c r="A3908" s="18" t="s">
        <v>4342</v>
      </c>
      <c r="B3908" s="10" t="s">
        <v>4416</v>
      </c>
      <c r="C3908" s="21"/>
      <c r="D3908" s="15" t="s">
        <v>434</v>
      </c>
      <c r="E3908" s="40" t="str">
        <f>IF(ISERROR(VLOOKUP(B3908,Failures!$A$1:$A$4000,1,FALSE)),"Keep","Delete")</f>
        <v>Keep</v>
      </c>
      <c r="F3908" t="str">
        <f>IF(ISNUMBER(SEARCH("#",B3908)), LEFT(B3908,FIND("#",B3908)-1), B3908)</f>
        <v>Blowtorch</v>
      </c>
      <c r="G3908" s="26">
        <f>IF(ISNUMBER(SEARCH("#",B3908)),VALUE(MID(B3908,FIND("#",B3908)+1,1000)),1)</f>
        <v>1</v>
      </c>
      <c r="H3908" t="str">
        <f>IF(AND(regexMatch(B3908,".*#[0-9]*$"),ISNUMBER(SEARCH("#",B3908))),CONCATENATE(TRIM(F3908)," #",G3908),B3908)</f>
        <v>Blowtorch</v>
      </c>
    </row>
    <row r="3909" spans="1:8" x14ac:dyDescent="0.25">
      <c r="A3909" s="8" t="s">
        <v>432</v>
      </c>
      <c r="B3909" s="8" t="s">
        <v>433</v>
      </c>
      <c r="C3909" s="13" t="s">
        <v>5</v>
      </c>
      <c r="D3909" s="15" t="s">
        <v>434</v>
      </c>
      <c r="E3909" s="40" t="str">
        <f>IF(ISERROR(VLOOKUP(B3909,Failures!$A$1:$A$4000,1,FALSE)),"Keep","Delete")</f>
        <v>Keep</v>
      </c>
      <c r="F3909" t="str">
        <f>IF(ISNUMBER(SEARCH("#",B3909)), LEFT(B3909,FIND("#",B3909)-1), B3909)</f>
        <v>Bonesaw</v>
      </c>
      <c r="G3909" s="26">
        <f>IF(ISNUMBER(SEARCH("#",B3909)),VALUE(MID(B3909,FIND("#",B3909)+1,1000)),1)</f>
        <v>1</v>
      </c>
      <c r="H3909" t="str">
        <f>IF(AND(regexMatch(B3909,".*#[0-9]*$"),ISNUMBER(SEARCH("#",B3909))),CONCATENATE(TRIM(F3909)," #",G3909),B3909)</f>
        <v>Bonesaw</v>
      </c>
    </row>
    <row r="3910" spans="1:8" x14ac:dyDescent="0.25">
      <c r="A3910" s="8" t="s">
        <v>3190</v>
      </c>
      <c r="B3910" s="8" t="s">
        <v>3993</v>
      </c>
      <c r="C3910" s="13" t="s">
        <v>5</v>
      </c>
      <c r="D3910" s="15" t="s">
        <v>434</v>
      </c>
      <c r="E3910" s="40" t="str">
        <f>IF(ISERROR(VLOOKUP(B3910,Failures!$A$1:$A$4000,1,FALSE)),"Keep","Delete")</f>
        <v>Keep</v>
      </c>
      <c r="F3910" t="str">
        <f>IF(ISNUMBER(SEARCH("#",B3910)), LEFT(B3910,FIND("#",B3910)-1), B3910)</f>
        <v xml:space="preserve">Broom </v>
      </c>
      <c r="G3910" s="26">
        <f>IF(ISNUMBER(SEARCH("#",B3910)),VALUE(MID(B3910,FIND("#",B3910)+1,1000)),1)</f>
        <v>1</v>
      </c>
      <c r="H3910" t="str">
        <f>IF(AND(regexMatch(B3910,".*#[0-9]*$"),ISNUMBER(SEARCH("#",B3910))),CONCATENATE(TRIM(F3910)," #",G3910),B3910)</f>
        <v>Broom #1</v>
      </c>
    </row>
    <row r="3911" spans="1:8" x14ac:dyDescent="0.25">
      <c r="A3911" s="8" t="s">
        <v>3191</v>
      </c>
      <c r="B3911" s="8" t="s">
        <v>3994</v>
      </c>
      <c r="C3911" s="13" t="s">
        <v>5</v>
      </c>
      <c r="D3911" s="15" t="s">
        <v>434</v>
      </c>
      <c r="E3911" s="40" t="str">
        <f>IF(ISERROR(VLOOKUP(B3911,Failures!$A$1:$A$4000,1,FALSE)),"Keep","Delete")</f>
        <v>Keep</v>
      </c>
      <c r="F3911" t="str">
        <f>IF(ISNUMBER(SEARCH("#",B3911)), LEFT(B3911,FIND("#",B3911)-1), B3911)</f>
        <v xml:space="preserve">Broom </v>
      </c>
      <c r="G3911" s="26">
        <f>IF(ISNUMBER(SEARCH("#",B3911)),VALUE(MID(B3911,FIND("#",B3911)+1,1000)),1)</f>
        <v>2</v>
      </c>
      <c r="H3911" t="str">
        <f>IF(AND(regexMatch(B3911,".*#[0-9]*$"),ISNUMBER(SEARCH("#",B3911))),CONCATENATE(TRIM(F3911)," #",G3911),B3911)</f>
        <v>Broom #2</v>
      </c>
    </row>
    <row r="3912" spans="1:8" x14ac:dyDescent="0.25">
      <c r="A3912" s="8" t="s">
        <v>3192</v>
      </c>
      <c r="B3912" s="8" t="s">
        <v>3995</v>
      </c>
      <c r="C3912" s="13" t="s">
        <v>5</v>
      </c>
      <c r="D3912" s="15" t="s">
        <v>434</v>
      </c>
      <c r="E3912" s="40" t="str">
        <f>IF(ISERROR(VLOOKUP(B3912,Failures!$A$1:$A$4000,1,FALSE)),"Keep","Delete")</f>
        <v>Keep</v>
      </c>
      <c r="F3912" t="str">
        <f>IF(ISNUMBER(SEARCH("#",B3912)), LEFT(B3912,FIND("#",B3912)-1), B3912)</f>
        <v xml:space="preserve">Broom </v>
      </c>
      <c r="G3912" s="26">
        <f>IF(ISNUMBER(SEARCH("#",B3912)),VALUE(MID(B3912,FIND("#",B3912)+1,1000)),1)</f>
        <v>3</v>
      </c>
      <c r="H3912" t="str">
        <f>IF(AND(regexMatch(B3912,".*#[0-9]*$"),ISNUMBER(SEARCH("#",B3912))),CONCATENATE(TRIM(F3912)," #",G3912),B3912)</f>
        <v>Broom #3</v>
      </c>
    </row>
    <row r="3913" spans="1:8" x14ac:dyDescent="0.25">
      <c r="A3913" s="8" t="s">
        <v>527</v>
      </c>
      <c r="B3913" s="8" t="s">
        <v>3539</v>
      </c>
      <c r="C3913" s="13" t="s">
        <v>5</v>
      </c>
      <c r="D3913" s="15" t="s">
        <v>434</v>
      </c>
      <c r="E3913" s="40" t="str">
        <f>IF(ISERROR(VLOOKUP(B3913,Failures!$A$1:$A$4000,1,FALSE)),"Keep","Delete")</f>
        <v>Keep</v>
      </c>
      <c r="F3913" t="str">
        <f>IF(ISNUMBER(SEARCH("#",B3913)), LEFT(B3913,FIND("#",B3913)-1), B3913)</f>
        <v xml:space="preserve">Bucket </v>
      </c>
      <c r="G3913" s="26">
        <f>IF(ISNUMBER(SEARCH("#",B3913)),VALUE(MID(B3913,FIND("#",B3913)+1,1000)),1)</f>
        <v>1</v>
      </c>
      <c r="H3913" t="str">
        <f>IF(AND(regexMatch(B3913,".*#[0-9]*$"),ISNUMBER(SEARCH("#",B3913))),CONCATENATE(TRIM(F3913)," #",G3913),B3913)</f>
        <v>Bucket #1</v>
      </c>
    </row>
    <row r="3914" spans="1:8" x14ac:dyDescent="0.25">
      <c r="A3914" s="8" t="s">
        <v>528</v>
      </c>
      <c r="B3914" s="8" t="s">
        <v>3540</v>
      </c>
      <c r="C3914" s="13" t="s">
        <v>5</v>
      </c>
      <c r="D3914" s="15" t="s">
        <v>434</v>
      </c>
      <c r="E3914" s="40" t="str">
        <f>IF(ISERROR(VLOOKUP(B3914,Failures!$A$1:$A$4000,1,FALSE)),"Keep","Delete")</f>
        <v>Keep</v>
      </c>
      <c r="F3914" t="str">
        <f>IF(ISNUMBER(SEARCH("#",B3914)), LEFT(B3914,FIND("#",B3914)-1), B3914)</f>
        <v xml:space="preserve">Bucket </v>
      </c>
      <c r="G3914" s="26">
        <f>IF(ISNUMBER(SEARCH("#",B3914)),VALUE(MID(B3914,FIND("#",B3914)+1,1000)),1)</f>
        <v>2</v>
      </c>
      <c r="H3914" t="str">
        <f>IF(AND(regexMatch(B3914,".*#[0-9]*$"),ISNUMBER(SEARCH("#",B3914))),CONCATENATE(TRIM(F3914)," #",G3914),B3914)</f>
        <v>Bucket #2</v>
      </c>
    </row>
    <row r="3915" spans="1:8" x14ac:dyDescent="0.25">
      <c r="A3915" s="8" t="s">
        <v>529</v>
      </c>
      <c r="B3915" s="8" t="s">
        <v>3541</v>
      </c>
      <c r="C3915" s="13" t="s">
        <v>5</v>
      </c>
      <c r="D3915" s="15" t="s">
        <v>434</v>
      </c>
      <c r="E3915" s="40" t="str">
        <f>IF(ISERROR(VLOOKUP(B3915,Failures!$A$1:$A$4000,1,FALSE)),"Keep","Delete")</f>
        <v>Keep</v>
      </c>
      <c r="F3915" t="str">
        <f>IF(ISNUMBER(SEARCH("#",B3915)), LEFT(B3915,FIND("#",B3915)-1), B3915)</f>
        <v xml:space="preserve">Bucket </v>
      </c>
      <c r="G3915" s="26">
        <f>IF(ISNUMBER(SEARCH("#",B3915)),VALUE(MID(B3915,FIND("#",B3915)+1,1000)),1)</f>
        <v>3</v>
      </c>
      <c r="H3915" t="str">
        <f>IF(AND(regexMatch(B3915,".*#[0-9]*$"),ISNUMBER(SEARCH("#",B3915))),CONCATENATE(TRIM(F3915)," #",G3915),B3915)</f>
        <v>Bucket #3</v>
      </c>
    </row>
    <row r="3916" spans="1:8" x14ac:dyDescent="0.25">
      <c r="A3916" s="8" t="s">
        <v>530</v>
      </c>
      <c r="B3916" s="8" t="s">
        <v>3590</v>
      </c>
      <c r="C3916" s="13" t="s">
        <v>5</v>
      </c>
      <c r="D3916" s="15" t="s">
        <v>434</v>
      </c>
      <c r="E3916" s="40" t="str">
        <f>IF(ISERROR(VLOOKUP(B3916,Failures!$A$1:$A$4000,1,FALSE)),"Keep","Delete")</f>
        <v>Keep</v>
      </c>
      <c r="F3916" t="str">
        <f>IF(ISNUMBER(SEARCH("#",B3916)), LEFT(B3916,FIND("#",B3916)-1), B3916)</f>
        <v>Buckets</v>
      </c>
      <c r="G3916" s="26">
        <f>IF(ISNUMBER(SEARCH("#",B3916)),VALUE(MID(B3916,FIND("#",B3916)+1,1000)),1)</f>
        <v>1</v>
      </c>
      <c r="H3916" t="str">
        <f>IF(AND(regexMatch(B3916,".*#[0-9]*$"),ISNUMBER(SEARCH("#",B3916))),CONCATENATE(TRIM(F3916)," #",G3916),B3916)</f>
        <v>Buckets</v>
      </c>
    </row>
    <row r="3917" spans="1:8" x14ac:dyDescent="0.25">
      <c r="A3917" s="8" t="s">
        <v>3193</v>
      </c>
      <c r="B3917" s="8" t="s">
        <v>3996</v>
      </c>
      <c r="C3917" s="13" t="s">
        <v>5</v>
      </c>
      <c r="D3917" s="15" t="s">
        <v>434</v>
      </c>
      <c r="E3917" s="40" t="str">
        <f>IF(ISERROR(VLOOKUP(B3917,Failures!$A$1:$A$4000,1,FALSE)),"Keep","Delete")</f>
        <v>Keep</v>
      </c>
      <c r="F3917" t="str">
        <f>IF(ISNUMBER(SEARCH("#",B3917)), LEFT(B3917,FIND("#",B3917)-1), B3917)</f>
        <v xml:space="preserve">Cable Reel </v>
      </c>
      <c r="G3917" s="26">
        <f>IF(ISNUMBER(SEARCH("#",B3917)),VALUE(MID(B3917,FIND("#",B3917)+1,1000)),1)</f>
        <v>1</v>
      </c>
      <c r="H3917" t="str">
        <f>IF(AND(regexMatch(B3917,".*#[0-9]*$"),ISNUMBER(SEARCH("#",B3917))),CONCATENATE(TRIM(F3917)," #",G3917),B3917)</f>
        <v>Cable Reel #1</v>
      </c>
    </row>
    <row r="3918" spans="1:8" x14ac:dyDescent="0.25">
      <c r="A3918" s="8" t="s">
        <v>3194</v>
      </c>
      <c r="B3918" s="8" t="s">
        <v>3997</v>
      </c>
      <c r="C3918" s="13" t="s">
        <v>5</v>
      </c>
      <c r="D3918" s="15" t="s">
        <v>434</v>
      </c>
      <c r="E3918" s="40" t="str">
        <f>IF(ISERROR(VLOOKUP(B3918,Failures!$A$1:$A$4000,1,FALSE)),"Keep","Delete")</f>
        <v>Keep</v>
      </c>
      <c r="F3918" t="str">
        <f>IF(ISNUMBER(SEARCH("#",B3918)), LEFT(B3918,FIND("#",B3918)-1), B3918)</f>
        <v xml:space="preserve">Cable Reel </v>
      </c>
      <c r="G3918" s="26">
        <f>IF(ISNUMBER(SEARCH("#",B3918)),VALUE(MID(B3918,FIND("#",B3918)+1,1000)),1)</f>
        <v>2</v>
      </c>
      <c r="H3918" t="str">
        <f>IF(AND(regexMatch(B3918,".*#[0-9]*$"),ISNUMBER(SEARCH("#",B3918))),CONCATENATE(TRIM(F3918)," #",G3918),B3918)</f>
        <v>Cable Reel #2</v>
      </c>
    </row>
    <row r="3919" spans="1:8" x14ac:dyDescent="0.25">
      <c r="A3919" s="8" t="s">
        <v>3205</v>
      </c>
      <c r="B3919" s="8" t="s">
        <v>3998</v>
      </c>
      <c r="C3919" s="13" t="s">
        <v>5</v>
      </c>
      <c r="D3919" s="15" t="s">
        <v>434</v>
      </c>
      <c r="E3919" s="40" t="str">
        <f>IF(ISERROR(VLOOKUP(B3919,Failures!$A$1:$A$4000,1,FALSE)),"Keep","Delete")</f>
        <v>Keep</v>
      </c>
      <c r="F3919" t="str">
        <f>IF(ISNUMBER(SEARCH("#",B3919)), LEFT(B3919,FIND("#",B3919)-1), B3919)</f>
        <v>Consaw</v>
      </c>
      <c r="G3919" s="26">
        <f>IF(ISNUMBER(SEARCH("#",B3919)),VALUE(MID(B3919,FIND("#",B3919)+1,1000)),1)</f>
        <v>1</v>
      </c>
      <c r="H3919" t="str">
        <f>IF(AND(regexMatch(B3919,".*#[0-9]*$"),ISNUMBER(SEARCH("#",B3919))),CONCATENATE(TRIM(F3919)," #",G3919),B3919)</f>
        <v>Consaw</v>
      </c>
    </row>
    <row r="3920" spans="1:8" x14ac:dyDescent="0.25">
      <c r="A3920" s="8" t="s">
        <v>802</v>
      </c>
      <c r="B3920" s="8" t="s">
        <v>803</v>
      </c>
      <c r="C3920" s="12" t="s">
        <v>5</v>
      </c>
      <c r="D3920" s="15" t="s">
        <v>434</v>
      </c>
      <c r="E3920" s="40" t="str">
        <f>IF(ISERROR(VLOOKUP(B3920,Failures!$A$1:$A$4000,1,FALSE)),"Keep","Delete")</f>
        <v>Keep</v>
      </c>
      <c r="F3920" t="str">
        <f>IF(ISNUMBER(SEARCH("#",B3920)), LEFT(B3920,FIND("#",B3920)-1), B3920)</f>
        <v>Cranial Saw</v>
      </c>
      <c r="G3920" s="26">
        <f>IF(ISNUMBER(SEARCH("#",B3920)),VALUE(MID(B3920,FIND("#",B3920)+1,1000)),1)</f>
        <v>1</v>
      </c>
      <c r="H3920" t="str">
        <f>IF(AND(regexMatch(B3920,".*#[0-9]*$"),ISNUMBER(SEARCH("#",B3920))),CONCATENATE(TRIM(F3920)," #",G3920),B3920)</f>
        <v>Cranial Saw</v>
      </c>
    </row>
    <row r="3921" spans="1:8" x14ac:dyDescent="0.25">
      <c r="A3921" s="8" t="s">
        <v>1904</v>
      </c>
      <c r="B3921" s="8" t="s">
        <v>1905</v>
      </c>
      <c r="C3921" s="13" t="s">
        <v>145</v>
      </c>
      <c r="D3921" s="15" t="s">
        <v>434</v>
      </c>
      <c r="E3921" s="40" t="str">
        <f>IF(ISERROR(VLOOKUP(B3921,Failures!$A$1:$A$4000,1,FALSE)),"Keep","Delete")</f>
        <v>Keep</v>
      </c>
      <c r="F3921" t="str">
        <f>IF(ISNUMBER(SEARCH("#",B3921)), LEFT(B3921,FIND("#",B3921)-1), B3921)</f>
        <v>Crocodile Clips Negative</v>
      </c>
      <c r="G3921" s="26">
        <f>IF(ISNUMBER(SEARCH("#",B3921)),VALUE(MID(B3921,FIND("#",B3921)+1,1000)),1)</f>
        <v>1</v>
      </c>
      <c r="H3921" t="str">
        <f>IF(AND(regexMatch(B3921,".*#[0-9]*$"),ISNUMBER(SEARCH("#",B3921))),CONCATENATE(TRIM(F3921)," #",G3921),B3921)</f>
        <v>Crocodile Clips Negative</v>
      </c>
    </row>
    <row r="3922" spans="1:8" x14ac:dyDescent="0.25">
      <c r="A3922" s="8" t="s">
        <v>1902</v>
      </c>
      <c r="B3922" s="8" t="s">
        <v>1903</v>
      </c>
      <c r="C3922" s="13" t="s">
        <v>145</v>
      </c>
      <c r="D3922" s="15" t="s">
        <v>434</v>
      </c>
      <c r="E3922" s="40" t="str">
        <f>IF(ISERROR(VLOOKUP(B3922,Failures!$A$1:$A$4000,1,FALSE)),"Keep","Delete")</f>
        <v>Keep</v>
      </c>
      <c r="F3922" t="str">
        <f>IF(ISNUMBER(SEARCH("#",B3922)), LEFT(B3922,FIND("#",B3922)-1), B3922)</f>
        <v>Crocodile Clips Positive</v>
      </c>
      <c r="G3922" s="26">
        <f>IF(ISNUMBER(SEARCH("#",B3922)),VALUE(MID(B3922,FIND("#",B3922)+1,1000)),1)</f>
        <v>1</v>
      </c>
      <c r="H3922" t="str">
        <f>IF(AND(regexMatch(B3922,".*#[0-9]*$"),ISNUMBER(SEARCH("#",B3922))),CONCATENATE(TRIM(F3922)," #",G3922),B3922)</f>
        <v>Crocodile Clips Positive</v>
      </c>
    </row>
    <row r="3923" spans="1:8" x14ac:dyDescent="0.25">
      <c r="A3923" s="8" t="s">
        <v>1732</v>
      </c>
      <c r="B3923" s="8" t="s">
        <v>1733</v>
      </c>
      <c r="C3923" s="13" t="s">
        <v>5</v>
      </c>
      <c r="D3923" s="15" t="s">
        <v>434</v>
      </c>
      <c r="E3923" s="40" t="str">
        <f>IF(ISERROR(VLOOKUP(B3923,Failures!$A$1:$A$4000,1,FALSE)),"Keep","Delete")</f>
        <v>Keep</v>
      </c>
      <c r="F3923" t="str">
        <f>IF(ISNUMBER(SEARCH("#",B3923)), LEFT(B3923,FIND("#",B3923)-1), B3923)</f>
        <v>Crowbar</v>
      </c>
      <c r="G3923" s="26">
        <f>IF(ISNUMBER(SEARCH("#",B3923)),VALUE(MID(B3923,FIND("#",B3923)+1,1000)),1)</f>
        <v>1</v>
      </c>
      <c r="H3923" t="str">
        <f>IF(AND(regexMatch(B3923,".*#[0-9]*$"),ISNUMBER(SEARCH("#",B3923))),CONCATENATE(TRIM(F3923)," #",G3923),B3923)</f>
        <v>Crowbar</v>
      </c>
    </row>
    <row r="3924" spans="1:8" x14ac:dyDescent="0.25">
      <c r="A3924" s="8" t="s">
        <v>3206</v>
      </c>
      <c r="B3924" s="8" t="s">
        <v>3999</v>
      </c>
      <c r="C3924" s="13" t="s">
        <v>5</v>
      </c>
      <c r="D3924" s="15" t="s">
        <v>434</v>
      </c>
      <c r="E3924" s="40" t="str">
        <f>IF(ISERROR(VLOOKUP(B3924,Failures!$A$1:$A$4000,1,FALSE)),"Keep","Delete")</f>
        <v>Keep</v>
      </c>
      <c r="F3924" t="str">
        <f>IF(ISNUMBER(SEARCH("#",B3924)), LEFT(B3924,FIND("#",B3924)-1), B3924)</f>
        <v>Drill</v>
      </c>
      <c r="G3924" s="26">
        <f>IF(ISNUMBER(SEARCH("#",B3924)),VALUE(MID(B3924,FIND("#",B3924)+1,1000)),1)</f>
        <v>1</v>
      </c>
      <c r="H3924" t="str">
        <f>IF(AND(regexMatch(B3924,".*#[0-9]*$"),ISNUMBER(SEARCH("#",B3924))),CONCATENATE(TRIM(F3924)," #",G3924),B3924)</f>
        <v>Drill</v>
      </c>
    </row>
    <row r="3925" spans="1:8" x14ac:dyDescent="0.25">
      <c r="A3925" s="8" t="s">
        <v>1304</v>
      </c>
      <c r="B3925" s="8" t="s">
        <v>3665</v>
      </c>
      <c r="C3925" s="13" t="s">
        <v>5</v>
      </c>
      <c r="D3925" s="15" t="s">
        <v>434</v>
      </c>
      <c r="E3925" s="40" t="str">
        <f>IF(ISERROR(VLOOKUP(B3925,Failures!$A$1:$A$4000,1,FALSE)),"Keep","Delete")</f>
        <v>Keep</v>
      </c>
      <c r="F3925" t="str">
        <f>IF(ISNUMBER(SEARCH("#",B3925)), LEFT(B3925,FIND("#",B3925)-1), B3925)</f>
        <v>Ear Defenders</v>
      </c>
      <c r="G3925" s="26">
        <f>IF(ISNUMBER(SEARCH("#",B3925)),VALUE(MID(B3925,FIND("#",B3925)+1,1000)),1)</f>
        <v>1</v>
      </c>
      <c r="H3925" t="str">
        <f>IF(AND(regexMatch(B3925,".*#[0-9]*$"),ISNUMBER(SEARCH("#",B3925))),CONCATENATE(TRIM(F3925)," #",G3925),B3925)</f>
        <v>Ear Defenders</v>
      </c>
    </row>
    <row r="3926" spans="1:8" x14ac:dyDescent="0.25">
      <c r="A3926" s="8" t="s">
        <v>1917</v>
      </c>
      <c r="B3926" s="8" t="s">
        <v>1918</v>
      </c>
      <c r="C3926" s="13" t="s">
        <v>145</v>
      </c>
      <c r="D3926" s="15" t="s">
        <v>434</v>
      </c>
      <c r="E3926" s="40" t="str">
        <f>IF(ISERROR(VLOOKUP(B3926,Failures!$A$1:$A$4000,1,FALSE)),"Keep","Delete")</f>
        <v>Keep</v>
      </c>
      <c r="F3926" t="str">
        <f>IF(ISNUMBER(SEARCH("#",B3926)), LEFT(B3926,FIND("#",B3926)-1), B3926)</f>
        <v>Fire Axe</v>
      </c>
      <c r="G3926" s="26">
        <f>IF(ISNUMBER(SEARCH("#",B3926)),VALUE(MID(B3926,FIND("#",B3926)+1,1000)),1)</f>
        <v>1</v>
      </c>
      <c r="H3926" t="str">
        <f>IF(AND(regexMatch(B3926,".*#[0-9]*$"),ISNUMBER(SEARCH("#",B3926))),CONCATENATE(TRIM(F3926)," #",G3926),B3926)</f>
        <v>Fire Axe</v>
      </c>
    </row>
    <row r="3927" spans="1:8" x14ac:dyDescent="0.25">
      <c r="A3927" s="8" t="s">
        <v>3207</v>
      </c>
      <c r="B3927" s="8" t="s">
        <v>1918</v>
      </c>
      <c r="C3927" s="13" t="s">
        <v>5</v>
      </c>
      <c r="D3927" s="15" t="s">
        <v>434</v>
      </c>
      <c r="E3927" s="40" t="str">
        <f>IF(ISERROR(VLOOKUP(B3927,Failures!$A$1:$A$4000,1,FALSE)),"Keep","Delete")</f>
        <v>Keep</v>
      </c>
      <c r="F3927" t="str">
        <f>IF(ISNUMBER(SEARCH("#",B3927)), LEFT(B3927,FIND("#",B3927)-1), B3927)</f>
        <v>Fire Axe</v>
      </c>
      <c r="G3927" s="26">
        <f>IF(ISNUMBER(SEARCH("#",B3927)),VALUE(MID(B3927,FIND("#",B3927)+1,1000)),1)</f>
        <v>1</v>
      </c>
      <c r="H3927" t="str">
        <f>IF(AND(regexMatch(B3927,".*#[0-9]*$"),ISNUMBER(SEARCH("#",B3927))),CONCATENATE(TRIM(F3927)," #",G3927),B3927)</f>
        <v>Fire Axe</v>
      </c>
    </row>
    <row r="3928" spans="1:8" s="30" customFormat="1" x14ac:dyDescent="0.25">
      <c r="A3928" s="8" t="s">
        <v>1341</v>
      </c>
      <c r="B3928" s="8" t="s">
        <v>1342</v>
      </c>
      <c r="C3928" s="13" t="s">
        <v>5</v>
      </c>
      <c r="D3928" s="15" t="s">
        <v>434</v>
      </c>
      <c r="E3928" s="40" t="str">
        <f>IF(ISERROR(VLOOKUP(B3928,Failures!$A$1:$A$4000,1,FALSE)),"Keep","Delete")</f>
        <v>Keep</v>
      </c>
      <c r="F3928" t="str">
        <f>IF(ISNUMBER(SEARCH("#",B3928)), LEFT(B3928,FIND("#",B3928)-1), B3928)</f>
        <v xml:space="preserve">Floor Duster </v>
      </c>
      <c r="G3928" s="26">
        <f>IF(ISNUMBER(SEARCH("#",B3928)),VALUE(MID(B3928,FIND("#",B3928)+1,1000)),1)</f>
        <v>1</v>
      </c>
      <c r="H3928" t="str">
        <f>IF(AND(regexMatch(B3928,".*#[0-9]*$"),ISNUMBER(SEARCH("#",B3928))),CONCATENATE(TRIM(F3928)," #",G3928),B3928)</f>
        <v>Floor Duster #1</v>
      </c>
    </row>
    <row r="3929" spans="1:8" x14ac:dyDescent="0.25">
      <c r="A3929" s="8" t="s">
        <v>1343</v>
      </c>
      <c r="B3929" s="8" t="s">
        <v>1344</v>
      </c>
      <c r="C3929" s="13" t="s">
        <v>5</v>
      </c>
      <c r="D3929" s="15" t="s">
        <v>434</v>
      </c>
      <c r="E3929" s="40" t="str">
        <f>IF(ISERROR(VLOOKUP(B3929,Failures!$A$1:$A$4000,1,FALSE)),"Keep","Delete")</f>
        <v>Keep</v>
      </c>
      <c r="F3929" t="str">
        <f>IF(ISNUMBER(SEARCH("#",B3929)), LEFT(B3929,FIND("#",B3929)-1), B3929)</f>
        <v xml:space="preserve">Floor Duster </v>
      </c>
      <c r="G3929" s="26">
        <f>IF(ISNUMBER(SEARCH("#",B3929)),VALUE(MID(B3929,FIND("#",B3929)+1,1000)),1)</f>
        <v>2</v>
      </c>
      <c r="H3929" t="str">
        <f>IF(AND(regexMatch(B3929,".*#[0-9]*$"),ISNUMBER(SEARCH("#",B3929))),CONCATENATE(TRIM(F3929)," #",G3929),B3929)</f>
        <v>Floor Duster #2</v>
      </c>
    </row>
    <row r="3930" spans="1:8" x14ac:dyDescent="0.25">
      <c r="A3930" s="8" t="s">
        <v>1432</v>
      </c>
      <c r="B3930" s="8" t="s">
        <v>3690</v>
      </c>
      <c r="C3930" s="13" t="s">
        <v>5</v>
      </c>
      <c r="D3930" s="15" t="s">
        <v>434</v>
      </c>
      <c r="E3930" s="40" t="str">
        <f>IF(ISERROR(VLOOKUP(B3930,Failures!$A$1:$A$4000,1,FALSE)),"Keep","Delete")</f>
        <v>Keep</v>
      </c>
      <c r="F3930" t="str">
        <f>IF(ISNUMBER(SEARCH("#",B3930)), LEFT(B3930,FIND("#",B3930)-1), B3930)</f>
        <v xml:space="preserve">Floor Duster </v>
      </c>
      <c r="G3930" s="26">
        <f>IF(ISNUMBER(SEARCH("#",B3930)),VALUE(MID(B3930,FIND("#",B3930)+1,1000)),1)</f>
        <v>3</v>
      </c>
      <c r="H3930" t="str">
        <f>IF(AND(regexMatch(B3930,".*#[0-9]*$"),ISNUMBER(SEARCH("#",B3930))),CONCATENATE(TRIM(F3930)," #",G3930),B3930)</f>
        <v>Floor Duster #3</v>
      </c>
    </row>
    <row r="3931" spans="1:8" x14ac:dyDescent="0.25">
      <c r="A3931" s="8" t="s">
        <v>2820</v>
      </c>
      <c r="B3931" s="8" t="s">
        <v>2821</v>
      </c>
      <c r="C3931" s="13" t="s">
        <v>5</v>
      </c>
      <c r="D3931" s="15" t="s">
        <v>434</v>
      </c>
      <c r="E3931" s="40" t="str">
        <f>IF(ISERROR(VLOOKUP(B3931,Failures!$A$1:$A$4000,1,FALSE)),"Keep","Delete")</f>
        <v>Keep</v>
      </c>
      <c r="F3931" t="str">
        <f>IF(ISNUMBER(SEARCH("#",B3931)), LEFT(B3931,FIND("#",B3931)-1), B3931)</f>
        <v>Garden Rake</v>
      </c>
      <c r="G3931" s="26">
        <f>IF(ISNUMBER(SEARCH("#",B3931)),VALUE(MID(B3931,FIND("#",B3931)+1,1000)),1)</f>
        <v>1</v>
      </c>
      <c r="H3931" t="str">
        <f>IF(AND(regexMatch(B3931,".*#[0-9]*$"),ISNUMBER(SEARCH("#",B3931))),CONCATENATE(TRIM(F3931)," #",G3931),B3931)</f>
        <v>Garden Rake</v>
      </c>
    </row>
    <row r="3932" spans="1:8" x14ac:dyDescent="0.25">
      <c r="A3932" s="8" t="s">
        <v>1109</v>
      </c>
      <c r="B3932" s="8" t="s">
        <v>1110</v>
      </c>
      <c r="C3932" s="13" t="s">
        <v>5</v>
      </c>
      <c r="D3932" s="15" t="s">
        <v>434</v>
      </c>
      <c r="E3932" s="40" t="str">
        <f>IF(ISERROR(VLOOKUP(B3932,Failures!$A$1:$A$4000,1,FALSE)),"Keep","Delete")</f>
        <v>Keep</v>
      </c>
      <c r="F3932" t="str">
        <f>IF(ISNUMBER(SEARCH("#",B3932)), LEFT(B3932,FIND("#",B3932)-1), B3932)</f>
        <v>Garden Shears</v>
      </c>
      <c r="G3932" s="26">
        <f>IF(ISNUMBER(SEARCH("#",B3932)),VALUE(MID(B3932,FIND("#",B3932)+1,1000)),1)</f>
        <v>1</v>
      </c>
      <c r="H3932" t="str">
        <f>IF(AND(regexMatch(B3932,".*#[0-9]*$"),ISNUMBER(SEARCH("#",B3932))),CONCATENATE(TRIM(F3932)," #",G3932),B3932)</f>
        <v>Garden Shears</v>
      </c>
    </row>
    <row r="3933" spans="1:8" x14ac:dyDescent="0.25">
      <c r="A3933" s="8" t="s">
        <v>950</v>
      </c>
      <c r="B3933" s="8" t="s">
        <v>951</v>
      </c>
      <c r="C3933" s="12" t="s">
        <v>145</v>
      </c>
      <c r="D3933" s="15" t="s">
        <v>434</v>
      </c>
      <c r="E3933" s="40" t="str">
        <f>IF(ISERROR(VLOOKUP(B3933,Failures!$A$1:$A$4000,1,FALSE)),"Keep","Delete")</f>
        <v>Keep</v>
      </c>
      <c r="F3933" t="str">
        <f>IF(ISNUMBER(SEARCH("#",B3933)), LEFT(B3933,FIND("#",B3933)-1), B3933)</f>
        <v>Gascutter Part 1</v>
      </c>
      <c r="G3933" s="26">
        <f>IF(ISNUMBER(SEARCH("#",B3933)),VALUE(MID(B3933,FIND("#",B3933)+1,1000)),1)</f>
        <v>1</v>
      </c>
      <c r="H3933" t="str">
        <f>IF(AND(regexMatch(B3933,".*#[0-9]*$"),ISNUMBER(SEARCH("#",B3933))),CONCATENATE(TRIM(F3933)," #",G3933),B3933)</f>
        <v>Gascutter Part 1</v>
      </c>
    </row>
    <row r="3934" spans="1:8" x14ac:dyDescent="0.25">
      <c r="A3934" s="8" t="s">
        <v>952</v>
      </c>
      <c r="B3934" s="8" t="s">
        <v>953</v>
      </c>
      <c r="C3934" s="12" t="s">
        <v>145</v>
      </c>
      <c r="D3934" s="15" t="s">
        <v>434</v>
      </c>
      <c r="E3934" s="40" t="str">
        <f>IF(ISERROR(VLOOKUP(B3934,Failures!$A$1:$A$4000,1,FALSE)),"Keep","Delete")</f>
        <v>Keep</v>
      </c>
      <c r="F3934" t="str">
        <f>IF(ISNUMBER(SEARCH("#",B3934)), LEFT(B3934,FIND("#",B3934)-1), B3934)</f>
        <v>Gascutter Part 2</v>
      </c>
      <c r="G3934" s="26">
        <f>IF(ISNUMBER(SEARCH("#",B3934)),VALUE(MID(B3934,FIND("#",B3934)+1,1000)),1)</f>
        <v>1</v>
      </c>
      <c r="H3934" t="str">
        <f>IF(AND(regexMatch(B3934,".*#[0-9]*$"),ISNUMBER(SEARCH("#",B3934))),CONCATENATE(TRIM(F3934)," #",G3934),B3934)</f>
        <v>Gascutter Part 2</v>
      </c>
    </row>
    <row r="3935" spans="1:8" x14ac:dyDescent="0.25">
      <c r="A3935" s="8" t="s">
        <v>1572</v>
      </c>
      <c r="B3935" s="8" t="s">
        <v>1573</v>
      </c>
      <c r="C3935" s="12" t="s">
        <v>5</v>
      </c>
      <c r="D3935" s="15" t="s">
        <v>434</v>
      </c>
      <c r="E3935" s="40" t="str">
        <f>IF(ISERROR(VLOOKUP(B3935,Failures!$A$1:$A$4000,1,FALSE)),"Keep","Delete")</f>
        <v>Keep</v>
      </c>
      <c r="F3935" t="str">
        <f>IF(ISNUMBER(SEARCH("#",B3935)), LEFT(B3935,FIND("#",B3935)-1), B3935)</f>
        <v>Glass Cutter</v>
      </c>
      <c r="G3935" s="26">
        <f>IF(ISNUMBER(SEARCH("#",B3935)),VALUE(MID(B3935,FIND("#",B3935)+1,1000)),1)</f>
        <v>1</v>
      </c>
      <c r="H3935" t="str">
        <f>IF(AND(regexMatch(B3935,".*#[0-9]*$"),ISNUMBER(SEARCH("#",B3935))),CONCATENATE(TRIM(F3935)," #",G3935),B3935)</f>
        <v>Glass Cutter</v>
      </c>
    </row>
    <row r="3936" spans="1:8" x14ac:dyDescent="0.25">
      <c r="A3936" s="8" t="s">
        <v>1570</v>
      </c>
      <c r="B3936" s="8" t="s">
        <v>1571</v>
      </c>
      <c r="C3936" s="12" t="s">
        <v>5</v>
      </c>
      <c r="D3936" s="15" t="s">
        <v>434</v>
      </c>
      <c r="E3936" s="40" t="str">
        <f>IF(ISERROR(VLOOKUP(B3936,Failures!$A$1:$A$4000,1,FALSE)),"Keep","Delete")</f>
        <v>Keep</v>
      </c>
      <c r="F3936" t="str">
        <f>IF(ISNUMBER(SEARCH("#",B3936)), LEFT(B3936,FIND("#",B3936)-1), B3936)</f>
        <v>Glass Suck Holder</v>
      </c>
      <c r="G3936" s="26">
        <f>IF(ISNUMBER(SEARCH("#",B3936)),VALUE(MID(B3936,FIND("#",B3936)+1,1000)),1)</f>
        <v>1</v>
      </c>
      <c r="H3936" t="str">
        <f>IF(AND(regexMatch(B3936,".*#[0-9]*$"),ISNUMBER(SEARCH("#",B3936))),CONCATENATE(TRIM(F3936)," #",G3936),B3936)</f>
        <v>Glass Suck Holder</v>
      </c>
    </row>
    <row r="3937" spans="1:8" x14ac:dyDescent="0.25">
      <c r="A3937" s="8" t="s">
        <v>3208</v>
      </c>
      <c r="B3937" s="8" t="s">
        <v>4000</v>
      </c>
      <c r="C3937" s="13" t="s">
        <v>5</v>
      </c>
      <c r="D3937" s="15" t="s">
        <v>434</v>
      </c>
      <c r="E3937" s="40" t="str">
        <f>IF(ISERROR(VLOOKUP(B3937,Failures!$A$1:$A$4000,1,FALSE)),"Keep","Delete")</f>
        <v>Keep</v>
      </c>
      <c r="F3937" t="str">
        <f>IF(ISNUMBER(SEARCH("#",B3937)), LEFT(B3937,FIND("#",B3937)-1), B3937)</f>
        <v>Hammer</v>
      </c>
      <c r="G3937" s="26">
        <f>IF(ISNUMBER(SEARCH("#",B3937)),VALUE(MID(B3937,FIND("#",B3937)+1,1000)),1)</f>
        <v>1</v>
      </c>
      <c r="H3937" t="str">
        <f>IF(AND(regexMatch(B3937,".*#[0-9]*$"),ISNUMBER(SEARCH("#",B3937))),CONCATENATE(TRIM(F3937)," #",G3937),B3937)</f>
        <v>Hammer</v>
      </c>
    </row>
    <row r="3938" spans="1:8" x14ac:dyDescent="0.25">
      <c r="A3938" s="8" t="s">
        <v>964</v>
      </c>
      <c r="B3938" s="8" t="s">
        <v>965</v>
      </c>
      <c r="C3938" s="12" t="s">
        <v>5</v>
      </c>
      <c r="D3938" s="15" t="s">
        <v>434</v>
      </c>
      <c r="E3938" s="40" t="str">
        <f>IF(ISERROR(VLOOKUP(B3938,Failures!$A$1:$A$4000,1,FALSE)),"Keep","Delete")</f>
        <v>Keep</v>
      </c>
      <c r="F3938" t="str">
        <f>IF(ISNUMBER(SEARCH("#",B3938)), LEFT(B3938,FIND("#",B3938)-1), B3938)</f>
        <v>Handheld Radio</v>
      </c>
      <c r="G3938" s="26">
        <f>IF(ISNUMBER(SEARCH("#",B3938)),VALUE(MID(B3938,FIND("#",B3938)+1,1000)),1)</f>
        <v>1</v>
      </c>
      <c r="H3938" t="str">
        <f>IF(AND(regexMatch(B3938,".*#[0-9]*$"),ISNUMBER(SEARCH("#",B3938))),CONCATENATE(TRIM(F3938)," #",G3938),B3938)</f>
        <v>Handheld Radio</v>
      </c>
    </row>
    <row r="3939" spans="1:8" x14ac:dyDescent="0.25">
      <c r="A3939" s="8" t="s">
        <v>1627</v>
      </c>
      <c r="B3939" s="8" t="s">
        <v>10521</v>
      </c>
      <c r="C3939" s="12" t="s">
        <v>5</v>
      </c>
      <c r="D3939" s="15" t="s">
        <v>434</v>
      </c>
      <c r="E3939" s="40" t="str">
        <f>IF(ISERROR(VLOOKUP(B3939,Failures!$A$1:$A$4000,1,FALSE)),"Keep","Delete")</f>
        <v>Keep</v>
      </c>
      <c r="F3939" t="str">
        <f>IF(ISNUMBER(SEARCH("#",B3939)), LEFT(B3939,FIND("#",B3939)-1), B3939)</f>
        <v xml:space="preserve">Hard Hat </v>
      </c>
      <c r="G3939" s="26">
        <v>1</v>
      </c>
      <c r="H3939" t="str">
        <f>IF(AND(regexMatch(B3939,".*#[0-9]*$"),ISNUMBER(SEARCH("#",B3939))),CONCATENATE(TRIM(F3939)," #",G3939),B3939)</f>
        <v>Hard Hat #1</v>
      </c>
    </row>
    <row r="3940" spans="1:8" x14ac:dyDescent="0.25">
      <c r="A3940" s="8" t="s">
        <v>3209</v>
      </c>
      <c r="B3940" s="8" t="s">
        <v>10521</v>
      </c>
      <c r="C3940" s="13" t="s">
        <v>5</v>
      </c>
      <c r="D3940" s="15" t="s">
        <v>434</v>
      </c>
      <c r="E3940" s="40" t="str">
        <f>IF(ISERROR(VLOOKUP(B3940,Failures!$A$1:$A$4000,1,FALSE)),"Keep","Delete")</f>
        <v>Keep</v>
      </c>
      <c r="F3940" t="str">
        <f>IF(ISNUMBER(SEARCH("#",B3940)), LEFT(B3940,FIND("#",B3940)-1), B3940)</f>
        <v xml:space="preserve">Hard Hat </v>
      </c>
      <c r="G3940" s="26">
        <v>2</v>
      </c>
      <c r="H3940" t="str">
        <f>IF(AND(regexMatch(B3940,".*#[0-9]*$"),ISNUMBER(SEARCH("#",B3940))),CONCATENATE(TRIM(F3940)," #",G3940),B3940)</f>
        <v>Hard Hat #2</v>
      </c>
    </row>
    <row r="3941" spans="1:8" s="30" customFormat="1" x14ac:dyDescent="0.25">
      <c r="A3941" s="8" t="s">
        <v>1640</v>
      </c>
      <c r="B3941" s="8" t="s">
        <v>1641</v>
      </c>
      <c r="C3941" s="13" t="s">
        <v>5</v>
      </c>
      <c r="D3941" s="15" t="s">
        <v>434</v>
      </c>
      <c r="E3941" s="40" t="str">
        <f>IF(ISERROR(VLOOKUP(B3941,Failures!$A$1:$A$4000,1,FALSE)),"Keep","Delete")</f>
        <v>Keep</v>
      </c>
      <c r="F3941" t="str">
        <f>IF(ISNUMBER(SEARCH("#",B3941)), LEFT(B3941,FIND("#",B3941)-1), B3941)</f>
        <v>Hedge Trimmer</v>
      </c>
      <c r="G3941" s="26">
        <f>IF(ISNUMBER(SEARCH("#",B3941)),VALUE(MID(B3941,FIND("#",B3941)+1,1000)),1)</f>
        <v>1</v>
      </c>
      <c r="H3941" t="str">
        <f>IF(AND(regexMatch(B3941,".*#[0-9]*$"),ISNUMBER(SEARCH("#",B3941))),CONCATENATE(TRIM(F3941)," #",G3941),B3941)</f>
        <v>Hedge Trimmer</v>
      </c>
    </row>
    <row r="3942" spans="1:8" s="30" customFormat="1" x14ac:dyDescent="0.25">
      <c r="A3942" s="8" t="s">
        <v>3210</v>
      </c>
      <c r="B3942" s="8" t="s">
        <v>4001</v>
      </c>
      <c r="C3942" s="13" t="s">
        <v>5</v>
      </c>
      <c r="D3942" s="15" t="s">
        <v>434</v>
      </c>
      <c r="E3942" s="40" t="str">
        <f>IF(ISERROR(VLOOKUP(B3942,Failures!$A$1:$A$4000,1,FALSE)),"Keep","Delete")</f>
        <v>Keep</v>
      </c>
      <c r="F3942" t="str">
        <f>IF(ISNUMBER(SEARCH("#",B3942)), LEFT(B3942,FIND("#",B3942)-1), B3942)</f>
        <v>Jackhammer</v>
      </c>
      <c r="G3942" s="26">
        <f>IF(ISNUMBER(SEARCH("#",B3942)),VALUE(MID(B3942,FIND("#",B3942)+1,1000)),1)</f>
        <v>1</v>
      </c>
      <c r="H3942" t="str">
        <f>IF(AND(regexMatch(B3942,".*#[0-9]*$"),ISNUMBER(SEARCH("#",B3942))),CONCATENATE(TRIM(F3942)," #",G3942),B3942)</f>
        <v>Jackhammer</v>
      </c>
    </row>
    <row r="3943" spans="1:8" x14ac:dyDescent="0.25">
      <c r="A3943" s="18" t="s">
        <v>4040</v>
      </c>
      <c r="B3943" s="21" t="s">
        <v>1948</v>
      </c>
      <c r="C3943" s="21"/>
      <c r="D3943" s="5" t="s">
        <v>434</v>
      </c>
      <c r="E3943" s="40" t="str">
        <f>IF(ISERROR(VLOOKUP(B3943,Failures!$A$1:$A$4000,1,FALSE)),"Keep","Delete")</f>
        <v>Keep</v>
      </c>
      <c r="F3943" t="str">
        <f>IF(ISNUMBER(SEARCH("#",B3943)), LEFT(B3943,FIND("#",B3943)-1), B3943)</f>
        <v>Jerry Can</v>
      </c>
      <c r="G3943" s="26">
        <f>IF(ISNUMBER(SEARCH("#",B3943)),VALUE(MID(B3943,FIND("#",B3943)+1,1000)),1)</f>
        <v>1</v>
      </c>
      <c r="H3943" t="str">
        <f>IF(AND(regexMatch(B3943,".*#[0-9]*$"),ISNUMBER(SEARCH("#",B3943))),CONCATENATE(TRIM(F3943)," #",G3943),B3943)</f>
        <v>Jerry Can</v>
      </c>
    </row>
    <row r="3944" spans="1:8" x14ac:dyDescent="0.25">
      <c r="A3944" s="8" t="s">
        <v>1947</v>
      </c>
      <c r="B3944" s="8" t="s">
        <v>1948</v>
      </c>
      <c r="C3944" s="13" t="s">
        <v>145</v>
      </c>
      <c r="D3944" s="15" t="s">
        <v>434</v>
      </c>
      <c r="E3944" s="40" t="str">
        <f>IF(ISERROR(VLOOKUP(B3944,Failures!$A$1:$A$4000,1,FALSE)),"Keep","Delete")</f>
        <v>Keep</v>
      </c>
      <c r="F3944" t="str">
        <f>IF(ISNUMBER(SEARCH("#",B3944)), LEFT(B3944,FIND("#",B3944)-1), B3944)</f>
        <v>Jerry Can</v>
      </c>
      <c r="G3944" s="26">
        <f>IF(ISNUMBER(SEARCH("#",B3944)),VALUE(MID(B3944,FIND("#",B3944)+1,1000)),1)</f>
        <v>1</v>
      </c>
      <c r="H3944" t="str">
        <f>IF(AND(regexMatch(B3944,".*#[0-9]*$"),ISNUMBER(SEARCH("#",B3944))),CONCATENATE(TRIM(F3944)," #",G3944),B3944)</f>
        <v>Jerry Can</v>
      </c>
    </row>
    <row r="3945" spans="1:8" x14ac:dyDescent="0.25">
      <c r="A3945" s="8" t="s">
        <v>2018</v>
      </c>
      <c r="B3945" s="8" t="s">
        <v>2019</v>
      </c>
      <c r="C3945" s="12" t="s">
        <v>5</v>
      </c>
      <c r="D3945" s="15" t="s">
        <v>434</v>
      </c>
      <c r="E3945" s="40" t="str">
        <f>IF(ISERROR(VLOOKUP(B3945,Failures!$A$1:$A$4000,1,FALSE)),"Keep","Delete")</f>
        <v>Keep</v>
      </c>
      <c r="F3945" t="str">
        <f>IF(ISNUMBER(SEARCH("#",B3945)), LEFT(B3945,FIND("#",B3945)-1), B3945)</f>
        <v>Leaf Blower</v>
      </c>
      <c r="G3945" s="26">
        <f>IF(ISNUMBER(SEARCH("#",B3945)),VALUE(MID(B3945,FIND("#",B3945)+1,1000)),1)</f>
        <v>1</v>
      </c>
      <c r="H3945" t="str">
        <f>IF(AND(regexMatch(B3945,".*#[0-9]*$"),ISNUMBER(SEARCH("#",B3945))),CONCATENATE(TRIM(F3945)," #",G3945),B3945)</f>
        <v>Leaf Blower</v>
      </c>
    </row>
    <row r="3946" spans="1:8" x14ac:dyDescent="0.25">
      <c r="A3946" s="8" t="s">
        <v>2039</v>
      </c>
      <c r="B3946" s="8" t="s">
        <v>2040</v>
      </c>
      <c r="C3946" s="12" t="s">
        <v>5</v>
      </c>
      <c r="D3946" s="15" t="s">
        <v>434</v>
      </c>
      <c r="E3946" s="40" t="str">
        <f>IF(ISERROR(VLOOKUP(B3946,Failures!$A$1:$A$4000,1,FALSE)),"Keep","Delete")</f>
        <v>Keep</v>
      </c>
      <c r="F3946" t="str">
        <f>IF(ISNUMBER(SEARCH("#",B3946)), LEFT(B3946,FIND("#",B3946)-1), B3946)</f>
        <v>Litter Picking Tool</v>
      </c>
      <c r="G3946" s="26">
        <f>IF(ISNUMBER(SEARCH("#",B3946)),VALUE(MID(B3946,FIND("#",B3946)+1,1000)),1)</f>
        <v>1</v>
      </c>
      <c r="H3946" t="str">
        <f>IF(AND(regexMatch(B3946,".*#[0-9]*$"),ISNUMBER(SEARCH("#",B3946))),CONCATENATE(TRIM(F3946)," #",G3946),B3946)</f>
        <v>Litter Picking Tool</v>
      </c>
    </row>
    <row r="3947" spans="1:8" x14ac:dyDescent="0.25">
      <c r="A3947" s="8" t="s">
        <v>3211</v>
      </c>
      <c r="B3947" s="8" t="s">
        <v>4002</v>
      </c>
      <c r="C3947" s="13" t="s">
        <v>5</v>
      </c>
      <c r="D3947" s="15" t="s">
        <v>434</v>
      </c>
      <c r="E3947" s="40" t="str">
        <f>IF(ISERROR(VLOOKUP(B3947,Failures!$A$1:$A$4000,1,FALSE)),"Keep","Delete")</f>
        <v>Keep</v>
      </c>
      <c r="F3947" t="str">
        <f>IF(ISNUMBER(SEARCH("#",B3947)), LEFT(B3947,FIND("#",B3947)-1), B3947)</f>
        <v>Mallet</v>
      </c>
      <c r="G3947" s="26">
        <f>IF(ISNUMBER(SEARCH("#",B3947)),VALUE(MID(B3947,FIND("#",B3947)+1,1000)),1)</f>
        <v>1</v>
      </c>
      <c r="H3947" t="str">
        <f>IF(AND(regexMatch(B3947,".*#[0-9]*$"),ISNUMBER(SEARCH("#",B3947))),CONCATENATE(TRIM(F3947)," #",G3947),B3947)</f>
        <v>Mallet</v>
      </c>
    </row>
    <row r="3948" spans="1:8" x14ac:dyDescent="0.25">
      <c r="A3948" s="8" t="s">
        <v>2105</v>
      </c>
      <c r="B3948" s="8" t="s">
        <v>3770</v>
      </c>
      <c r="C3948" s="12" t="s">
        <v>5</v>
      </c>
      <c r="D3948" s="15" t="s">
        <v>434</v>
      </c>
      <c r="E3948" s="40" t="str">
        <f>IF(ISERROR(VLOOKUP(B3948,Failures!$A$1:$A$4000,1,FALSE)),"Keep","Delete")</f>
        <v>Keep</v>
      </c>
      <c r="F3948" t="str">
        <f>IF(ISNUMBER(SEARCH("#",B3948)), LEFT(B3948,FIND("#",B3948)-1), B3948)</f>
        <v>Megaphone</v>
      </c>
      <c r="G3948" s="26">
        <f>IF(ISNUMBER(SEARCH("#",B3948)),VALUE(MID(B3948,FIND("#",B3948)+1,1000)),1)</f>
        <v>1</v>
      </c>
      <c r="H3948" t="str">
        <f>IF(AND(regexMatch(B3948,".*#[0-9]*$"),ISNUMBER(SEARCH("#",B3948))),CONCATENATE(TRIM(F3948)," #",G3948),B3948)</f>
        <v>Megaphone</v>
      </c>
    </row>
    <row r="3949" spans="1:8" x14ac:dyDescent="0.25">
      <c r="A3949" s="8" t="s">
        <v>3212</v>
      </c>
      <c r="B3949" s="8" t="s">
        <v>876</v>
      </c>
      <c r="C3949" s="13" t="s">
        <v>5</v>
      </c>
      <c r="D3949" s="15" t="s">
        <v>434</v>
      </c>
      <c r="E3949" s="40" t="str">
        <f>IF(ISERROR(VLOOKUP(B3949,Failures!$A$1:$A$4000,1,FALSE)),"Keep","Delete")</f>
        <v>Keep</v>
      </c>
      <c r="F3949" t="str">
        <f>IF(ISNUMBER(SEARCH("#",B3949)), LEFT(B3949,FIND("#",B3949)-1), B3949)</f>
        <v>Mop Bucket</v>
      </c>
      <c r="G3949" s="26">
        <f>IF(ISNUMBER(SEARCH("#",B3949)),VALUE(MID(B3949,FIND("#",B3949)+1,1000)),1)</f>
        <v>1</v>
      </c>
      <c r="H3949" t="str">
        <f>IF(AND(regexMatch(B3949,".*#[0-9]*$"),ISNUMBER(SEARCH("#",B3949))),CONCATENATE(TRIM(F3949)," #",G3949),B3949)</f>
        <v>Mop Bucket</v>
      </c>
    </row>
    <row r="3950" spans="1:8" x14ac:dyDescent="0.25">
      <c r="A3950" s="8" t="s">
        <v>3213</v>
      </c>
      <c r="B3950" s="8" t="s">
        <v>4003</v>
      </c>
      <c r="C3950" s="13" t="s">
        <v>5</v>
      </c>
      <c r="D3950" s="15" t="s">
        <v>434</v>
      </c>
      <c r="E3950" s="40" t="str">
        <f>IF(ISERROR(VLOOKUP(B3950,Failures!$A$1:$A$4000,1,FALSE)),"Keep","Delete")</f>
        <v>Keep</v>
      </c>
      <c r="F3950" t="str">
        <f>IF(ISNUMBER(SEARCH("#",B3950)), LEFT(B3950,FIND("#",B3950)-1), B3950)</f>
        <v>Nailgun</v>
      </c>
      <c r="G3950" s="26">
        <f>IF(ISNUMBER(SEARCH("#",B3950)),VALUE(MID(B3950,FIND("#",B3950)+1,1000)),1)</f>
        <v>1</v>
      </c>
      <c r="H3950" t="str">
        <f>IF(AND(regexMatch(B3950,".*#[0-9]*$"),ISNUMBER(SEARCH("#",B3950))),CONCATENATE(TRIM(F3950)," #",G3950),B3950)</f>
        <v>Nailgun</v>
      </c>
    </row>
    <row r="3951" spans="1:8" x14ac:dyDescent="0.25">
      <c r="A3951" s="8" t="s">
        <v>1032</v>
      </c>
      <c r="B3951" s="8" t="s">
        <v>1033</v>
      </c>
      <c r="C3951" s="13" t="s">
        <v>5</v>
      </c>
      <c r="D3951" s="15" t="s">
        <v>434</v>
      </c>
      <c r="E3951" s="40" t="str">
        <f>IF(ISERROR(VLOOKUP(B3951,Failures!$A$1:$A$4000,1,FALSE)),"Keep","Delete")</f>
        <v>Keep</v>
      </c>
      <c r="F3951" t="str">
        <f>IF(ISNUMBER(SEARCH("#",B3951)), LEFT(B3951,FIND("#",B3951)-1), B3951)</f>
        <v>Padlock</v>
      </c>
      <c r="G3951" s="26">
        <f>IF(ISNUMBER(SEARCH("#",B3951)),VALUE(MID(B3951,FIND("#",B3951)+1,1000)),1)</f>
        <v>1</v>
      </c>
      <c r="H3951" t="str">
        <f>IF(AND(regexMatch(B3951,".*#[0-9]*$"),ISNUMBER(SEARCH("#",B3951))),CONCATENATE(TRIM(F3951)," #",G3951),B3951)</f>
        <v>Padlock</v>
      </c>
    </row>
    <row r="3952" spans="1:8" x14ac:dyDescent="0.25">
      <c r="A3952" s="8" t="s">
        <v>2283</v>
      </c>
      <c r="B3952" s="8" t="s">
        <v>2284</v>
      </c>
      <c r="C3952" s="13" t="s">
        <v>5</v>
      </c>
      <c r="D3952" s="15" t="s">
        <v>434</v>
      </c>
      <c r="E3952" s="40" t="str">
        <f>IF(ISERROR(VLOOKUP(B3952,Failures!$A$1:$A$4000,1,FALSE)),"Keep","Delete")</f>
        <v>Keep</v>
      </c>
      <c r="F3952" t="str">
        <f>IF(ISNUMBER(SEARCH("#",B3952)), LEFT(B3952,FIND("#",B3952)-1), B3952)</f>
        <v xml:space="preserve">Paint Brush </v>
      </c>
      <c r="G3952" s="26">
        <f>IF(ISNUMBER(SEARCH("#",B3952)),VALUE(MID(B3952,FIND("#",B3952)+1,1000)),1)</f>
        <v>1</v>
      </c>
      <c r="H3952" t="str">
        <f>IF(AND(regexMatch(B3952,".*#[0-9]*$"),ISNUMBER(SEARCH("#",B3952))),CONCATENATE(TRIM(F3952)," #",G3952),B3952)</f>
        <v>Paint Brush #1</v>
      </c>
    </row>
    <row r="3953" spans="1:8" x14ac:dyDescent="0.25">
      <c r="A3953" s="8" t="s">
        <v>2285</v>
      </c>
      <c r="B3953" s="8" t="s">
        <v>2286</v>
      </c>
      <c r="C3953" s="13" t="s">
        <v>5</v>
      </c>
      <c r="D3953" s="15" t="s">
        <v>434</v>
      </c>
      <c r="E3953" s="40" t="str">
        <f>IF(ISERROR(VLOOKUP(B3953,Failures!$A$1:$A$4000,1,FALSE)),"Keep","Delete")</f>
        <v>Keep</v>
      </c>
      <c r="F3953" t="str">
        <f>IF(ISNUMBER(SEARCH("#",B3953)), LEFT(B3953,FIND("#",B3953)-1), B3953)</f>
        <v xml:space="preserve">Paint Brush </v>
      </c>
      <c r="G3953" s="26">
        <f>IF(ISNUMBER(SEARCH("#",B3953)),VALUE(MID(B3953,FIND("#",B3953)+1,1000)),1)</f>
        <v>2</v>
      </c>
      <c r="H3953" t="str">
        <f>IF(AND(regexMatch(B3953,".*#[0-9]*$"),ISNUMBER(SEARCH("#",B3953))),CONCATENATE(TRIM(F3953)," #",G3953),B3953)</f>
        <v>Paint Brush #2</v>
      </c>
    </row>
    <row r="3954" spans="1:8" x14ac:dyDescent="0.25">
      <c r="A3954" s="8" t="s">
        <v>2287</v>
      </c>
      <c r="B3954" s="8" t="s">
        <v>2288</v>
      </c>
      <c r="C3954" s="13" t="s">
        <v>5</v>
      </c>
      <c r="D3954" s="15" t="s">
        <v>434</v>
      </c>
      <c r="E3954" s="40" t="str">
        <f>IF(ISERROR(VLOOKUP(B3954,Failures!$A$1:$A$4000,1,FALSE)),"Keep","Delete")</f>
        <v>Keep</v>
      </c>
      <c r="F3954" t="str">
        <f>IF(ISNUMBER(SEARCH("#",B3954)), LEFT(B3954,FIND("#",B3954)-1), B3954)</f>
        <v xml:space="preserve">Paint Brush </v>
      </c>
      <c r="G3954" s="26">
        <f>IF(ISNUMBER(SEARCH("#",B3954)),VALUE(MID(B3954,FIND("#",B3954)+1,1000)),1)</f>
        <v>3</v>
      </c>
      <c r="H3954" t="str">
        <f>IF(AND(regexMatch(B3954,".*#[0-9]*$"),ISNUMBER(SEARCH("#",B3954))),CONCATENATE(TRIM(F3954)," #",G3954),B3954)</f>
        <v>Paint Brush #3</v>
      </c>
    </row>
    <row r="3955" spans="1:8" x14ac:dyDescent="0.25">
      <c r="A3955" s="8" t="s">
        <v>2289</v>
      </c>
      <c r="B3955" s="8" t="s">
        <v>2290</v>
      </c>
      <c r="C3955" s="13" t="s">
        <v>5</v>
      </c>
      <c r="D3955" s="15" t="s">
        <v>434</v>
      </c>
      <c r="E3955" s="40" t="str">
        <f>IF(ISERROR(VLOOKUP(B3955,Failures!$A$1:$A$4000,1,FALSE)),"Keep","Delete")</f>
        <v>Keep</v>
      </c>
      <c r="F3955" t="str">
        <f>IF(ISNUMBER(SEARCH("#",B3955)), LEFT(B3955,FIND("#",B3955)-1), B3955)</f>
        <v xml:space="preserve">Paint Brush </v>
      </c>
      <c r="G3955" s="26">
        <f>IF(ISNUMBER(SEARCH("#",B3955)),VALUE(MID(B3955,FIND("#",B3955)+1,1000)),1)</f>
        <v>4</v>
      </c>
      <c r="H3955" t="str">
        <f>IF(AND(regexMatch(B3955,".*#[0-9]*$"),ISNUMBER(SEARCH("#",B3955))),CONCATENATE(TRIM(F3955)," #",G3955),B3955)</f>
        <v>Paint Brush #4</v>
      </c>
    </row>
    <row r="3956" spans="1:8" x14ac:dyDescent="0.25">
      <c r="A3956" s="8" t="s">
        <v>2291</v>
      </c>
      <c r="B3956" s="8" t="s">
        <v>2292</v>
      </c>
      <c r="C3956" s="13" t="s">
        <v>5</v>
      </c>
      <c r="D3956" s="15" t="s">
        <v>434</v>
      </c>
      <c r="E3956" s="40" t="str">
        <f>IF(ISERROR(VLOOKUP(B3956,Failures!$A$1:$A$4000,1,FALSE)),"Keep","Delete")</f>
        <v>Keep</v>
      </c>
      <c r="F3956" t="str">
        <f>IF(ISNUMBER(SEARCH("#",B3956)), LEFT(B3956,FIND("#",B3956)-1), B3956)</f>
        <v xml:space="preserve">Paint Brush </v>
      </c>
      <c r="G3956" s="26">
        <f>IF(ISNUMBER(SEARCH("#",B3956)),VALUE(MID(B3956,FIND("#",B3956)+1,1000)),1)</f>
        <v>5</v>
      </c>
      <c r="H3956" t="str">
        <f>IF(AND(regexMatch(B3956,".*#[0-9]*$"),ISNUMBER(SEARCH("#",B3956))),CONCATENATE(TRIM(F3956)," #",G3956),B3956)</f>
        <v>Paint Brush #5</v>
      </c>
    </row>
    <row r="3957" spans="1:8" x14ac:dyDescent="0.25">
      <c r="A3957" s="8" t="s">
        <v>2293</v>
      </c>
      <c r="B3957" s="8" t="s">
        <v>2294</v>
      </c>
      <c r="C3957" s="13" t="s">
        <v>5</v>
      </c>
      <c r="D3957" s="15" t="s">
        <v>434</v>
      </c>
      <c r="E3957" s="40" t="str">
        <f>IF(ISERROR(VLOOKUP(B3957,Failures!$A$1:$A$4000,1,FALSE)),"Keep","Delete")</f>
        <v>Keep</v>
      </c>
      <c r="F3957" t="str">
        <f>IF(ISNUMBER(SEARCH("#",B3957)), LEFT(B3957,FIND("#",B3957)-1), B3957)</f>
        <v>Paint Roller</v>
      </c>
      <c r="G3957" s="26">
        <f>IF(ISNUMBER(SEARCH("#",B3957)),VALUE(MID(B3957,FIND("#",B3957)+1,1000)),1)</f>
        <v>1</v>
      </c>
      <c r="H3957" t="str">
        <f>IF(AND(regexMatch(B3957,".*#[0-9]*$"),ISNUMBER(SEARCH("#",B3957))),CONCATENATE(TRIM(F3957)," #",G3957),B3957)</f>
        <v>Paint Roller</v>
      </c>
    </row>
    <row r="3958" spans="1:8" x14ac:dyDescent="0.25">
      <c r="A3958" s="8" t="s">
        <v>5800</v>
      </c>
      <c r="B3958" s="8" t="s">
        <v>10127</v>
      </c>
      <c r="C3958" s="8"/>
      <c r="D3958" s="15" t="s">
        <v>434</v>
      </c>
      <c r="E3958" s="40" t="str">
        <f>IF(ISERROR(VLOOKUP(B3958,Failures!$A$1:$A$4000,1,FALSE)),"Keep","Delete")</f>
        <v>Keep</v>
      </c>
      <c r="F3958" t="str">
        <f>IF(ISNUMBER(SEARCH("#",B3958)), LEFT(B3958,FIND("#",B3958)-1), B3958)</f>
        <v xml:space="preserve">Pallet Truck </v>
      </c>
      <c r="G3958" s="26">
        <v>1</v>
      </c>
      <c r="H3958" t="str">
        <f>IF(AND(regexMatch(B3958,".*#[0-9]*$"),ISNUMBER(SEARCH("#",B3958))),CONCATENATE(TRIM(F3958)," #",G3958),B3958)</f>
        <v>Pallet Truck #1</v>
      </c>
    </row>
    <row r="3959" spans="1:8" x14ac:dyDescent="0.25">
      <c r="A3959" s="8" t="s">
        <v>3214</v>
      </c>
      <c r="B3959" s="8" t="s">
        <v>4004</v>
      </c>
      <c r="C3959" s="13" t="s">
        <v>5</v>
      </c>
      <c r="D3959" s="15" t="s">
        <v>434</v>
      </c>
      <c r="E3959" s="40" t="str">
        <f>IF(ISERROR(VLOOKUP(B3959,Failures!$A$1:$A$4000,1,FALSE)),"Keep","Delete")</f>
        <v>Keep</v>
      </c>
      <c r="F3959" t="str">
        <f>IF(ISNUMBER(SEARCH("#",B3959)), LEFT(B3959,FIND("#",B3959)-1), B3959)</f>
        <v>Pickaxe</v>
      </c>
      <c r="G3959" s="26">
        <f>IF(ISNUMBER(SEARCH("#",B3959)),VALUE(MID(B3959,FIND("#",B3959)+1,1000)),1)</f>
        <v>1</v>
      </c>
      <c r="H3959" t="str">
        <f>IF(AND(regexMatch(B3959,".*#[0-9]*$"),ISNUMBER(SEARCH("#",B3959))),CONCATENATE(TRIM(F3959)," #",G3959),B3959)</f>
        <v>Pickaxe</v>
      </c>
    </row>
    <row r="3960" spans="1:8" x14ac:dyDescent="0.25">
      <c r="A3960" s="8" t="s">
        <v>2438</v>
      </c>
      <c r="B3960" s="8" t="s">
        <v>2439</v>
      </c>
      <c r="C3960" s="13" t="s">
        <v>5</v>
      </c>
      <c r="D3960" s="15" t="s">
        <v>434</v>
      </c>
      <c r="E3960" s="40" t="str">
        <f>IF(ISERROR(VLOOKUP(B3960,Failures!$A$1:$A$4000,1,FALSE)),"Keep","Delete")</f>
        <v>Keep</v>
      </c>
      <c r="F3960" t="str">
        <f>IF(ISNUMBER(SEARCH("#",B3960)), LEFT(B3960,FIND("#",B3960)-1), B3960)</f>
        <v>Piercing Gun</v>
      </c>
      <c r="G3960" s="26">
        <f>IF(ISNUMBER(SEARCH("#",B3960)),VALUE(MID(B3960,FIND("#",B3960)+1,1000)),1)</f>
        <v>1</v>
      </c>
      <c r="H3960" t="str">
        <f>IF(AND(regexMatch(B3960,".*#[0-9]*$"),ISNUMBER(SEARCH("#",B3960))),CONCATENATE(TRIM(F3960)," #",G3960),B3960)</f>
        <v>Piercing Gun</v>
      </c>
    </row>
    <row r="3961" spans="1:8" x14ac:dyDescent="0.25">
      <c r="A3961" s="8" t="s">
        <v>2475</v>
      </c>
      <c r="B3961" s="8" t="s">
        <v>3833</v>
      </c>
      <c r="C3961" s="13" t="s">
        <v>5</v>
      </c>
      <c r="D3961" s="15" t="s">
        <v>434</v>
      </c>
      <c r="E3961" s="40" t="str">
        <f>IF(ISERROR(VLOOKUP(B3961,Failures!$A$1:$A$4000,1,FALSE)),"Keep","Delete")</f>
        <v>Keep</v>
      </c>
      <c r="F3961" t="str">
        <f>IF(ISNUMBER(SEARCH("#",B3961)), LEFT(B3961,FIND("#",B3961)-1), B3961)</f>
        <v>Pliers</v>
      </c>
      <c r="G3961" s="26">
        <f>IF(ISNUMBER(SEARCH("#",B3961)),VALUE(MID(B3961,FIND("#",B3961)+1,1000)),1)</f>
        <v>1</v>
      </c>
      <c r="H3961" t="str">
        <f>IF(AND(regexMatch(B3961,".*#[0-9]*$"),ISNUMBER(SEARCH("#",B3961))),CONCATENATE(TRIM(F3961)," #",G3961),B3961)</f>
        <v>Pliers</v>
      </c>
    </row>
    <row r="3962" spans="1:8" x14ac:dyDescent="0.25">
      <c r="A3962" s="8" t="s">
        <v>3215</v>
      </c>
      <c r="B3962" s="8" t="s">
        <v>3833</v>
      </c>
      <c r="C3962" s="13" t="s">
        <v>5</v>
      </c>
      <c r="D3962" s="15" t="s">
        <v>434</v>
      </c>
      <c r="E3962" s="40" t="str">
        <f>IF(ISERROR(VLOOKUP(B3962,Failures!$A$1:$A$4000,1,FALSE)),"Keep","Delete")</f>
        <v>Keep</v>
      </c>
      <c r="F3962" t="str">
        <f>IF(ISNUMBER(SEARCH("#",B3962)), LEFT(B3962,FIND("#",B3962)-1), B3962)</f>
        <v>Pliers</v>
      </c>
      <c r="G3962" s="26">
        <f>IF(ISNUMBER(SEARCH("#",B3962)),VALUE(MID(B3962,FIND("#",B3962)+1,1000)),1)</f>
        <v>1</v>
      </c>
      <c r="H3962" t="str">
        <f>IF(AND(regexMatch(B3962,".*#[0-9]*$"),ISNUMBER(SEARCH("#",B3962))),CONCATENATE(TRIM(F3962)," #",G3962),B3962)</f>
        <v>Pliers</v>
      </c>
    </row>
    <row r="3963" spans="1:8" x14ac:dyDescent="0.25">
      <c r="A3963" s="8" t="s">
        <v>3216</v>
      </c>
      <c r="B3963" s="8" t="s">
        <v>4005</v>
      </c>
      <c r="C3963" s="13" t="s">
        <v>5</v>
      </c>
      <c r="D3963" s="15" t="s">
        <v>434</v>
      </c>
      <c r="E3963" s="40" t="str">
        <f>IF(ISERROR(VLOOKUP(B3963,Failures!$A$1:$A$4000,1,FALSE)),"Keep","Delete")</f>
        <v>Keep</v>
      </c>
      <c r="F3963" t="str">
        <f>IF(ISNUMBER(SEARCH("#",B3963)), LEFT(B3963,FIND("#",B3963)-1), B3963)</f>
        <v xml:space="preserve">Rake </v>
      </c>
      <c r="G3963" s="26">
        <f>IF(ISNUMBER(SEARCH("#",B3963)),VALUE(MID(B3963,FIND("#",B3963)+1,1000)),1)</f>
        <v>1</v>
      </c>
      <c r="H3963" t="str">
        <f>IF(AND(regexMatch(B3963,".*#[0-9]*$"),ISNUMBER(SEARCH("#",B3963))),CONCATENATE(TRIM(F3963)," #",G3963),B3963)</f>
        <v>Rake #1</v>
      </c>
    </row>
    <row r="3964" spans="1:8" x14ac:dyDescent="0.25">
      <c r="A3964" s="8" t="s">
        <v>3217</v>
      </c>
      <c r="B3964" s="8" t="s">
        <v>4006</v>
      </c>
      <c r="C3964" s="13" t="s">
        <v>5</v>
      </c>
      <c r="D3964" s="15" t="s">
        <v>434</v>
      </c>
      <c r="E3964" s="40" t="str">
        <f>IF(ISERROR(VLOOKUP(B3964,Failures!$A$1:$A$4000,1,FALSE)),"Keep","Delete")</f>
        <v>Keep</v>
      </c>
      <c r="F3964" t="str">
        <f>IF(ISNUMBER(SEARCH("#",B3964)), LEFT(B3964,FIND("#",B3964)-1), B3964)</f>
        <v xml:space="preserve">Rake </v>
      </c>
      <c r="G3964" s="26">
        <f>IF(ISNUMBER(SEARCH("#",B3964)),VALUE(MID(B3964,FIND("#",B3964)+1,1000)),1)</f>
        <v>2</v>
      </c>
      <c r="H3964" t="str">
        <f>IF(AND(regexMatch(B3964,".*#[0-9]*$"),ISNUMBER(SEARCH("#",B3964))),CONCATENATE(TRIM(F3964)," #",G3964),B3964)</f>
        <v>Rake #2</v>
      </c>
    </row>
    <row r="3965" spans="1:8" x14ac:dyDescent="0.25">
      <c r="A3965" s="28" t="s">
        <v>7477</v>
      </c>
      <c r="B3965" s="25" t="s">
        <v>10614</v>
      </c>
      <c r="C3965" s="8"/>
      <c r="D3965" s="15" t="s">
        <v>434</v>
      </c>
      <c r="E3965" s="40" t="str">
        <f>IF(ISERROR(VLOOKUP(B3965,Failures!$A$1:$A$4000,1,FALSE)),"Keep","Delete")</f>
        <v>Keep</v>
      </c>
      <c r="F3965" t="str">
        <f>IF(ISNUMBER(SEARCH("#",B3965)), LEFT(B3965,FIND("#",B3965)-1), B3965)</f>
        <v>Remote Control Handset</v>
      </c>
      <c r="G3965" s="26">
        <f>IF(ISNUMBER(SEARCH("#",B3965)),VALUE(MID(B3965,FIND("#",B3965)+1,1000)),1)</f>
        <v>1</v>
      </c>
      <c r="H3965" t="str">
        <f>IF(AND(regexMatch(B3965,".*#[0-9]*$"),ISNUMBER(SEARCH("#",B3965))),CONCATENATE(TRIM(F3965)," #",G3965),B3965)</f>
        <v>Remote Control Handset</v>
      </c>
    </row>
    <row r="3966" spans="1:8" x14ac:dyDescent="0.25">
      <c r="A3966" s="8" t="s">
        <v>2736</v>
      </c>
      <c r="B3966" s="8" t="s">
        <v>2737</v>
      </c>
      <c r="C3966" s="13" t="s">
        <v>5</v>
      </c>
      <c r="D3966" s="15" t="s">
        <v>434</v>
      </c>
      <c r="E3966" s="40" t="str">
        <f>IF(ISERROR(VLOOKUP(B3966,Failures!$A$1:$A$4000,1,FALSE)),"Keep","Delete")</f>
        <v>Keep</v>
      </c>
      <c r="F3966" t="str">
        <f>IF(ISNUMBER(SEARCH("#",B3966)), LEFT(B3966,FIND("#",B3966)-1), B3966)</f>
        <v>Safety Glasses</v>
      </c>
      <c r="G3966" s="26">
        <f>IF(ISNUMBER(SEARCH("#",B3966)),VALUE(MID(B3966,FIND("#",B3966)+1,1000)),1)</f>
        <v>1</v>
      </c>
      <c r="H3966" t="str">
        <f>IF(AND(regexMatch(B3966,".*#[0-9]*$"),ISNUMBER(SEARCH("#",B3966))),CONCATENATE(TRIM(F3966)," #",G3966),B3966)</f>
        <v>Safety Glasses</v>
      </c>
    </row>
    <row r="3967" spans="1:8" x14ac:dyDescent="0.25">
      <c r="A3967" s="8" t="s">
        <v>3218</v>
      </c>
      <c r="B3967" s="8" t="s">
        <v>4007</v>
      </c>
      <c r="C3967" s="13" t="s">
        <v>5</v>
      </c>
      <c r="D3967" s="15" t="s">
        <v>434</v>
      </c>
      <c r="E3967" s="40" t="str">
        <f>IF(ISERROR(VLOOKUP(B3967,Failures!$A$1:$A$4000,1,FALSE)),"Keep","Delete")</f>
        <v>Keep</v>
      </c>
      <c r="F3967" t="str">
        <f>IF(ISNUMBER(SEARCH("#",B3967)), LEFT(B3967,FIND("#",B3967)-1), B3967)</f>
        <v>Sawhorse</v>
      </c>
      <c r="G3967" s="26">
        <f>IF(ISNUMBER(SEARCH("#",B3967)),VALUE(MID(B3967,FIND("#",B3967)+1,1000)),1)</f>
        <v>1</v>
      </c>
      <c r="H3967" t="str">
        <f>IF(AND(regexMatch(B3967,".*#[0-9]*$"),ISNUMBER(SEARCH("#",B3967))),CONCATENATE(TRIM(F3967)," #",G3967),B3967)</f>
        <v>Sawhorse</v>
      </c>
    </row>
    <row r="3968" spans="1:8" x14ac:dyDescent="0.25">
      <c r="A3968" s="8" t="s">
        <v>2764</v>
      </c>
      <c r="B3968" s="8" t="s">
        <v>2765</v>
      </c>
      <c r="C3968" s="13" t="s">
        <v>5</v>
      </c>
      <c r="D3968" s="15" t="s">
        <v>434</v>
      </c>
      <c r="E3968" s="40" t="str">
        <f>IF(ISERROR(VLOOKUP(B3968,Failures!$A$1:$A$4000,1,FALSE)),"Keep","Delete")</f>
        <v>Keep</v>
      </c>
      <c r="F3968" t="str">
        <f>IF(ISNUMBER(SEARCH("#",B3968)), LEFT(B3968,FIND("#",B3968)-1), B3968)</f>
        <v>Scalpel</v>
      </c>
      <c r="G3968" s="26">
        <f>IF(ISNUMBER(SEARCH("#",B3968)),VALUE(MID(B3968,FIND("#",B3968)+1,1000)),1)</f>
        <v>1</v>
      </c>
      <c r="H3968" t="str">
        <f>IF(AND(regexMatch(B3968,".*#[0-9]*$"),ISNUMBER(SEARCH("#",B3968))),CONCATENATE(TRIM(F3968)," #",G3968),B3968)</f>
        <v>Scalpel</v>
      </c>
    </row>
    <row r="3969" spans="1:8" x14ac:dyDescent="0.25">
      <c r="A3969" s="8" t="s">
        <v>1101</v>
      </c>
      <c r="B3969" s="8" t="s">
        <v>1102</v>
      </c>
      <c r="C3969" s="13" t="s">
        <v>5</v>
      </c>
      <c r="D3969" s="15" t="s">
        <v>434</v>
      </c>
      <c r="E3969" s="40" t="str">
        <f>IF(ISERROR(VLOOKUP(B3969,Failures!$A$1:$A$4000,1,FALSE)),"Keep","Delete")</f>
        <v>Keep</v>
      </c>
      <c r="F3969" t="str">
        <f>IF(ISNUMBER(SEARCH("#",B3969)), LEFT(B3969,FIND("#",B3969)-1), B3969)</f>
        <v>Scissors</v>
      </c>
      <c r="G3969" s="26">
        <f>IF(ISNUMBER(SEARCH("#",B3969)),VALUE(MID(B3969,FIND("#",B3969)+1,1000)),1)</f>
        <v>1</v>
      </c>
      <c r="H3969" t="str">
        <f>IF(AND(regexMatch(B3969,".*#[0-9]*$"),ISNUMBER(SEARCH("#",B3969))),CONCATENATE(TRIM(F3969)," #",G3969),B3969)</f>
        <v>Scissors</v>
      </c>
    </row>
    <row r="3970" spans="1:8" x14ac:dyDescent="0.25">
      <c r="A3970" s="8" t="s">
        <v>3219</v>
      </c>
      <c r="B3970" s="8" t="s">
        <v>4008</v>
      </c>
      <c r="C3970" s="13" t="s">
        <v>5</v>
      </c>
      <c r="D3970" s="15" t="s">
        <v>434</v>
      </c>
      <c r="E3970" s="40" t="str">
        <f>IF(ISERROR(VLOOKUP(B3970,Failures!$A$1:$A$4000,1,FALSE)),"Keep","Delete")</f>
        <v>Keep</v>
      </c>
      <c r="F3970" t="str">
        <f>IF(ISNUMBER(SEARCH("#",B3970)), LEFT(B3970,FIND("#",B3970)-1), B3970)</f>
        <v xml:space="preserve">Screwdriver </v>
      </c>
      <c r="G3970" s="26">
        <f>IF(ISNUMBER(SEARCH("#",B3970)),VALUE(MID(B3970,FIND("#",B3970)+1,1000)),1)</f>
        <v>1</v>
      </c>
      <c r="H3970" t="str">
        <f>IF(AND(regexMatch(B3970,".*#[0-9]*$"),ISNUMBER(SEARCH("#",B3970))),CONCATENATE(TRIM(F3970)," #",G3970),B3970)</f>
        <v>Screwdriver #1</v>
      </c>
    </row>
    <row r="3971" spans="1:8" x14ac:dyDescent="0.25">
      <c r="A3971" s="8" t="s">
        <v>3220</v>
      </c>
      <c r="B3971" s="8" t="s">
        <v>4009</v>
      </c>
      <c r="C3971" s="13" t="s">
        <v>5</v>
      </c>
      <c r="D3971" s="15" t="s">
        <v>434</v>
      </c>
      <c r="E3971" s="40" t="str">
        <f>IF(ISERROR(VLOOKUP(B3971,Failures!$A$1:$A$4000,1,FALSE)),"Keep","Delete")</f>
        <v>Keep</v>
      </c>
      <c r="F3971" t="str">
        <f>IF(ISNUMBER(SEARCH("#",B3971)), LEFT(B3971,FIND("#",B3971)-1), B3971)</f>
        <v xml:space="preserve">Screwdriver </v>
      </c>
      <c r="G3971" s="26">
        <f>IF(ISNUMBER(SEARCH("#",B3971)),VALUE(MID(B3971,FIND("#",B3971)+1,1000)),1)</f>
        <v>2</v>
      </c>
      <c r="H3971" t="str">
        <f>IF(AND(regexMatch(B3971,".*#[0-9]*$"),ISNUMBER(SEARCH("#",B3971))),CONCATENATE(TRIM(F3971)," #",G3971),B3971)</f>
        <v>Screwdriver #2</v>
      </c>
    </row>
    <row r="3972" spans="1:8" x14ac:dyDescent="0.25">
      <c r="A3972" s="8" t="s">
        <v>3221</v>
      </c>
      <c r="B3972" s="8" t="s">
        <v>4010</v>
      </c>
      <c r="C3972" s="13" t="s">
        <v>5</v>
      </c>
      <c r="D3972" s="15" t="s">
        <v>434</v>
      </c>
      <c r="E3972" s="40" t="str">
        <f>IF(ISERROR(VLOOKUP(B3972,Failures!$A$1:$A$4000,1,FALSE)),"Keep","Delete")</f>
        <v>Keep</v>
      </c>
      <c r="F3972" t="str">
        <f>IF(ISNUMBER(SEARCH("#",B3972)), LEFT(B3972,FIND("#",B3972)-1), B3972)</f>
        <v xml:space="preserve">Screwdriver </v>
      </c>
      <c r="G3972" s="26">
        <f>IF(ISNUMBER(SEARCH("#",B3972)),VALUE(MID(B3972,FIND("#",B3972)+1,1000)),1)</f>
        <v>3</v>
      </c>
      <c r="H3972" t="str">
        <f>IF(AND(regexMatch(B3972,".*#[0-9]*$"),ISNUMBER(SEARCH("#",B3972))),CONCATENATE(TRIM(F3972)," #",G3972),B3972)</f>
        <v>Screwdriver #3</v>
      </c>
    </row>
    <row r="3973" spans="1:8" x14ac:dyDescent="0.25">
      <c r="A3973" s="8" t="s">
        <v>3222</v>
      </c>
      <c r="B3973" s="8" t="s">
        <v>4011</v>
      </c>
      <c r="C3973" s="13" t="s">
        <v>5</v>
      </c>
      <c r="D3973" s="15" t="s">
        <v>434</v>
      </c>
      <c r="E3973" s="40" t="str">
        <f>IF(ISERROR(VLOOKUP(B3973,Failures!$A$1:$A$4000,1,FALSE)),"Keep","Delete")</f>
        <v>Keep</v>
      </c>
      <c r="F3973" t="str">
        <f>IF(ISNUMBER(SEARCH("#",B3973)), LEFT(B3973,FIND("#",B3973)-1), B3973)</f>
        <v xml:space="preserve">Shovel </v>
      </c>
      <c r="G3973" s="26">
        <f>IF(ISNUMBER(SEARCH("#",B3973)),VALUE(MID(B3973,FIND("#",B3973)+1,1000)),1)</f>
        <v>1</v>
      </c>
      <c r="H3973" t="str">
        <f>IF(AND(regexMatch(B3973,".*#[0-9]*$"),ISNUMBER(SEARCH("#",B3973))),CONCATENATE(TRIM(F3973)," #",G3973),B3973)</f>
        <v>Shovel #1</v>
      </c>
    </row>
    <row r="3974" spans="1:8" x14ac:dyDescent="0.25">
      <c r="A3974" s="8" t="s">
        <v>3224</v>
      </c>
      <c r="B3974" s="8" t="s">
        <v>4012</v>
      </c>
      <c r="C3974" s="13" t="s">
        <v>5</v>
      </c>
      <c r="D3974" s="15" t="s">
        <v>434</v>
      </c>
      <c r="E3974" s="40" t="str">
        <f>IF(ISERROR(VLOOKUP(B3974,Failures!$A$1:$A$4000,1,FALSE)),"Keep","Delete")</f>
        <v>Keep</v>
      </c>
      <c r="F3974" t="str">
        <f>IF(ISNUMBER(SEARCH("#",B3974)), LEFT(B3974,FIND("#",B3974)-1), B3974)</f>
        <v xml:space="preserve">Shovel </v>
      </c>
      <c r="G3974" s="26">
        <f>IF(ISNUMBER(SEARCH("#",B3974)),VALUE(MID(B3974,FIND("#",B3974)+1,1000)),1)</f>
        <v>2</v>
      </c>
      <c r="H3974" t="str">
        <f>IF(AND(regexMatch(B3974,".*#[0-9]*$"),ISNUMBER(SEARCH("#",B3974))),CONCATENATE(TRIM(F3974)," #",G3974),B3974)</f>
        <v>Shovel #2</v>
      </c>
    </row>
    <row r="3975" spans="1:8" x14ac:dyDescent="0.25">
      <c r="A3975" s="8" t="s">
        <v>3225</v>
      </c>
      <c r="B3975" s="8" t="s">
        <v>4013</v>
      </c>
      <c r="C3975" s="13" t="s">
        <v>5</v>
      </c>
      <c r="D3975" s="15" t="s">
        <v>434</v>
      </c>
      <c r="E3975" s="40" t="str">
        <f>IF(ISERROR(VLOOKUP(B3975,Failures!$A$1:$A$4000,1,FALSE)),"Keep","Delete")</f>
        <v>Keep</v>
      </c>
      <c r="F3975" t="str">
        <f>IF(ISNUMBER(SEARCH("#",B3975)), LEFT(B3975,FIND("#",B3975)-1), B3975)</f>
        <v xml:space="preserve">Shovel </v>
      </c>
      <c r="G3975" s="26">
        <f>IF(ISNUMBER(SEARCH("#",B3975)),VALUE(MID(B3975,FIND("#",B3975)+1,1000)),1)</f>
        <v>3</v>
      </c>
      <c r="H3975" t="str">
        <f>IF(AND(regexMatch(B3975,".*#[0-9]*$"),ISNUMBER(SEARCH("#",B3975))),CONCATENATE(TRIM(F3975)," #",G3975),B3975)</f>
        <v>Shovel #3</v>
      </c>
    </row>
    <row r="3976" spans="1:8" x14ac:dyDescent="0.25">
      <c r="A3976" s="8" t="s">
        <v>3226</v>
      </c>
      <c r="B3976" s="8" t="s">
        <v>4014</v>
      </c>
      <c r="C3976" s="13" t="s">
        <v>5</v>
      </c>
      <c r="D3976" s="15" t="s">
        <v>434</v>
      </c>
      <c r="E3976" s="40" t="str">
        <f>IF(ISERROR(VLOOKUP(B3976,Failures!$A$1:$A$4000,1,FALSE)),"Keep","Delete")</f>
        <v>Keep</v>
      </c>
      <c r="F3976" t="str">
        <f>IF(ISNUMBER(SEARCH("#",B3976)), LEFT(B3976,FIND("#",B3976)-1), B3976)</f>
        <v xml:space="preserve">Shovel </v>
      </c>
      <c r="G3976" s="26">
        <f>IF(ISNUMBER(SEARCH("#",B3976)),VALUE(MID(B3976,FIND("#",B3976)+1,1000)),1)</f>
        <v>4</v>
      </c>
      <c r="H3976" t="str">
        <f>IF(AND(regexMatch(B3976,".*#[0-9]*$"),ISNUMBER(SEARCH("#",B3976))),CONCATENATE(TRIM(F3976)," #",G3976),B3976)</f>
        <v>Shovel #4</v>
      </c>
    </row>
    <row r="3977" spans="1:8" x14ac:dyDescent="0.25">
      <c r="A3977" s="8" t="s">
        <v>3227</v>
      </c>
      <c r="B3977" s="8" t="s">
        <v>4015</v>
      </c>
      <c r="C3977" s="13" t="s">
        <v>5</v>
      </c>
      <c r="D3977" s="15" t="s">
        <v>434</v>
      </c>
      <c r="E3977" s="40" t="str">
        <f>IF(ISERROR(VLOOKUP(B3977,Failures!$A$1:$A$4000,1,FALSE)),"Keep","Delete")</f>
        <v>Keep</v>
      </c>
      <c r="F3977" t="str">
        <f>IF(ISNUMBER(SEARCH("#",B3977)), LEFT(B3977,FIND("#",B3977)-1), B3977)</f>
        <v xml:space="preserve">Shovel </v>
      </c>
      <c r="G3977" s="26">
        <f>IF(ISNUMBER(SEARCH("#",B3977)),VALUE(MID(B3977,FIND("#",B3977)+1,1000)),1)</f>
        <v>5</v>
      </c>
      <c r="H3977" t="str">
        <f>IF(AND(regexMatch(B3977,".*#[0-9]*$"),ISNUMBER(SEARCH("#",B3977))),CONCATENATE(TRIM(F3977)," #",G3977),B3977)</f>
        <v>Shovel #5</v>
      </c>
    </row>
    <row r="3978" spans="1:8" x14ac:dyDescent="0.25">
      <c r="A3978" s="8" t="s">
        <v>3223</v>
      </c>
      <c r="B3978" s="8" t="s">
        <v>4016</v>
      </c>
      <c r="C3978" s="13" t="s">
        <v>5</v>
      </c>
      <c r="D3978" s="15" t="s">
        <v>434</v>
      </c>
      <c r="E3978" s="40" t="str">
        <f>IF(ISERROR(VLOOKUP(B3978,Failures!$A$1:$A$4000,1,FALSE)),"Keep","Delete")</f>
        <v>Keep</v>
      </c>
      <c r="F3978" t="str">
        <f>IF(ISNUMBER(SEARCH("#",B3978)), LEFT(B3978,FIND("#",B3978)-1), B3978)</f>
        <v xml:space="preserve">Shovel </v>
      </c>
      <c r="G3978" s="26">
        <f>IF(ISNUMBER(SEARCH("#",B3978)),VALUE(MID(B3978,FIND("#",B3978)+1,1000)),1)</f>
        <v>6</v>
      </c>
      <c r="H3978" t="str">
        <f>IF(AND(regexMatch(B3978,".*#[0-9]*$"),ISNUMBER(SEARCH("#",B3978))),CONCATENATE(TRIM(F3978)," #",G3978),B3978)</f>
        <v>Shovel #6</v>
      </c>
    </row>
    <row r="3979" spans="1:8" x14ac:dyDescent="0.25">
      <c r="A3979" s="8" t="s">
        <v>1991</v>
      </c>
      <c r="B3979" s="8" t="s">
        <v>10522</v>
      </c>
      <c r="C3979" s="13" t="s">
        <v>145</v>
      </c>
      <c r="D3979" s="15" t="s">
        <v>434</v>
      </c>
      <c r="E3979" s="40" t="str">
        <f>IF(ISERROR(VLOOKUP(B3979,Failures!$A$1:$A$4000,1,FALSE)),"Keep","Delete")</f>
        <v>Keep</v>
      </c>
      <c r="F3979" t="str">
        <f>IF(ISNUMBER(SEARCH("#",B3979)), LEFT(B3979,FIND("#",B3979)-1), B3979)</f>
        <v xml:space="preserve">Shovel </v>
      </c>
      <c r="G3979" s="26">
        <v>7</v>
      </c>
      <c r="H3979" t="str">
        <f>IF(AND(regexMatch(B3979,".*#[0-9]*$"),ISNUMBER(SEARCH("#",B3979))),CONCATENATE(TRIM(F3979)," #",G3979),B3979)</f>
        <v>Shovel #7</v>
      </c>
    </row>
    <row r="3980" spans="1:8" x14ac:dyDescent="0.25">
      <c r="A3980" s="8" t="s">
        <v>2832</v>
      </c>
      <c r="B3980" s="8" t="s">
        <v>2833</v>
      </c>
      <c r="C3980" s="13" t="s">
        <v>5</v>
      </c>
      <c r="D3980" s="15" t="s">
        <v>434</v>
      </c>
      <c r="E3980" s="40" t="str">
        <f>IF(ISERROR(VLOOKUP(B3980,Failures!$A$1:$A$4000,1,FALSE)),"Keep","Delete")</f>
        <v>Keep</v>
      </c>
      <c r="F3980" t="str">
        <f>IF(ISNUMBER(SEARCH("#",B3980)), LEFT(B3980,FIND("#",B3980)-1), B3980)</f>
        <v>Sign Mallet</v>
      </c>
      <c r="G3980" s="26">
        <f>IF(ISNUMBER(SEARCH("#",B3980)),VALUE(MID(B3980,FIND("#",B3980)+1,1000)),1)</f>
        <v>1</v>
      </c>
      <c r="H3980" t="str">
        <f>IF(AND(regexMatch(B3980,".*#[0-9]*$"),ISNUMBER(SEARCH("#",B3980))),CONCATENATE(TRIM(F3980)," #",G3980),B3980)</f>
        <v>Sign Mallet</v>
      </c>
    </row>
    <row r="3981" spans="1:8" x14ac:dyDescent="0.25">
      <c r="A3981" s="8" t="s">
        <v>3228</v>
      </c>
      <c r="B3981" s="8" t="s">
        <v>4017</v>
      </c>
      <c r="C3981" s="13" t="s">
        <v>5</v>
      </c>
      <c r="D3981" s="15" t="s">
        <v>434</v>
      </c>
      <c r="E3981" s="40" t="str">
        <f>IF(ISERROR(VLOOKUP(B3981,Failures!$A$1:$A$4000,1,FALSE)),"Keep","Delete")</f>
        <v>Keep</v>
      </c>
      <c r="F3981" t="str">
        <f>IF(ISNUMBER(SEARCH("#",B3981)), LEFT(B3981,FIND("#",B3981)-1), B3981)</f>
        <v>Sledgehammer</v>
      </c>
      <c r="G3981" s="26">
        <f>IF(ISNUMBER(SEARCH("#",B3981)),VALUE(MID(B3981,FIND("#",B3981)+1,1000)),1)</f>
        <v>1</v>
      </c>
      <c r="H3981" t="str">
        <f>IF(AND(regexMatch(B3981,".*#[0-9]*$"),ISNUMBER(SEARCH("#",B3981))),CONCATENATE(TRIM(F3981)," #",G3981),B3981)</f>
        <v>Sledgehammer</v>
      </c>
    </row>
    <row r="3982" spans="1:8" x14ac:dyDescent="0.25">
      <c r="A3982" s="8" t="s">
        <v>3229</v>
      </c>
      <c r="B3982" s="8" t="s">
        <v>4018</v>
      </c>
      <c r="C3982" s="13" t="s">
        <v>5</v>
      </c>
      <c r="D3982" s="15" t="s">
        <v>434</v>
      </c>
      <c r="E3982" s="40" t="str">
        <f>IF(ISERROR(VLOOKUP(B3982,Failures!$A$1:$A$4000,1,FALSE)),"Keep","Delete")</f>
        <v>Keep</v>
      </c>
      <c r="F3982" t="str">
        <f>IF(ISNUMBER(SEARCH("#",B3982)), LEFT(B3982,FIND("#",B3982)-1), B3982)</f>
        <v xml:space="preserve">Spanner </v>
      </c>
      <c r="G3982" s="26">
        <f>IF(ISNUMBER(SEARCH("#",B3982)),VALUE(MID(B3982,FIND("#",B3982)+1,1000)),1)</f>
        <v>1</v>
      </c>
      <c r="H3982" t="str">
        <f>IF(AND(regexMatch(B3982,".*#[0-9]*$"),ISNUMBER(SEARCH("#",B3982))),CONCATENATE(TRIM(F3982)," #",G3982),B3982)</f>
        <v>Spanner #1</v>
      </c>
    </row>
    <row r="3983" spans="1:8" x14ac:dyDescent="0.25">
      <c r="A3983" s="8" t="s">
        <v>3230</v>
      </c>
      <c r="B3983" s="8" t="s">
        <v>4019</v>
      </c>
      <c r="C3983" s="13" t="s">
        <v>5</v>
      </c>
      <c r="D3983" s="15" t="s">
        <v>434</v>
      </c>
      <c r="E3983" s="40" t="str">
        <f>IF(ISERROR(VLOOKUP(B3983,Failures!$A$1:$A$4000,1,FALSE)),"Keep","Delete")</f>
        <v>Keep</v>
      </c>
      <c r="F3983" t="str">
        <f>IF(ISNUMBER(SEARCH("#",B3983)), LEFT(B3983,FIND("#",B3983)-1), B3983)</f>
        <v xml:space="preserve">Spanner </v>
      </c>
      <c r="G3983" s="26">
        <f>IF(ISNUMBER(SEARCH("#",B3983)),VALUE(MID(B3983,FIND("#",B3983)+1,1000)),1)</f>
        <v>2</v>
      </c>
      <c r="H3983" t="str">
        <f>IF(AND(regexMatch(B3983,".*#[0-9]*$"),ISNUMBER(SEARCH("#",B3983))),CONCATENATE(TRIM(F3983)," #",G3983),B3983)</f>
        <v>Spanner #2</v>
      </c>
    </row>
    <row r="3984" spans="1:8" x14ac:dyDescent="0.25">
      <c r="A3984" s="8" t="s">
        <v>3231</v>
      </c>
      <c r="B3984" s="8" t="s">
        <v>4020</v>
      </c>
      <c r="C3984" s="13" t="s">
        <v>5</v>
      </c>
      <c r="D3984" s="15" t="s">
        <v>434</v>
      </c>
      <c r="E3984" s="40" t="str">
        <f>IF(ISERROR(VLOOKUP(B3984,Failures!$A$1:$A$4000,1,FALSE)),"Keep","Delete")</f>
        <v>Keep</v>
      </c>
      <c r="F3984" t="str">
        <f>IF(ISNUMBER(SEARCH("#",B3984)), LEFT(B3984,FIND("#",B3984)-1), B3984)</f>
        <v xml:space="preserve">Spanner </v>
      </c>
      <c r="G3984" s="26">
        <f>IF(ISNUMBER(SEARCH("#",B3984)),VALUE(MID(B3984,FIND("#",B3984)+1,1000)),1)</f>
        <v>3</v>
      </c>
      <c r="H3984" t="str">
        <f>IF(AND(regexMatch(B3984,".*#[0-9]*$"),ISNUMBER(SEARCH("#",B3984))),CONCATENATE(TRIM(F3984)," #",G3984),B3984)</f>
        <v>Spanner #3</v>
      </c>
    </row>
    <row r="3985" spans="1:8" x14ac:dyDescent="0.25">
      <c r="A3985" s="8" t="s">
        <v>2936</v>
      </c>
      <c r="B3985" s="8" t="s">
        <v>2937</v>
      </c>
      <c r="C3985" s="12" t="s">
        <v>5</v>
      </c>
      <c r="D3985" s="15" t="s">
        <v>434</v>
      </c>
      <c r="E3985" s="40" t="str">
        <f>IF(ISERROR(VLOOKUP(B3985,Failures!$A$1:$A$4000,1,FALSE)),"Keep","Delete")</f>
        <v>Keep</v>
      </c>
      <c r="F3985" t="str">
        <f>IF(ISNUMBER(SEARCH("#",B3985)), LEFT(B3985,FIND("#",B3985)-1), B3985)</f>
        <v>Sprayer Backpack</v>
      </c>
      <c r="G3985" s="26">
        <f>IF(ISNUMBER(SEARCH("#",B3985)),VALUE(MID(B3985,FIND("#",B3985)+1,1000)),1)</f>
        <v>1</v>
      </c>
      <c r="H3985" t="str">
        <f>IF(AND(regexMatch(B3985,".*#[0-9]*$"),ISNUMBER(SEARCH("#",B3985))),CONCATENATE(TRIM(F3985)," #",G3985),B3985)</f>
        <v>Sprayer Backpack</v>
      </c>
    </row>
    <row r="3986" spans="1:8" x14ac:dyDescent="0.25">
      <c r="A3986" s="8" t="s">
        <v>2938</v>
      </c>
      <c r="B3986" s="8" t="s">
        <v>3895</v>
      </c>
      <c r="C3986" s="12" t="s">
        <v>5</v>
      </c>
      <c r="D3986" s="15" t="s">
        <v>434</v>
      </c>
      <c r="E3986" s="40" t="str">
        <f>IF(ISERROR(VLOOKUP(B3986,Failures!$A$1:$A$4000,1,FALSE)),"Keep","Delete")</f>
        <v>Keep</v>
      </c>
      <c r="F3986" t="str">
        <f>IF(ISNUMBER(SEARCH("#",B3986)), LEFT(B3986,FIND("#",B3986)-1), B3986)</f>
        <v>Spraygun</v>
      </c>
      <c r="G3986" s="26">
        <f>IF(ISNUMBER(SEARCH("#",B3986)),VALUE(MID(B3986,FIND("#",B3986)+1,1000)),1)</f>
        <v>1</v>
      </c>
      <c r="H3986" t="str">
        <f>IF(AND(regexMatch(B3986,".*#[0-9]*$"),ISNUMBER(SEARCH("#",B3986))),CONCATENATE(TRIM(F3986)," #",G3986),B3986)</f>
        <v>Spraygun</v>
      </c>
    </row>
    <row r="3987" spans="1:8" x14ac:dyDescent="0.25">
      <c r="A3987" s="8" t="s">
        <v>2945</v>
      </c>
      <c r="B3987" s="8" t="s">
        <v>2946</v>
      </c>
      <c r="C3987" s="13" t="s">
        <v>5</v>
      </c>
      <c r="D3987" s="15" t="s">
        <v>434</v>
      </c>
      <c r="E3987" s="40" t="str">
        <f>IF(ISERROR(VLOOKUP(B3987,Failures!$A$1:$A$4000,1,FALSE)),"Keep","Delete")</f>
        <v>Keep</v>
      </c>
      <c r="F3987" t="str">
        <f>IF(ISNUMBER(SEARCH("#",B3987)), LEFT(B3987,FIND("#",B3987)-1), B3987)</f>
        <v>Squeegee</v>
      </c>
      <c r="G3987" s="26">
        <f>IF(ISNUMBER(SEARCH("#",B3987)),VALUE(MID(B3987,FIND("#",B3987)+1,1000)),1)</f>
        <v>1</v>
      </c>
      <c r="H3987" t="str">
        <f>IF(AND(regexMatch(B3987,".*#[0-9]*$"),ISNUMBER(SEARCH("#",B3987))),CONCATENATE(TRIM(F3987)," #",G3987),B3987)</f>
        <v>Squeegee</v>
      </c>
    </row>
    <row r="3988" spans="1:8" x14ac:dyDescent="0.25">
      <c r="A3988" s="8" t="s">
        <v>2539</v>
      </c>
      <c r="B3988" s="8" t="s">
        <v>2540</v>
      </c>
      <c r="C3988" s="13" t="s">
        <v>5</v>
      </c>
      <c r="D3988" s="15" t="s">
        <v>434</v>
      </c>
      <c r="E3988" s="40" t="str">
        <f>IF(ISERROR(VLOOKUP(B3988,Failures!$A$1:$A$4000,1,FALSE)),"Keep","Delete")</f>
        <v>Keep</v>
      </c>
      <c r="F3988" t="str">
        <f>IF(ISNUMBER(SEARCH("#",B3988)), LEFT(B3988,FIND("#",B3988)-1), B3988)</f>
        <v>Swimming Pool Skimmer</v>
      </c>
      <c r="G3988" s="26">
        <f>IF(ISNUMBER(SEARCH("#",B3988)),VALUE(MID(B3988,FIND("#",B3988)+1,1000)),1)</f>
        <v>1</v>
      </c>
      <c r="H3988" t="str">
        <f>IF(AND(regexMatch(B3988,".*#[0-9]*$"),ISNUMBER(SEARCH("#",B3988))),CONCATENATE(TRIM(F3988)," #",G3988),B3988)</f>
        <v>Swimming Pool Skimmer</v>
      </c>
    </row>
    <row r="3989" spans="1:8" x14ac:dyDescent="0.25">
      <c r="A3989" s="8" t="s">
        <v>3173</v>
      </c>
      <c r="B3989" s="8" t="s">
        <v>3921</v>
      </c>
      <c r="C3989" s="13" t="s">
        <v>5</v>
      </c>
      <c r="D3989" s="15" t="s">
        <v>434</v>
      </c>
      <c r="E3989" s="40" t="str">
        <f>IF(ISERROR(VLOOKUP(B3989,Failures!$A$1:$A$4000,1,FALSE)),"Keep","Delete")</f>
        <v>Keep</v>
      </c>
      <c r="F3989" t="str">
        <f>IF(ISNUMBER(SEARCH("#",B3989)), LEFT(B3989,FIND("#",B3989)-1), B3989)</f>
        <v>Tool Bench</v>
      </c>
      <c r="G3989" s="26">
        <f>IF(ISNUMBER(SEARCH("#",B3989)),VALUE(MID(B3989,FIND("#",B3989)+1,1000)),1)</f>
        <v>1</v>
      </c>
      <c r="H3989" t="str">
        <f>IF(AND(regexMatch(B3989,".*#[0-9]*$"),ISNUMBER(SEARCH("#",B3989))),CONCATENATE(TRIM(F3989)," #",G3989),B3989)</f>
        <v>Tool Bench</v>
      </c>
    </row>
    <row r="3990" spans="1:8" x14ac:dyDescent="0.25">
      <c r="A3990" s="8" t="s">
        <v>3176</v>
      </c>
      <c r="B3990" s="8" t="s">
        <v>3177</v>
      </c>
      <c r="C3990" s="13" t="s">
        <v>5</v>
      </c>
      <c r="D3990" s="15" t="s">
        <v>434</v>
      </c>
      <c r="E3990" s="40" t="str">
        <f>IF(ISERROR(VLOOKUP(B3990,Failures!$A$1:$A$4000,1,FALSE)),"Keep","Delete")</f>
        <v>Keep</v>
      </c>
      <c r="F3990" t="str">
        <f>IF(ISNUMBER(SEARCH("#",B3990)), LEFT(B3990,FIND("#",B3990)-1), B3990)</f>
        <v xml:space="preserve">Tool Box </v>
      </c>
      <c r="G3990" s="26">
        <f>IF(ISNUMBER(SEARCH("#",B3990)),VALUE(MID(B3990,FIND("#",B3990)+1,1000)),1)</f>
        <v>1</v>
      </c>
      <c r="H3990" t="str">
        <f>IF(AND(regexMatch(B3990,".*#[0-9]*$"),ISNUMBER(SEARCH("#",B3990))),CONCATENATE(TRIM(F3990)," #",G3990),B3990)</f>
        <v>Tool Box #1</v>
      </c>
    </row>
    <row r="3991" spans="1:8" x14ac:dyDescent="0.25">
      <c r="A3991" s="8" t="s">
        <v>3178</v>
      </c>
      <c r="B3991" s="8" t="s">
        <v>3179</v>
      </c>
      <c r="C3991" s="13" t="s">
        <v>5</v>
      </c>
      <c r="D3991" s="15" t="s">
        <v>434</v>
      </c>
      <c r="E3991" s="40" t="str">
        <f>IF(ISERROR(VLOOKUP(B3991,Failures!$A$1:$A$4000,1,FALSE)),"Keep","Delete")</f>
        <v>Keep</v>
      </c>
      <c r="F3991" t="str">
        <f>IF(ISNUMBER(SEARCH("#",B3991)), LEFT(B3991,FIND("#",B3991)-1), B3991)</f>
        <v xml:space="preserve">Tool Box </v>
      </c>
      <c r="G3991" s="26">
        <f>IF(ISNUMBER(SEARCH("#",B3991)),VALUE(MID(B3991,FIND("#",B3991)+1,1000)),1)</f>
        <v>2</v>
      </c>
      <c r="H3991" t="str">
        <f>IF(AND(regexMatch(B3991,".*#[0-9]*$"),ISNUMBER(SEARCH("#",B3991))),CONCATENATE(TRIM(F3991)," #",G3991),B3991)</f>
        <v>Tool Box #2</v>
      </c>
    </row>
    <row r="3992" spans="1:8" x14ac:dyDescent="0.25">
      <c r="A3992" s="8" t="s">
        <v>3180</v>
      </c>
      <c r="B3992" s="8" t="s">
        <v>3181</v>
      </c>
      <c r="C3992" s="13" t="s">
        <v>5</v>
      </c>
      <c r="D3992" s="15" t="s">
        <v>434</v>
      </c>
      <c r="E3992" s="40" t="str">
        <f>IF(ISERROR(VLOOKUP(B3992,Failures!$A$1:$A$4000,1,FALSE)),"Keep","Delete")</f>
        <v>Keep</v>
      </c>
      <c r="F3992" t="str">
        <f>IF(ISNUMBER(SEARCH("#",B3992)), LEFT(B3992,FIND("#",B3992)-1), B3992)</f>
        <v xml:space="preserve">Tool Box </v>
      </c>
      <c r="G3992" s="26">
        <f>IF(ISNUMBER(SEARCH("#",B3992)),VALUE(MID(B3992,FIND("#",B3992)+1,1000)),1)</f>
        <v>3</v>
      </c>
      <c r="H3992" t="str">
        <f>IF(AND(regexMatch(B3992,".*#[0-9]*$"),ISNUMBER(SEARCH("#",B3992))),CONCATENATE(TRIM(F3992)," #",G3992),B3992)</f>
        <v>Tool Box #3</v>
      </c>
    </row>
    <row r="3993" spans="1:8" x14ac:dyDescent="0.25">
      <c r="A3993" s="8" t="s">
        <v>3182</v>
      </c>
      <c r="B3993" s="8" t="s">
        <v>3183</v>
      </c>
      <c r="C3993" s="13" t="s">
        <v>5</v>
      </c>
      <c r="D3993" s="15" t="s">
        <v>434</v>
      </c>
      <c r="E3993" s="40" t="str">
        <f>IF(ISERROR(VLOOKUP(B3993,Failures!$A$1:$A$4000,1,FALSE)),"Keep","Delete")</f>
        <v>Keep</v>
      </c>
      <c r="F3993" t="str">
        <f>IF(ISNUMBER(SEARCH("#",B3993)), LEFT(B3993,FIND("#",B3993)-1), B3993)</f>
        <v xml:space="preserve">Tool Box </v>
      </c>
      <c r="G3993" s="26">
        <f>IF(ISNUMBER(SEARCH("#",B3993)),VALUE(MID(B3993,FIND("#",B3993)+1,1000)),1)</f>
        <v>4</v>
      </c>
      <c r="H3993" t="str">
        <f>IF(AND(regexMatch(B3993,".*#[0-9]*$"),ISNUMBER(SEARCH("#",B3993))),CONCATENATE(TRIM(F3993)," #",G3993),B3993)</f>
        <v>Tool Box #4</v>
      </c>
    </row>
    <row r="3994" spans="1:8" x14ac:dyDescent="0.25">
      <c r="A3994" s="8" t="s">
        <v>3184</v>
      </c>
      <c r="B3994" s="8" t="s">
        <v>3185</v>
      </c>
      <c r="C3994" s="13" t="s">
        <v>5</v>
      </c>
      <c r="D3994" s="15" t="s">
        <v>434</v>
      </c>
      <c r="E3994" s="40" t="str">
        <f>IF(ISERROR(VLOOKUP(B3994,Failures!$A$1:$A$4000,1,FALSE)),"Keep","Delete")</f>
        <v>Keep</v>
      </c>
      <c r="F3994" t="str">
        <f>IF(ISNUMBER(SEARCH("#",B3994)), LEFT(B3994,FIND("#",B3994)-1), B3994)</f>
        <v xml:space="preserve">Tool Box </v>
      </c>
      <c r="G3994" s="26">
        <f>IF(ISNUMBER(SEARCH("#",B3994)),VALUE(MID(B3994,FIND("#",B3994)+1,1000)),1)</f>
        <v>5</v>
      </c>
      <c r="H3994" t="str">
        <f>IF(AND(regexMatch(B3994,".*#[0-9]*$"),ISNUMBER(SEARCH("#",B3994))),CONCATENATE(TRIM(F3994)," #",G3994),B3994)</f>
        <v>Tool Box #5</v>
      </c>
    </row>
    <row r="3995" spans="1:8" x14ac:dyDescent="0.25">
      <c r="A3995" s="8" t="s">
        <v>3186</v>
      </c>
      <c r="B3995" s="8" t="s">
        <v>3187</v>
      </c>
      <c r="C3995" s="13" t="s">
        <v>5</v>
      </c>
      <c r="D3995" s="15" t="s">
        <v>434</v>
      </c>
      <c r="E3995" s="40" t="str">
        <f>IF(ISERROR(VLOOKUP(B3995,Failures!$A$1:$A$4000,1,FALSE)),"Keep","Delete")</f>
        <v>Keep</v>
      </c>
      <c r="F3995" t="str">
        <f>IF(ISNUMBER(SEARCH("#",B3995)), LEFT(B3995,FIND("#",B3995)-1), B3995)</f>
        <v xml:space="preserve">Tool Box </v>
      </c>
      <c r="G3995" s="26">
        <f>IF(ISNUMBER(SEARCH("#",B3995)),VALUE(MID(B3995,FIND("#",B3995)+1,1000)),1)</f>
        <v>6</v>
      </c>
      <c r="H3995" t="str">
        <f>IF(AND(regexMatch(B3995,".*#[0-9]*$"),ISNUMBER(SEARCH("#",B3995))),CONCATENATE(TRIM(F3995)," #",G3995),B3995)</f>
        <v>Tool Box #6</v>
      </c>
    </row>
    <row r="3996" spans="1:8" x14ac:dyDescent="0.25">
      <c r="A3996" s="8" t="s">
        <v>3188</v>
      </c>
      <c r="B3996" s="8" t="s">
        <v>3189</v>
      </c>
      <c r="C3996" s="13" t="s">
        <v>5</v>
      </c>
      <c r="D3996" s="15" t="s">
        <v>434</v>
      </c>
      <c r="E3996" s="40" t="str">
        <f>IF(ISERROR(VLOOKUP(B3996,Failures!$A$1:$A$4000,1,FALSE)),"Keep","Delete")</f>
        <v>Keep</v>
      </c>
      <c r="F3996" t="str">
        <f>IF(ISNUMBER(SEARCH("#",B3996)), LEFT(B3996,FIND("#",B3996)-1), B3996)</f>
        <v xml:space="preserve">Tool Box </v>
      </c>
      <c r="G3996" s="26">
        <f>IF(ISNUMBER(SEARCH("#",B3996)),VALUE(MID(B3996,FIND("#",B3996)+1,1000)),1)</f>
        <v>7</v>
      </c>
      <c r="H3996" t="str">
        <f>IF(AND(regexMatch(B3996,".*#[0-9]*$"),ISNUMBER(SEARCH("#",B3996))),CONCATENATE(TRIM(F3996)," #",G3996),B3996)</f>
        <v>Tool Box #7</v>
      </c>
    </row>
    <row r="3997" spans="1:8" x14ac:dyDescent="0.25">
      <c r="A3997" s="8" t="s">
        <v>3195</v>
      </c>
      <c r="B3997" s="8" t="s">
        <v>3196</v>
      </c>
      <c r="C3997" s="13" t="s">
        <v>5</v>
      </c>
      <c r="D3997" s="15" t="s">
        <v>434</v>
      </c>
      <c r="E3997" s="40" t="str">
        <f>IF(ISERROR(VLOOKUP(B3997,Failures!$A$1:$A$4000,1,FALSE)),"Keep","Delete")</f>
        <v>Keep</v>
      </c>
      <c r="F3997" t="str">
        <f>IF(ISNUMBER(SEARCH("#",B3997)), LEFT(B3997,FIND("#",B3997)-1), B3997)</f>
        <v xml:space="preserve">Tool Chest </v>
      </c>
      <c r="G3997" s="26">
        <f>IF(ISNUMBER(SEARCH("#",B3997)),VALUE(MID(B3997,FIND("#",B3997)+1,1000)),1)</f>
        <v>1</v>
      </c>
      <c r="H3997" t="str">
        <f>IF(AND(regexMatch(B3997,".*#[0-9]*$"),ISNUMBER(SEARCH("#",B3997))),CONCATENATE(TRIM(F3997)," #",G3997),B3997)</f>
        <v>Tool Chest #1</v>
      </c>
    </row>
    <row r="3998" spans="1:8" x14ac:dyDescent="0.25">
      <c r="A3998" s="8" t="s">
        <v>3197</v>
      </c>
      <c r="B3998" s="8" t="s">
        <v>3198</v>
      </c>
      <c r="C3998" s="13" t="s">
        <v>5</v>
      </c>
      <c r="D3998" s="15" t="s">
        <v>434</v>
      </c>
      <c r="E3998" s="40" t="str">
        <f>IF(ISERROR(VLOOKUP(B3998,Failures!$A$1:$A$4000,1,FALSE)),"Keep","Delete")</f>
        <v>Keep</v>
      </c>
      <c r="F3998" t="str">
        <f>IF(ISNUMBER(SEARCH("#",B3998)), LEFT(B3998,FIND("#",B3998)-1), B3998)</f>
        <v xml:space="preserve">Tool Chest </v>
      </c>
      <c r="G3998" s="26">
        <f>IF(ISNUMBER(SEARCH("#",B3998)),VALUE(MID(B3998,FIND("#",B3998)+1,1000)),1)</f>
        <v>2</v>
      </c>
      <c r="H3998" t="str">
        <f>IF(AND(regexMatch(B3998,".*#[0-9]*$"),ISNUMBER(SEARCH("#",B3998))),CONCATENATE(TRIM(F3998)," #",G3998),B3998)</f>
        <v>Tool Chest #2</v>
      </c>
    </row>
    <row r="3999" spans="1:8" x14ac:dyDescent="0.25">
      <c r="A3999" s="8" t="s">
        <v>3199</v>
      </c>
      <c r="B3999" s="8" t="s">
        <v>3200</v>
      </c>
      <c r="C3999" s="13" t="s">
        <v>5</v>
      </c>
      <c r="D3999" s="15" t="s">
        <v>434</v>
      </c>
      <c r="E3999" s="40" t="str">
        <f>IF(ISERROR(VLOOKUP(B3999,Failures!$A$1:$A$4000,1,FALSE)),"Keep","Delete")</f>
        <v>Keep</v>
      </c>
      <c r="F3999" t="str">
        <f>IF(ISNUMBER(SEARCH("#",B3999)), LEFT(B3999,FIND("#",B3999)-1), B3999)</f>
        <v xml:space="preserve">Tool Chest </v>
      </c>
      <c r="G3999" s="26">
        <f>IF(ISNUMBER(SEARCH("#",B3999)),VALUE(MID(B3999,FIND("#",B3999)+1,1000)),1)</f>
        <v>3</v>
      </c>
      <c r="H3999" t="str">
        <f>IF(AND(regexMatch(B3999,".*#[0-9]*$"),ISNUMBER(SEARCH("#",B3999))),CONCATENATE(TRIM(F3999)," #",G3999),B3999)</f>
        <v>Tool Chest #3</v>
      </c>
    </row>
    <row r="4000" spans="1:8" x14ac:dyDescent="0.25">
      <c r="A4000" s="8" t="s">
        <v>3201</v>
      </c>
      <c r="B4000" s="8" t="s">
        <v>3202</v>
      </c>
      <c r="C4000" s="13" t="s">
        <v>5</v>
      </c>
      <c r="D4000" s="15" t="s">
        <v>434</v>
      </c>
      <c r="E4000" s="40" t="str">
        <f>IF(ISERROR(VLOOKUP(B4000,Failures!$A$1:$A$4000,1,FALSE)),"Keep","Delete")</f>
        <v>Keep</v>
      </c>
      <c r="F4000" t="str">
        <f>IF(ISNUMBER(SEARCH("#",B4000)), LEFT(B4000,FIND("#",B4000)-1), B4000)</f>
        <v xml:space="preserve">Tool Chest </v>
      </c>
      <c r="G4000" s="26">
        <f>IF(ISNUMBER(SEARCH("#",B4000)),VALUE(MID(B4000,FIND("#",B4000)+1,1000)),1)</f>
        <v>4</v>
      </c>
      <c r="H4000" t="str">
        <f>IF(AND(regexMatch(B4000,".*#[0-9]*$"),ISNUMBER(SEARCH("#",B4000))),CONCATENATE(TRIM(F4000)," #",G4000),B4000)</f>
        <v>Tool Chest #4</v>
      </c>
    </row>
    <row r="4001" spans="1:8" x14ac:dyDescent="0.25">
      <c r="A4001" s="8" t="s">
        <v>3203</v>
      </c>
      <c r="B4001" s="8" t="s">
        <v>3204</v>
      </c>
      <c r="C4001" s="13" t="s">
        <v>5</v>
      </c>
      <c r="D4001" s="15" t="s">
        <v>434</v>
      </c>
      <c r="E4001" s="40" t="str">
        <f>IF(ISERROR(VLOOKUP(B4001,Failures!$A$1:$A$4000,1,FALSE)),"Keep","Delete")</f>
        <v>Keep</v>
      </c>
      <c r="F4001" t="str">
        <f>IF(ISNUMBER(SEARCH("#",B4001)), LEFT(B4001,FIND("#",B4001)-1), B4001)</f>
        <v xml:space="preserve">Tool Chest </v>
      </c>
      <c r="G4001" s="26">
        <f>IF(ISNUMBER(SEARCH("#",B4001)),VALUE(MID(B4001,FIND("#",B4001)+1,1000)),1)</f>
        <v>5</v>
      </c>
      <c r="H4001" t="str">
        <f>IF(AND(regexMatch(B4001,".*#[0-9]*$"),ISNUMBER(SEARCH("#",B4001))),CONCATENATE(TRIM(F4001)," #",G4001),B4001)</f>
        <v>Tool Chest #5</v>
      </c>
    </row>
    <row r="4002" spans="1:8" x14ac:dyDescent="0.25">
      <c r="A4002" s="8" t="s">
        <v>3232</v>
      </c>
      <c r="B4002" s="8" t="s">
        <v>4021</v>
      </c>
      <c r="C4002" s="13" t="s">
        <v>5</v>
      </c>
      <c r="D4002" s="15" t="s">
        <v>434</v>
      </c>
      <c r="E4002" s="40" t="str">
        <f>IF(ISERROR(VLOOKUP(B4002,Failures!$A$1:$A$4000,1,FALSE)),"Keep","Delete")</f>
        <v>Keep</v>
      </c>
      <c r="F4002" t="str">
        <f>IF(ISNUMBER(SEARCH("#",B4002)), LEFT(B4002,FIND("#",B4002)-1), B4002)</f>
        <v>Torch</v>
      </c>
      <c r="G4002" s="26">
        <f>IF(ISNUMBER(SEARCH("#",B4002)),VALUE(MID(B4002,FIND("#",B4002)+1,1000)),1)</f>
        <v>1</v>
      </c>
      <c r="H4002" t="str">
        <f>IF(AND(regexMatch(B4002,".*#[0-9]*$"),ISNUMBER(SEARCH("#",B4002))),CONCATENATE(TRIM(F4002)," #",G4002),B4002)</f>
        <v>Torch</v>
      </c>
    </row>
    <row r="4003" spans="1:8" x14ac:dyDescent="0.25">
      <c r="A4003" s="8" t="s">
        <v>3238</v>
      </c>
      <c r="B4003" s="8" t="s">
        <v>3239</v>
      </c>
      <c r="C4003" s="13" t="s">
        <v>5</v>
      </c>
      <c r="D4003" s="15" t="s">
        <v>434</v>
      </c>
      <c r="E4003" s="40" t="str">
        <f>IF(ISERROR(VLOOKUP(B4003,Failures!$A$1:$A$4000,1,FALSE)),"Keep","Delete")</f>
        <v>Keep</v>
      </c>
      <c r="F4003" t="str">
        <f>IF(ISNUMBER(SEARCH("#",B4003)), LEFT(B4003,FIND("#",B4003)-1), B4003)</f>
        <v>Torture Battery</v>
      </c>
      <c r="G4003" s="26">
        <f>IF(ISNUMBER(SEARCH("#",B4003)),VALUE(MID(B4003,FIND("#",B4003)+1,1000)),1)</f>
        <v>1</v>
      </c>
      <c r="H4003" t="str">
        <f>IF(AND(regexMatch(B4003,".*#[0-9]*$"),ISNUMBER(SEARCH("#",B4003))),CONCATENATE(TRIM(F4003)," #",G4003),B4003)</f>
        <v>Torture Battery</v>
      </c>
    </row>
    <row r="4004" spans="1:8" x14ac:dyDescent="0.25">
      <c r="A4004" s="8" t="s">
        <v>1148</v>
      </c>
      <c r="B4004" s="8" t="s">
        <v>3923</v>
      </c>
      <c r="C4004" s="13" t="s">
        <v>5</v>
      </c>
      <c r="D4004" s="15" t="s">
        <v>434</v>
      </c>
      <c r="E4004" s="40" t="str">
        <f>IF(ISERROR(VLOOKUP(B4004,Failures!$A$1:$A$4000,1,FALSE)),"Keep","Delete")</f>
        <v>Keep</v>
      </c>
      <c r="F4004" t="str">
        <f>IF(ISNUMBER(SEARCH("#",B4004)), LEFT(B4004,FIND("#",B4004)-1), B4004)</f>
        <v>Trolley</v>
      </c>
      <c r="G4004" s="26">
        <f>IF(ISNUMBER(SEARCH("#",B4004)),VALUE(MID(B4004,FIND("#",B4004)+1,1000)),1)</f>
        <v>1</v>
      </c>
      <c r="H4004" t="str">
        <f>IF(AND(regexMatch(B4004,".*#[0-9]*$"),ISNUMBER(SEARCH("#",B4004))),CONCATENATE(TRIM(F4004)," #",G4004),B4004)</f>
        <v>Trolley</v>
      </c>
    </row>
    <row r="4005" spans="1:8" x14ac:dyDescent="0.25">
      <c r="A4005" s="8" t="s">
        <v>3367</v>
      </c>
      <c r="B4005" s="8" t="s">
        <v>3937</v>
      </c>
      <c r="C4005" s="13" t="s">
        <v>5</v>
      </c>
      <c r="D4005" s="15" t="s">
        <v>434</v>
      </c>
      <c r="E4005" s="40" t="str">
        <f>IF(ISERROR(VLOOKUP(B4005,Failures!$A$1:$A$4000,1,FALSE)),"Keep","Delete")</f>
        <v>Keep</v>
      </c>
      <c r="F4005" t="str">
        <f>IF(ISNUMBER(SEARCH("#",B4005)), LEFT(B4005,FIND("#",B4005)-1), B4005)</f>
        <v>Voltmeter</v>
      </c>
      <c r="G4005" s="26">
        <f>IF(ISNUMBER(SEARCH("#",B4005)),VALUE(MID(B4005,FIND("#",B4005)+1,1000)),1)</f>
        <v>1</v>
      </c>
      <c r="H4005" t="str">
        <f>IF(AND(regexMatch(B4005,".*#[0-9]*$"),ISNUMBER(SEARCH("#",B4005))),CONCATENATE(TRIM(F4005)," #",G4005),B4005)</f>
        <v>Voltmeter</v>
      </c>
    </row>
    <row r="4006" spans="1:8" x14ac:dyDescent="0.25">
      <c r="A4006" s="8" t="s">
        <v>1164</v>
      </c>
      <c r="B4006" s="8" t="s">
        <v>1165</v>
      </c>
      <c r="C4006" s="13" t="s">
        <v>5</v>
      </c>
      <c r="D4006" s="15" t="s">
        <v>434</v>
      </c>
      <c r="E4006" s="40" t="str">
        <f>IF(ISERROR(VLOOKUP(B4006,Failures!$A$1:$A$4000,1,FALSE)),"Keep","Delete")</f>
        <v>Keep</v>
      </c>
      <c r="F4006" t="str">
        <f>IF(ISNUMBER(SEARCH("#",B4006)), LEFT(B4006,FIND("#",B4006)-1), B4006)</f>
        <v>Walkie Talkie</v>
      </c>
      <c r="G4006" s="26">
        <f>IF(ISNUMBER(SEARCH("#",B4006)),VALUE(MID(B4006,FIND("#",B4006)+1,1000)),1)</f>
        <v>1</v>
      </c>
      <c r="H4006" t="str">
        <f>IF(AND(regexMatch(B4006,".*#[0-9]*$"),ISNUMBER(SEARCH("#",B4006))),CONCATENATE(TRIM(F4006)," #",G4006),B4006)</f>
        <v>Walkie Talkie</v>
      </c>
    </row>
    <row r="4007" spans="1:8" x14ac:dyDescent="0.25">
      <c r="A4007" s="8" t="s">
        <v>3424</v>
      </c>
      <c r="B4007" s="8" t="s">
        <v>3425</v>
      </c>
      <c r="C4007" s="13" t="s">
        <v>5</v>
      </c>
      <c r="D4007" s="15" t="s">
        <v>434</v>
      </c>
      <c r="E4007" s="40" t="str">
        <f>IF(ISERROR(VLOOKUP(B4007,Failures!$A$1:$A$4000,1,FALSE)),"Keep","Delete")</f>
        <v>Keep</v>
      </c>
      <c r="F4007" t="str">
        <f>IF(ISNUMBER(SEARCH("#",B4007)), LEFT(B4007,FIND("#",B4007)-1), B4007)</f>
        <v xml:space="preserve">Welding Mask </v>
      </c>
      <c r="G4007" s="26">
        <f>IF(ISNUMBER(SEARCH("#",B4007)),VALUE(MID(B4007,FIND("#",B4007)+1,1000)),1)</f>
        <v>1</v>
      </c>
      <c r="H4007" t="str">
        <f>IF(AND(regexMatch(B4007,".*#[0-9]*$"),ISNUMBER(SEARCH("#",B4007))),CONCATENATE(TRIM(F4007)," #",G4007),B4007)</f>
        <v>Welding Mask #1</v>
      </c>
    </row>
    <row r="4008" spans="1:8" x14ac:dyDescent="0.25">
      <c r="A4008" s="18" t="s">
        <v>4341</v>
      </c>
      <c r="B4008" s="8" t="s">
        <v>4744</v>
      </c>
      <c r="C4008" s="21"/>
      <c r="D4008" s="15" t="s">
        <v>434</v>
      </c>
      <c r="E4008" s="40" t="str">
        <f>IF(ISERROR(VLOOKUP(B4008,Failures!$A$1:$A$4000,1,FALSE)),"Keep","Delete")</f>
        <v>Keep</v>
      </c>
      <c r="F4008" t="str">
        <f>IF(ISNUMBER(SEARCH("#",B4008)), LEFT(B4008,FIND("#",B4008)-1), B4008)</f>
        <v xml:space="preserve">Welding Mask </v>
      </c>
      <c r="G4008" s="26">
        <f>IF(ISNUMBER(SEARCH("#",B4008)),VALUE(MID(B4008,FIND("#",B4008)+1,1000)),1)</f>
        <v>2</v>
      </c>
      <c r="H4008" t="str">
        <f>IF(AND(regexMatch(B4008,".*#[0-9]*$"),ISNUMBER(SEARCH("#",B4008))),CONCATENATE(TRIM(F4008)," #",G4008),B4008)</f>
        <v>Welding Mask #2</v>
      </c>
    </row>
    <row r="4009" spans="1:8" x14ac:dyDescent="0.25">
      <c r="A4009" s="8" t="s">
        <v>3426</v>
      </c>
      <c r="B4009" s="8" t="s">
        <v>3427</v>
      </c>
      <c r="C4009" s="13" t="s">
        <v>5</v>
      </c>
      <c r="D4009" s="15" t="s">
        <v>434</v>
      </c>
      <c r="E4009" s="40" t="str">
        <f>IF(ISERROR(VLOOKUP(B4009,Failures!$A$1:$A$4000,1,FALSE)),"Keep","Delete")</f>
        <v>Keep</v>
      </c>
      <c r="F4009" t="str">
        <f>IF(ISNUMBER(SEARCH("#",B4009)), LEFT(B4009,FIND("#",B4009)-1), B4009)</f>
        <v>Welding Torch</v>
      </c>
      <c r="G4009" s="26">
        <f>IF(ISNUMBER(SEARCH("#",B4009)),VALUE(MID(B4009,FIND("#",B4009)+1,1000)),1)</f>
        <v>1</v>
      </c>
      <c r="H4009" t="str">
        <f>IF(AND(regexMatch(B4009,".*#[0-9]*$"),ISNUMBER(SEARCH("#",B4009))),CONCATENATE(TRIM(F4009)," #",G4009),B4009)</f>
        <v>Welding Torch</v>
      </c>
    </row>
    <row r="4010" spans="1:8" x14ac:dyDescent="0.25">
      <c r="A4010" s="8" t="s">
        <v>3233</v>
      </c>
      <c r="B4010" s="8" t="s">
        <v>1173</v>
      </c>
      <c r="C4010" s="13" t="s">
        <v>5</v>
      </c>
      <c r="D4010" s="15" t="s">
        <v>434</v>
      </c>
      <c r="E4010" s="40" t="str">
        <f>IF(ISERROR(VLOOKUP(B4010,Failures!$A$1:$A$4000,1,FALSE)),"Keep","Delete")</f>
        <v>Keep</v>
      </c>
      <c r="F4010" t="str">
        <f>IF(ISNUMBER(SEARCH("#",B4010)), LEFT(B4010,FIND("#",B4010)-1), B4010)</f>
        <v>Wrench</v>
      </c>
      <c r="G4010" s="26">
        <f>IF(ISNUMBER(SEARCH("#",B4010)),VALUE(MID(B4010,FIND("#",B4010)+1,1000)),1)</f>
        <v>1</v>
      </c>
      <c r="H4010" t="str">
        <f>IF(AND(regexMatch(B4010,".*#[0-9]*$"),ISNUMBER(SEARCH("#",B4010))),CONCATENATE(TRIM(F4010)," #",G4010),B4010)</f>
        <v>Wrench</v>
      </c>
    </row>
    <row r="4011" spans="1:8" x14ac:dyDescent="0.25">
      <c r="A4011" s="8" t="s">
        <v>1172</v>
      </c>
      <c r="B4011" s="8" t="s">
        <v>1173</v>
      </c>
      <c r="C4011" s="13" t="s">
        <v>5</v>
      </c>
      <c r="D4011" s="15" t="s">
        <v>434</v>
      </c>
      <c r="E4011" s="40" t="str">
        <f>IF(ISERROR(VLOOKUP(B4011,Failures!$A$1:$A$4000,1,FALSE)),"Keep","Delete")</f>
        <v>Keep</v>
      </c>
      <c r="F4011" t="str">
        <f>IF(ISNUMBER(SEARCH("#",B4011)), LEFT(B4011,FIND("#",B4011)-1), B4011)</f>
        <v>Wrench</v>
      </c>
      <c r="G4011" s="26">
        <f>IF(ISNUMBER(SEARCH("#",B4011)),VALUE(MID(B4011,FIND("#",B4011)+1,1000)),1)</f>
        <v>1</v>
      </c>
      <c r="H4011" t="str">
        <f>IF(AND(regexMatch(B4011,".*#[0-9]*$"),ISNUMBER(SEARCH("#",B4011))),CONCATENATE(TRIM(F4011)," #",G4011),B4011)</f>
        <v>Wrench</v>
      </c>
    </row>
    <row r="4012" spans="1:8" x14ac:dyDescent="0.25">
      <c r="A4012" s="8" t="s">
        <v>5349</v>
      </c>
      <c r="B4012" s="8" t="s">
        <v>9871</v>
      </c>
      <c r="C4012" s="8"/>
      <c r="D4012" s="15" t="s">
        <v>1149</v>
      </c>
      <c r="E4012" s="40" t="str">
        <f>IF(ISERROR(VLOOKUP(B4012,Failures!$A$1:$A$4000,1,FALSE)),"Keep","Delete")</f>
        <v>Keep</v>
      </c>
      <c r="F4012" t="str">
        <f>IF(ISNUMBER(SEARCH("#",B4012)), LEFT(B4012,FIND("#",B4012)-1), B4012)</f>
        <v>Cleaning Trolley</v>
      </c>
      <c r="G4012" s="26">
        <f>IF(ISNUMBER(SEARCH("#",B4012)),VALUE(MID(B4012,FIND("#",B4012)+1,1000)),1)</f>
        <v>1</v>
      </c>
      <c r="H4012" t="str">
        <f>IF(AND(regexMatch(B4012,".*#[0-9]*$"),ISNUMBER(SEARCH("#",B4012))),CONCATENATE(TRIM(F4012)," #",G4012),B4012)</f>
        <v>Cleaning Trolley</v>
      </c>
    </row>
    <row r="4013" spans="1:8" x14ac:dyDescent="0.25">
      <c r="A4013" s="8" t="s">
        <v>5805</v>
      </c>
      <c r="B4013" s="8" t="s">
        <v>9925</v>
      </c>
      <c r="C4013" s="8"/>
      <c r="D4013" s="15" t="s">
        <v>1149</v>
      </c>
      <c r="E4013" s="40" t="str">
        <f>IF(ISERROR(VLOOKUP(B4013,Failures!$A$1:$A$4000,1,FALSE)),"Keep","Delete")</f>
        <v>Keep</v>
      </c>
      <c r="F4013" t="str">
        <f>IF(ISNUMBER(SEARCH("#",B4013)), LEFT(B4013,FIND("#",B4013)-1), B4013)</f>
        <v xml:space="preserve">Flatbed Trolley </v>
      </c>
      <c r="G4013" s="26">
        <v>1</v>
      </c>
      <c r="H4013" t="str">
        <f>IF(AND(regexMatch(B4013,".*#[0-9]*$"),ISNUMBER(SEARCH("#",B4013))),CONCATENATE(TRIM(F4013)," #",G4013),B4013)</f>
        <v>Flatbed Trolley #1</v>
      </c>
    </row>
    <row r="4014" spans="1:8" x14ac:dyDescent="0.25">
      <c r="A4014" s="8" t="s">
        <v>5804</v>
      </c>
      <c r="B4014" s="8" t="s">
        <v>9925</v>
      </c>
      <c r="C4014" s="8"/>
      <c r="D4014" s="15" t="s">
        <v>1149</v>
      </c>
      <c r="E4014" s="40" t="str">
        <f>IF(ISERROR(VLOOKUP(B4014,Failures!$A$1:$A$4000,1,FALSE)),"Keep","Delete")</f>
        <v>Keep</v>
      </c>
      <c r="F4014" t="str">
        <f>IF(ISNUMBER(SEARCH("#",B4014)), LEFT(B4014,FIND("#",B4014)-1), B4014)</f>
        <v xml:space="preserve">Flatbed Trolley </v>
      </c>
      <c r="G4014" s="26">
        <v>2</v>
      </c>
      <c r="H4014" t="str">
        <f>IF(AND(regexMatch(B4014,".*#[0-9]*$"),ISNUMBER(SEARCH("#",B4014))),CONCATENATE(TRIM(F4014)," #",G4014),B4014)</f>
        <v>Flatbed Trolley #2</v>
      </c>
    </row>
    <row r="4015" spans="1:8" x14ac:dyDescent="0.25">
      <c r="A4015" s="8" t="s">
        <v>5803</v>
      </c>
      <c r="B4015" s="8" t="s">
        <v>9925</v>
      </c>
      <c r="C4015" s="8"/>
      <c r="D4015" s="15" t="s">
        <v>1149</v>
      </c>
      <c r="E4015" s="40" t="str">
        <f>IF(ISERROR(VLOOKUP(B4015,Failures!$A$1:$A$4000,1,FALSE)),"Keep","Delete")</f>
        <v>Keep</v>
      </c>
      <c r="F4015" t="str">
        <f>IF(ISNUMBER(SEARCH("#",B4015)), LEFT(B4015,FIND("#",B4015)-1), B4015)</f>
        <v xml:space="preserve">Flatbed Trolley </v>
      </c>
      <c r="G4015" s="26">
        <v>3</v>
      </c>
      <c r="H4015" t="str">
        <f>IF(AND(regexMatch(B4015,".*#[0-9]*$"),ISNUMBER(SEARCH("#",B4015))),CONCATENATE(TRIM(F4015)," #",G4015),B4015)</f>
        <v>Flatbed Trolley #3</v>
      </c>
    </row>
    <row r="4016" spans="1:8" x14ac:dyDescent="0.25">
      <c r="A4016" s="8" t="s">
        <v>1425</v>
      </c>
      <c r="B4016" s="8" t="s">
        <v>9925</v>
      </c>
      <c r="C4016" s="13" t="s">
        <v>5</v>
      </c>
      <c r="D4016" s="15" t="s">
        <v>1149</v>
      </c>
      <c r="E4016" s="40" t="str">
        <f>IF(ISERROR(VLOOKUP(B4016,Failures!$A$1:$A$4000,1,FALSE)),"Keep","Delete")</f>
        <v>Keep</v>
      </c>
      <c r="F4016" t="str">
        <f>IF(ISNUMBER(SEARCH("#",B4016)), LEFT(B4016,FIND("#",B4016)-1), B4016)</f>
        <v xml:space="preserve">Flatbed Trolley </v>
      </c>
      <c r="G4016" s="26">
        <v>4</v>
      </c>
      <c r="H4016" t="str">
        <f>IF(AND(regexMatch(B4016,".*#[0-9]*$"),ISNUMBER(SEARCH("#",B4016))),CONCATENATE(TRIM(F4016)," #",G4016),B4016)</f>
        <v>Flatbed Trolley #4</v>
      </c>
    </row>
    <row r="4017" spans="1:8" x14ac:dyDescent="0.25">
      <c r="A4017" s="8" t="s">
        <v>2722</v>
      </c>
      <c r="B4017" s="8" t="s">
        <v>2723</v>
      </c>
      <c r="C4017" s="12" t="s">
        <v>5</v>
      </c>
      <c r="D4017" s="15" t="s">
        <v>1149</v>
      </c>
      <c r="E4017" s="40" t="str">
        <f>IF(ISERROR(VLOOKUP(B4017,Failures!$A$1:$A$4000,1,FALSE)),"Keep","Delete")</f>
        <v>Keep</v>
      </c>
      <c r="F4017" t="str">
        <f>IF(ISNUMBER(SEARCH("#",B4017)), LEFT(B4017,FIND("#",B4017)-1), B4017)</f>
        <v>Hand Trolley</v>
      </c>
      <c r="G4017" s="26">
        <f>IF(ISNUMBER(SEARCH("#",B4017)),VALUE(MID(B4017,FIND("#",B4017)+1,1000)),1)</f>
        <v>1</v>
      </c>
      <c r="H4017" t="str">
        <f>IF(AND(regexMatch(B4017,".*#[0-9]*$"),ISNUMBER(SEARCH("#",B4017))),CONCATENATE(TRIM(F4017)," #",G4017),B4017)</f>
        <v>Hand Trolley</v>
      </c>
    </row>
    <row r="4018" spans="1:8" x14ac:dyDescent="0.25">
      <c r="A4018" s="8" t="s">
        <v>1672</v>
      </c>
      <c r="B4018" s="8" t="s">
        <v>1673</v>
      </c>
      <c r="C4018" s="13" t="s">
        <v>5</v>
      </c>
      <c r="D4018" s="15" t="s">
        <v>1149</v>
      </c>
      <c r="E4018" s="40" t="str">
        <f>IF(ISERROR(VLOOKUP(B4018,Failures!$A$1:$A$4000,1,FALSE)),"Keep","Delete")</f>
        <v>Keep</v>
      </c>
      <c r="F4018" t="str">
        <f>IF(ISNUMBER(SEARCH("#",B4018)), LEFT(B4018,FIND("#",B4018)-1), B4018)</f>
        <v>Hotel Trolley</v>
      </c>
      <c r="G4018" s="26">
        <f>IF(ISNUMBER(SEARCH("#",B4018)),VALUE(MID(B4018,FIND("#",B4018)+1,1000)),1)</f>
        <v>1</v>
      </c>
      <c r="H4018" t="str">
        <f>IF(AND(regexMatch(B4018,".*#[0-9]*$"),ISNUMBER(SEARCH("#",B4018))),CONCATENATE(TRIM(F4018)," #",G4018),B4018)</f>
        <v>Hotel Trolley</v>
      </c>
    </row>
    <row r="4019" spans="1:8" x14ac:dyDescent="0.25">
      <c r="A4019" s="8" t="s">
        <v>2732</v>
      </c>
      <c r="B4019" s="8" t="s">
        <v>2733</v>
      </c>
      <c r="C4019" s="13" t="s">
        <v>5</v>
      </c>
      <c r="D4019" s="15" t="s">
        <v>1149</v>
      </c>
      <c r="E4019" s="40" t="str">
        <f>IF(ISERROR(VLOOKUP(B4019,Failures!$A$1:$A$4000,1,FALSE)),"Keep","Delete")</f>
        <v>Keep</v>
      </c>
      <c r="F4019" t="str">
        <f>IF(ISNUMBER(SEARCH("#",B4019)), LEFT(B4019,FIND("#",B4019)-1), B4019)</f>
        <v xml:space="preserve">Sack Trolley </v>
      </c>
      <c r="G4019" s="26">
        <f>IF(ISNUMBER(SEARCH("#",B4019)),VALUE(MID(B4019,FIND("#",B4019)+1,1000)),1)</f>
        <v>1</v>
      </c>
      <c r="H4019" t="str">
        <f>IF(AND(regexMatch(B4019,".*#[0-9]*$"),ISNUMBER(SEARCH("#",B4019))),CONCATENATE(TRIM(F4019)," #",G4019),B4019)</f>
        <v>Sack Trolley #1</v>
      </c>
    </row>
    <row r="4020" spans="1:8" x14ac:dyDescent="0.25">
      <c r="A4020" s="8" t="s">
        <v>2734</v>
      </c>
      <c r="B4020" s="8" t="s">
        <v>2735</v>
      </c>
      <c r="C4020" s="13" t="s">
        <v>5</v>
      </c>
      <c r="D4020" s="15" t="s">
        <v>1149</v>
      </c>
      <c r="E4020" s="40" t="str">
        <f>IF(ISERROR(VLOOKUP(B4020,Failures!$A$1:$A$4000,1,FALSE)),"Keep","Delete")</f>
        <v>Keep</v>
      </c>
      <c r="F4020" t="str">
        <f>IF(ISNUMBER(SEARCH("#",B4020)), LEFT(B4020,FIND("#",B4020)-1), B4020)</f>
        <v xml:space="preserve">Sack Trolley </v>
      </c>
      <c r="G4020" s="26">
        <f>IF(ISNUMBER(SEARCH("#",B4020)),VALUE(MID(B4020,FIND("#",B4020)+1,1000)),1)</f>
        <v>2</v>
      </c>
      <c r="H4020" t="str">
        <f>IF(AND(regexMatch(B4020,".*#[0-9]*$"),ISNUMBER(SEARCH("#",B4020))),CONCATENATE(TRIM(F4020)," #",G4020),B4020)</f>
        <v>Sack Trolley #2</v>
      </c>
    </row>
    <row r="4021" spans="1:8" x14ac:dyDescent="0.25">
      <c r="A4021" s="8" t="s">
        <v>5794</v>
      </c>
      <c r="B4021" s="8" t="s">
        <v>10731</v>
      </c>
      <c r="C4021" s="8"/>
      <c r="D4021" s="15" t="s">
        <v>1149</v>
      </c>
      <c r="E4021" s="40" t="str">
        <f>IF(ISERROR(VLOOKUP(B4021,Failures!$A$1:$A$4000,1,FALSE)),"Keep","Delete")</f>
        <v>Keep</v>
      </c>
      <c r="F4021" t="str">
        <f>IF(ISNUMBER(SEARCH("#",B4021)), LEFT(B4021,FIND("#",B4021)-1), B4021)</f>
        <v xml:space="preserve">Sack Trolley </v>
      </c>
      <c r="G4021" s="26">
        <v>3</v>
      </c>
      <c r="H4021" t="str">
        <f>IF(AND(regexMatch(B4021,".*#[0-9]*$"),ISNUMBER(SEARCH("#",B4021))),CONCATENATE(TRIM(F4021)," #",G4021),B4021)</f>
        <v>Sack Trolley #3</v>
      </c>
    </row>
    <row r="4022" spans="1:8" x14ac:dyDescent="0.25">
      <c r="A4022" s="8" t="s">
        <v>5892</v>
      </c>
      <c r="B4022" s="8" t="s">
        <v>10325</v>
      </c>
      <c r="C4022" s="8"/>
      <c r="D4022" s="15" t="s">
        <v>1149</v>
      </c>
      <c r="E4022" s="40" t="str">
        <f>IF(ISERROR(VLOOKUP(B4022,Failures!$A$1:$A$4000,1,FALSE)),"Keep","Delete")</f>
        <v>Keep</v>
      </c>
      <c r="F4022" t="str">
        <f>IF(ISNUMBER(SEARCH("#",B4022)), LEFT(B4022,FIND("#",B4022)-1), B4022)</f>
        <v xml:space="preserve">Skid Row Trolley </v>
      </c>
      <c r="G4022" s="26">
        <f>IF(ISNUMBER(SEARCH("#",B4022)),VALUE(MID(B4022,FIND("#",B4022)+1,1000)),1)</f>
        <v>1</v>
      </c>
      <c r="H4022" t="str">
        <f>IF(AND(regexMatch(B4022,".*#[0-9]*$"),ISNUMBER(SEARCH("#",B4022))),CONCATENATE(TRIM(F4022)," #",G4022),B4022)</f>
        <v>Skid Row Trolley #1</v>
      </c>
    </row>
    <row r="4023" spans="1:8" x14ac:dyDescent="0.25">
      <c r="A4023" s="8" t="s">
        <v>5891</v>
      </c>
      <c r="B4023" s="8" t="s">
        <v>10326</v>
      </c>
      <c r="C4023" s="8"/>
      <c r="D4023" s="15" t="s">
        <v>1149</v>
      </c>
      <c r="E4023" s="40" t="str">
        <f>IF(ISERROR(VLOOKUP(B4023,Failures!$A$1:$A$4000,1,FALSE)),"Keep","Delete")</f>
        <v>Keep</v>
      </c>
      <c r="F4023" t="str">
        <f>IF(ISNUMBER(SEARCH("#",B4023)), LEFT(B4023,FIND("#",B4023)-1), B4023)</f>
        <v xml:space="preserve">Skid Row Trolley </v>
      </c>
      <c r="G4023" s="26">
        <f>IF(ISNUMBER(SEARCH("#",B4023)),VALUE(MID(B4023,FIND("#",B4023)+1,1000)),1)</f>
        <v>2</v>
      </c>
      <c r="H4023" t="str">
        <f>IF(AND(regexMatch(B4023,".*#[0-9]*$"),ISNUMBER(SEARCH("#",B4023))),CONCATENATE(TRIM(F4023)," #",G4023),B4023)</f>
        <v>Skid Row Trolley #2</v>
      </c>
    </row>
    <row r="4024" spans="1:8" x14ac:dyDescent="0.25">
      <c r="A4024" s="8" t="s">
        <v>125</v>
      </c>
      <c r="B4024" s="8" t="s">
        <v>126</v>
      </c>
      <c r="C4024" s="13" t="s">
        <v>5</v>
      </c>
      <c r="D4024" s="15" t="s">
        <v>127</v>
      </c>
      <c r="E4024" s="40" t="str">
        <f>IF(ISERROR(VLOOKUP(B4024,Failures!$A$1:$A$4000,1,FALSE)),"Keep","Delete")</f>
        <v>Keep</v>
      </c>
      <c r="F4024" t="str">
        <f>IF(ISNUMBER(SEARCH("#",B4024)), LEFT(B4024,FIND("#",B4024)-1), B4024)</f>
        <v>Amp</v>
      </c>
      <c r="G4024" s="26">
        <f>IF(ISNUMBER(SEARCH("#",B4024)),VALUE(MID(B4024,FIND("#",B4024)+1,1000)),1)</f>
        <v>1</v>
      </c>
      <c r="H4024" t="str">
        <f>IF(AND(regexMatch(B4024,".*#[0-9]*$"),ISNUMBER(SEARCH("#",B4024))),CONCATENATE(TRIM(F4024)," #",G4024),B4024)</f>
        <v>Amp</v>
      </c>
    </row>
    <row r="4025" spans="1:8" x14ac:dyDescent="0.25">
      <c r="A4025" s="8" t="s">
        <v>312</v>
      </c>
      <c r="B4025" s="8" t="s">
        <v>313</v>
      </c>
      <c r="C4025" s="13" t="s">
        <v>5</v>
      </c>
      <c r="D4025" s="15" t="s">
        <v>127</v>
      </c>
      <c r="E4025" s="40" t="str">
        <f>IF(ISERROR(VLOOKUP(B4025,Failures!$A$1:$A$4000,1,FALSE)),"Keep","Delete")</f>
        <v>Keep</v>
      </c>
      <c r="F4025" t="str">
        <f>IF(ISNUMBER(SEARCH("#",B4025)), LEFT(B4025,FIND("#",B4025)-1), B4025)</f>
        <v>Betamax Tape</v>
      </c>
      <c r="G4025" s="26">
        <f>IF(ISNUMBER(SEARCH("#",B4025)),VALUE(MID(B4025,FIND("#",B4025)+1,1000)),1)</f>
        <v>1</v>
      </c>
      <c r="H4025" t="str">
        <f>IF(AND(regexMatch(B4025,".*#[0-9]*$"),ISNUMBER(SEARCH("#",B4025))),CONCATENATE(TRIM(F4025)," #",G4025),B4025)</f>
        <v>Betamax Tape</v>
      </c>
    </row>
    <row r="4026" spans="1:8" x14ac:dyDescent="0.25">
      <c r="A4026" s="8" t="s">
        <v>463</v>
      </c>
      <c r="B4026" s="8" t="s">
        <v>464</v>
      </c>
      <c r="C4026" s="13" t="s">
        <v>5</v>
      </c>
      <c r="D4026" s="15" t="s">
        <v>127</v>
      </c>
      <c r="E4026" s="40" t="str">
        <f>IF(ISERROR(VLOOKUP(B4026,Failures!$A$1:$A$4000,1,FALSE)),"Keep","Delete")</f>
        <v>Keep</v>
      </c>
      <c r="F4026" t="str">
        <f>IF(ISNUMBER(SEARCH("#",B4026)), LEFT(B4026,FIND("#",B4026)-1), B4026)</f>
        <v>Boombox</v>
      </c>
      <c r="G4026" s="26">
        <f>IF(ISNUMBER(SEARCH("#",B4026)),VALUE(MID(B4026,FIND("#",B4026)+1,1000)),1)</f>
        <v>1</v>
      </c>
      <c r="H4026" t="str">
        <f>IF(AND(regexMatch(B4026,".*#[0-9]*$"),ISNUMBER(SEARCH("#",B4026))),CONCATENATE(TRIM(F4026)," #",G4026),B4026)</f>
        <v>Boombox</v>
      </c>
    </row>
    <row r="4027" spans="1:8" x14ac:dyDescent="0.25">
      <c r="A4027" s="8" t="s">
        <v>925</v>
      </c>
      <c r="B4027" s="8" t="s">
        <v>926</v>
      </c>
      <c r="C4027" s="12" t="s">
        <v>5</v>
      </c>
      <c r="D4027" s="15" t="s">
        <v>127</v>
      </c>
      <c r="E4027" s="40" t="str">
        <f>IF(ISERROR(VLOOKUP(B4027,Failures!$A$1:$A$4000,1,FALSE)),"Keep","Delete")</f>
        <v>Keep</v>
      </c>
      <c r="F4027" t="str">
        <f>IF(ISNUMBER(SEARCH("#",B4027)), LEFT(B4027,FIND("#",B4027)-1), B4027)</f>
        <v>DVD</v>
      </c>
      <c r="G4027" s="26">
        <f>IF(ISNUMBER(SEARCH("#",B4027)),VALUE(MID(B4027,FIND("#",B4027)+1,1000)),1)</f>
        <v>1</v>
      </c>
      <c r="H4027" t="str">
        <f>IF(AND(regexMatch(B4027,".*#[0-9]*$"),ISNUMBER(SEARCH("#",B4027))),CONCATENATE(TRIM(F4027)," #",G4027),B4027)</f>
        <v>DVD</v>
      </c>
    </row>
    <row r="4028" spans="1:8" x14ac:dyDescent="0.25">
      <c r="A4028" s="8" t="s">
        <v>927</v>
      </c>
      <c r="B4028" s="8" t="s">
        <v>928</v>
      </c>
      <c r="C4028" s="12" t="s">
        <v>5</v>
      </c>
      <c r="D4028" s="15" t="s">
        <v>127</v>
      </c>
      <c r="E4028" s="40" t="str">
        <f>IF(ISERROR(VLOOKUP(B4028,Failures!$A$1:$A$4000,1,FALSE)),"Keep","Delete")</f>
        <v>Keep</v>
      </c>
      <c r="F4028" t="str">
        <f>IF(ISNUMBER(SEARCH("#",B4028)), LEFT(B4028,FIND("#",B4028)-1), B4028)</f>
        <v>DVD Case</v>
      </c>
      <c r="G4028" s="26">
        <f>IF(ISNUMBER(SEARCH("#",B4028)),VALUE(MID(B4028,FIND("#",B4028)+1,1000)),1)</f>
        <v>1</v>
      </c>
      <c r="H4028" t="str">
        <f>IF(AND(regexMatch(B4028,".*#[0-9]*$"),ISNUMBER(SEARCH("#",B4028))),CONCATENATE(TRIM(F4028)," #",G4028),B4028)</f>
        <v>DVD Case</v>
      </c>
    </row>
    <row r="4029" spans="1:8" x14ac:dyDescent="0.25">
      <c r="A4029" s="8" t="s">
        <v>929</v>
      </c>
      <c r="B4029" s="8" t="s">
        <v>930</v>
      </c>
      <c r="C4029" s="12" t="s">
        <v>5</v>
      </c>
      <c r="D4029" s="15" t="s">
        <v>127</v>
      </c>
      <c r="E4029" s="40" t="str">
        <f>IF(ISERROR(VLOOKUP(B4029,Failures!$A$1:$A$4000,1,FALSE)),"Keep","Delete")</f>
        <v>Keep</v>
      </c>
      <c r="F4029" t="str">
        <f>IF(ISNUMBER(SEARCH("#",B4029)), LEFT(B4029,FIND("#",B4029)-1), B4029)</f>
        <v>DVD Player</v>
      </c>
      <c r="G4029" s="26">
        <f>IF(ISNUMBER(SEARCH("#",B4029)),VALUE(MID(B4029,FIND("#",B4029)+1,1000)),1)</f>
        <v>1</v>
      </c>
      <c r="H4029" t="str">
        <f>IF(AND(regexMatch(B4029,".*#[0-9]*$"),ISNUMBER(SEARCH("#",B4029))),CONCATENATE(TRIM(F4029)," #",G4029),B4029)</f>
        <v>DVD Player</v>
      </c>
    </row>
    <row r="4030" spans="1:8" x14ac:dyDescent="0.25">
      <c r="A4030" s="8" t="s">
        <v>5840</v>
      </c>
      <c r="B4030" s="8" t="s">
        <v>10360</v>
      </c>
      <c r="C4030" s="8"/>
      <c r="D4030" s="15" t="s">
        <v>127</v>
      </c>
      <c r="E4030" s="40" t="str">
        <f>IF(ISERROR(VLOOKUP(B4030,Failures!$A$1:$A$4000,1,FALSE)),"Keep","Delete")</f>
        <v>Keep</v>
      </c>
      <c r="F4030" t="str">
        <f>IF(ISNUMBER(SEARCH("#",B4030)), LEFT(B4030,FIND("#",B4030)-1), B4030)</f>
        <v>Epsilon TV On Stand</v>
      </c>
      <c r="G4030" s="26">
        <f>IF(ISNUMBER(SEARCH("#",B4030)),VALUE(MID(B4030,FIND("#",B4030)+1,1000)),1)</f>
        <v>1</v>
      </c>
      <c r="H4030" t="str">
        <f>IF(AND(regexMatch(B4030,".*#[0-9]*$"),ISNUMBER(SEARCH("#",B4030))),CONCATENATE(TRIM(F4030)," #",G4030),B4030)</f>
        <v>Epsilon TV On Stand</v>
      </c>
    </row>
    <row r="4031" spans="1:8" x14ac:dyDescent="0.25">
      <c r="A4031" s="8" t="s">
        <v>1423</v>
      </c>
      <c r="B4031" s="8" t="s">
        <v>1424</v>
      </c>
      <c r="C4031" s="13" t="s">
        <v>5</v>
      </c>
      <c r="D4031" s="15" t="s">
        <v>127</v>
      </c>
      <c r="E4031" s="40" t="str">
        <f>IF(ISERROR(VLOOKUP(B4031,Failures!$A$1:$A$4000,1,FALSE)),"Keep","Delete")</f>
        <v>Keep</v>
      </c>
      <c r="F4031" t="str">
        <f>IF(ISNUMBER(SEARCH("#",B4031)), LEFT(B4031,FIND("#",B4031)-1), B4031)</f>
        <v>Flatscreen Overlay</v>
      </c>
      <c r="G4031" s="26">
        <f>IF(ISNUMBER(SEARCH("#",B4031)),VALUE(MID(B4031,FIND("#",B4031)+1,1000)),1)</f>
        <v>1</v>
      </c>
      <c r="H4031" t="str">
        <f>IF(AND(regexMatch(B4031,".*#[0-9]*$"),ISNUMBER(SEARCH("#",B4031))),CONCATENATE(TRIM(F4031)," #",G4031),B4031)</f>
        <v>Flatscreen Overlay</v>
      </c>
    </row>
    <row r="4032" spans="1:8" x14ac:dyDescent="0.25">
      <c r="A4032" s="8" t="s">
        <v>3299</v>
      </c>
      <c r="B4032" s="8" t="s">
        <v>3688</v>
      </c>
      <c r="C4032" s="13" t="s">
        <v>5</v>
      </c>
      <c r="D4032" s="15" t="s">
        <v>127</v>
      </c>
      <c r="E4032" s="40" t="str">
        <f>IF(ISERROR(VLOOKUP(B4032,Failures!$A$1:$A$4000,1,FALSE)),"Keep","Delete")</f>
        <v>Keep</v>
      </c>
      <c r="F4032" t="str">
        <f>IF(ISNUMBER(SEARCH("#",B4032)), LEFT(B4032,FIND("#",B4032)-1), B4032)</f>
        <v xml:space="preserve">Flatscreen TV </v>
      </c>
      <c r="G4032" s="26">
        <f>IF(ISNUMBER(SEARCH("#",B4032)),VALUE(MID(B4032,FIND("#",B4032)+1,1000)),1)</f>
        <v>1</v>
      </c>
      <c r="H4032" t="str">
        <f>IF(AND(regexMatch(B4032,".*#[0-9]*$"),ISNUMBER(SEARCH("#",B4032))),CONCATENATE(TRIM(F4032)," #",G4032),B4032)</f>
        <v>Flatscreen TV #1</v>
      </c>
    </row>
    <row r="4033" spans="1:8" s="30" customFormat="1" x14ac:dyDescent="0.25">
      <c r="A4033" s="8" t="s">
        <v>3300</v>
      </c>
      <c r="B4033" s="8" t="s">
        <v>3689</v>
      </c>
      <c r="C4033" s="13" t="s">
        <v>5</v>
      </c>
      <c r="D4033" s="15" t="s">
        <v>127</v>
      </c>
      <c r="E4033" s="40" t="str">
        <f>IF(ISERROR(VLOOKUP(B4033,Failures!$A$1:$A$4000,1,FALSE)),"Keep","Delete")</f>
        <v>Keep</v>
      </c>
      <c r="F4033" t="str">
        <f>IF(ISNUMBER(SEARCH("#",B4033)), LEFT(B4033,FIND("#",B4033)-1), B4033)</f>
        <v xml:space="preserve">Flatscreen TV </v>
      </c>
      <c r="G4033" s="26">
        <f>IF(ISNUMBER(SEARCH("#",B4033)),VALUE(MID(B4033,FIND("#",B4033)+1,1000)),1)</f>
        <v>2</v>
      </c>
      <c r="H4033" t="str">
        <f>IF(AND(regexMatch(B4033,".*#[0-9]*$"),ISNUMBER(SEARCH("#",B4033))),CONCATENATE(TRIM(F4033)," #",G4033),B4033)</f>
        <v>Flatscreen TV #2</v>
      </c>
    </row>
    <row r="4034" spans="1:8" x14ac:dyDescent="0.25">
      <c r="A4034" s="8" t="s">
        <v>3307</v>
      </c>
      <c r="B4034" s="8" t="s">
        <v>3308</v>
      </c>
      <c r="C4034" s="13" t="s">
        <v>5</v>
      </c>
      <c r="D4034" s="15" t="s">
        <v>127</v>
      </c>
      <c r="E4034" s="40" t="str">
        <f>IF(ISERROR(VLOOKUP(B4034,Failures!$A$1:$A$4000,1,FALSE)),"Keep","Delete")</f>
        <v>Keep</v>
      </c>
      <c r="F4034" t="str">
        <f>IF(ISNUMBER(SEARCH("#",B4034)), LEFT(B4034,FIND("#",B4034)-1), B4034)</f>
        <v xml:space="preserve">Flatscreen TV </v>
      </c>
      <c r="G4034" s="26">
        <v>3</v>
      </c>
      <c r="H4034" t="str">
        <f>IF(AND(regexMatch(B4034,".*#[0-9]*$"),ISNUMBER(SEARCH("#",B4034))),CONCATENATE(TRIM(F4034)," #",G4034),B4034)</f>
        <v>Flatscreen TV #3 Large</v>
      </c>
    </row>
    <row r="4035" spans="1:8" x14ac:dyDescent="0.25">
      <c r="A4035" s="8" t="s">
        <v>3301</v>
      </c>
      <c r="B4035" s="8" t="s">
        <v>3302</v>
      </c>
      <c r="C4035" s="13" t="s">
        <v>5</v>
      </c>
      <c r="D4035" s="15" t="s">
        <v>127</v>
      </c>
      <c r="E4035" s="40" t="str">
        <f>IF(ISERROR(VLOOKUP(B4035,Failures!$A$1:$A$4000,1,FALSE)),"Keep","Delete")</f>
        <v>Keep</v>
      </c>
      <c r="F4035" t="str">
        <f>IF(ISNUMBER(SEARCH("#",B4035)), LEFT(B4035,FIND("#",B4035)-1), B4035)</f>
        <v xml:space="preserve">Flatscreen TV </v>
      </c>
      <c r="G4035" s="26">
        <v>3</v>
      </c>
      <c r="H4035" t="str">
        <f>IF(AND(regexMatch(B4035,".*#[0-9]*$"),ISNUMBER(SEARCH("#",B4035))),CONCATENATE(TRIM(F4035)," #",G4035),B4035)</f>
        <v>Flatscreen TV #3 Medium</v>
      </c>
    </row>
    <row r="4036" spans="1:8" x14ac:dyDescent="0.25">
      <c r="A4036" s="8" t="s">
        <v>3305</v>
      </c>
      <c r="B4036" s="8" t="s">
        <v>3306</v>
      </c>
      <c r="C4036" s="13" t="s">
        <v>5</v>
      </c>
      <c r="D4036" s="15" t="s">
        <v>127</v>
      </c>
      <c r="E4036" s="40" t="str">
        <f>IF(ISERROR(VLOOKUP(B4036,Failures!$A$1:$A$4000,1,FALSE)),"Keep","Delete")</f>
        <v>Keep</v>
      </c>
      <c r="F4036" t="str">
        <f>IF(ISNUMBER(SEARCH("#",B4036)), LEFT(B4036,FIND("#",B4036)-1), B4036)</f>
        <v xml:space="preserve">Flatscreen TV </v>
      </c>
      <c r="G4036" s="26">
        <v>3</v>
      </c>
      <c r="H4036" t="str">
        <f>IF(AND(regexMatch(B4036,".*#[0-9]*$"),ISNUMBER(SEARCH("#",B4036))),CONCATENATE(TRIM(F4036)," #",G4036),B4036)</f>
        <v>Flatscreen TV #3 Small</v>
      </c>
    </row>
    <row r="4037" spans="1:8" x14ac:dyDescent="0.25">
      <c r="A4037" s="8" t="s">
        <v>3303</v>
      </c>
      <c r="B4037" s="8" t="s">
        <v>3304</v>
      </c>
      <c r="C4037" s="13" t="s">
        <v>5</v>
      </c>
      <c r="D4037" s="15" t="s">
        <v>127</v>
      </c>
      <c r="E4037" s="40" t="str">
        <f>IF(ISERROR(VLOOKUP(B4037,Failures!$A$1:$A$4000,1,FALSE)),"Keep","Delete")</f>
        <v>Keep</v>
      </c>
      <c r="F4037" t="str">
        <f>IF(ISNUMBER(SEARCH("#",B4037)), LEFT(B4037,FIND("#",B4037)-1), B4037)</f>
        <v xml:space="preserve">Flatscreen TV </v>
      </c>
      <c r="G4037" s="26">
        <v>3</v>
      </c>
      <c r="H4037" t="str">
        <f>IF(AND(regexMatch(B4037,".*#[0-9]*$"),ISNUMBER(SEARCH("#",B4037))),CONCATENATE(TRIM(F4037)," #",G4037),B4037)</f>
        <v>Flatscreen TV #3 Small With Stand</v>
      </c>
    </row>
    <row r="4038" spans="1:8" x14ac:dyDescent="0.25">
      <c r="A4038" s="8" t="s">
        <v>762</v>
      </c>
      <c r="B4038" s="8" t="s">
        <v>763</v>
      </c>
      <c r="C4038" s="13" t="s">
        <v>5</v>
      </c>
      <c r="D4038" s="15" t="s">
        <v>127</v>
      </c>
      <c r="E4038" s="40" t="str">
        <f>IF(ISERROR(VLOOKUP(B4038,Failures!$A$1:$A$4000,1,FALSE)),"Keep","Delete")</f>
        <v>Keep</v>
      </c>
      <c r="F4038" t="str">
        <f>IF(ISNUMBER(SEARCH("#",B4038)), LEFT(B4038,FIND("#",B4038)-1), B4038)</f>
        <v>Games Console</v>
      </c>
      <c r="G4038" s="26">
        <f>IF(ISNUMBER(SEARCH("#",B4038)),VALUE(MID(B4038,FIND("#",B4038)+1,1000)),1)</f>
        <v>1</v>
      </c>
      <c r="H4038" t="str">
        <f>IF(AND(regexMatch(B4038,".*#[0-9]*$"),ISNUMBER(SEARCH("#",B4038))),CONCATENATE(TRIM(F4038)," #",G4038),B4038)</f>
        <v>Games Console</v>
      </c>
    </row>
    <row r="4039" spans="1:8" x14ac:dyDescent="0.25">
      <c r="A4039" s="8" t="s">
        <v>792</v>
      </c>
      <c r="B4039" s="8" t="s">
        <v>793</v>
      </c>
      <c r="C4039" s="13" t="s">
        <v>5</v>
      </c>
      <c r="D4039" s="15" t="s">
        <v>127</v>
      </c>
      <c r="E4039" s="40" t="str">
        <f>IF(ISERROR(VLOOKUP(B4039,Failures!$A$1:$A$4000,1,FALSE)),"Keep","Delete")</f>
        <v>Keep</v>
      </c>
      <c r="F4039" t="str">
        <f>IF(ISNUMBER(SEARCH("#",B4039)), LEFT(B4039,FIND("#",B4039)-1), B4039)</f>
        <v>Games Console Controller</v>
      </c>
      <c r="G4039" s="26">
        <f>IF(ISNUMBER(SEARCH("#",B4039)),VALUE(MID(B4039,FIND("#",B4039)+1,1000)),1)</f>
        <v>1</v>
      </c>
      <c r="H4039" t="str">
        <f>IF(AND(regexMatch(B4039,".*#[0-9]*$"),ISNUMBER(SEARCH("#",B4039))),CONCATENATE(TRIM(F4039)," #",G4039),B4039)</f>
        <v>Games Console Controller</v>
      </c>
    </row>
    <row r="4040" spans="1:8" x14ac:dyDescent="0.25">
      <c r="A4040" s="28" t="s">
        <v>9554</v>
      </c>
      <c r="B4040" s="25" t="s">
        <v>10647</v>
      </c>
      <c r="C4040" s="8"/>
      <c r="D4040" s="15" t="s">
        <v>127</v>
      </c>
      <c r="E4040" s="40" t="str">
        <f>IF(ISERROR(VLOOKUP(B4040,Failures!$A$1:$A$4000,1,FALSE)),"Keep","Delete")</f>
        <v>Keep</v>
      </c>
      <c r="F4040" t="str">
        <f>IF(ISNUMBER(SEARCH("#",B4040)), LEFT(B4040,FIND("#",B4040)-1), B4040)</f>
        <v xml:space="preserve">Ghettoblaster </v>
      </c>
      <c r="G4040" s="26">
        <v>1</v>
      </c>
      <c r="H4040" t="str">
        <f>IF(AND(regexMatch(B4040,".*#[0-9]*$"),ISNUMBER(SEARCH("#",B4040))),CONCATENATE(TRIM(F4040)," #",G4040),B4040)</f>
        <v>Ghettoblaster #1</v>
      </c>
    </row>
    <row r="4041" spans="1:8" x14ac:dyDescent="0.25">
      <c r="A4041" s="8" t="s">
        <v>1568</v>
      </c>
      <c r="B4041" s="8" t="s">
        <v>10647</v>
      </c>
      <c r="C4041" s="12" t="s">
        <v>5</v>
      </c>
      <c r="D4041" s="15" t="s">
        <v>127</v>
      </c>
      <c r="E4041" s="40" t="str">
        <f>IF(ISERROR(VLOOKUP(B4041,Failures!$A$1:$A$4000,1,FALSE)),"Keep","Delete")</f>
        <v>Keep</v>
      </c>
      <c r="F4041" t="str">
        <f>IF(ISNUMBER(SEARCH("#",B4041)), LEFT(B4041,FIND("#",B4041)-1), B4041)</f>
        <v xml:space="preserve">Ghettoblaster </v>
      </c>
      <c r="G4041" s="26">
        <v>2</v>
      </c>
      <c r="H4041" t="str">
        <f>IF(AND(regexMatch(B4041,".*#[0-9]*$"),ISNUMBER(SEARCH("#",B4041))),CONCATENATE(TRIM(F4041)," #",G4041),B4041)</f>
        <v>Ghettoblaster #2</v>
      </c>
    </row>
    <row r="4042" spans="1:8" x14ac:dyDescent="0.25">
      <c r="A4042" s="28" t="s">
        <v>7378</v>
      </c>
      <c r="B4042" s="25" t="s">
        <v>10640</v>
      </c>
      <c r="C4042" s="8"/>
      <c r="D4042" s="15" t="s">
        <v>127</v>
      </c>
      <c r="E4042" s="40" t="str">
        <f>IF(ISERROR(VLOOKUP(B4042,Failures!$A$1:$A$4000,1,FALSE)),"Keep","Delete")</f>
        <v>Keep</v>
      </c>
      <c r="F4042" t="str">
        <f>IF(ISNUMBER(SEARCH("#",B4042)), LEFT(B4042,FIND("#",B4042)-1), B4042)</f>
        <v>Giant Cinema Screen</v>
      </c>
      <c r="G4042" s="26">
        <f>IF(ISNUMBER(SEARCH("#",B4042)),VALUE(MID(B4042,FIND("#",B4042)+1,1000)),1)</f>
        <v>1</v>
      </c>
      <c r="H4042" t="str">
        <f>IF(AND(regexMatch(B4042,".*#[0-9]*$"),ISNUMBER(SEARCH("#",B4042))),CONCATENATE(TRIM(F4042)," #",G4042),B4042)</f>
        <v>Giant Cinema Screen</v>
      </c>
    </row>
    <row r="4043" spans="1:8" x14ac:dyDescent="0.25">
      <c r="A4043" s="8" t="s">
        <v>1636</v>
      </c>
      <c r="B4043" s="8" t="s">
        <v>1637</v>
      </c>
      <c r="C4043" s="13" t="s">
        <v>5</v>
      </c>
      <c r="D4043" s="15" t="s">
        <v>127</v>
      </c>
      <c r="E4043" s="40" t="str">
        <f>IF(ISERROR(VLOOKUP(B4043,Failures!$A$1:$A$4000,1,FALSE)),"Keep","Delete")</f>
        <v>Keep</v>
      </c>
      <c r="F4043" t="str">
        <f>IF(ISNUMBER(SEARCH("#",B4043)), LEFT(B4043,FIND("#",B4043)-1), B4043)</f>
        <v>Headphones</v>
      </c>
      <c r="G4043" s="26">
        <f>IF(ISNUMBER(SEARCH("#",B4043)),VALUE(MID(B4043,FIND("#",B4043)+1,1000)),1)</f>
        <v>1</v>
      </c>
      <c r="H4043" t="str">
        <f>IF(AND(regexMatch(B4043,".*#[0-9]*$"),ISNUMBER(SEARCH("#",B4043))),CONCATENATE(TRIM(F4043)," #",G4043),B4043)</f>
        <v>Headphones</v>
      </c>
    </row>
    <row r="4044" spans="1:8" x14ac:dyDescent="0.25">
      <c r="A4044" s="8" t="s">
        <v>1638</v>
      </c>
      <c r="B4044" s="8" t="s">
        <v>1639</v>
      </c>
      <c r="C4044" s="13" t="s">
        <v>5</v>
      </c>
      <c r="D4044" s="15" t="s">
        <v>127</v>
      </c>
      <c r="E4044" s="40" t="str">
        <f>IF(ISERROR(VLOOKUP(B4044,Failures!$A$1:$A$4000,1,FALSE)),"Keep","Delete")</f>
        <v>Keep</v>
      </c>
      <c r="F4044" t="str">
        <f>IF(ISNUMBER(SEARCH("#",B4044)), LEFT(B4044,FIND("#",B4044)-1), B4044)</f>
        <v>Headset</v>
      </c>
      <c r="G4044" s="26">
        <f>IF(ISNUMBER(SEARCH("#",B4044)),VALUE(MID(B4044,FIND("#",B4044)+1,1000)),1)</f>
        <v>1</v>
      </c>
      <c r="H4044" t="str">
        <f>IF(AND(regexMatch(B4044,".*#[0-9]*$"),ISNUMBER(SEARCH("#",B4044))),CONCATENATE(TRIM(F4044)," #",G4044),B4044)</f>
        <v>Headset</v>
      </c>
    </row>
    <row r="4045" spans="1:8" x14ac:dyDescent="0.25">
      <c r="A4045" s="8" t="s">
        <v>1648</v>
      </c>
      <c r="B4045" s="8" t="s">
        <v>1649</v>
      </c>
      <c r="C4045" s="13" t="s">
        <v>5</v>
      </c>
      <c r="D4045" s="15" t="s">
        <v>127</v>
      </c>
      <c r="E4045" s="40" t="str">
        <f>IF(ISERROR(VLOOKUP(B4045,Failures!$A$1:$A$4000,1,FALSE)),"Keep","Delete")</f>
        <v>Keep</v>
      </c>
      <c r="F4045" t="str">
        <f>IF(ISNUMBER(SEARCH("#",B4045)), LEFT(B4045,FIND("#",B4045)-1), B4045)</f>
        <v>Hi-Fi</v>
      </c>
      <c r="G4045" s="26">
        <f>IF(ISNUMBER(SEARCH("#",B4045)),VALUE(MID(B4045,FIND("#",B4045)+1,1000)),1)</f>
        <v>1</v>
      </c>
      <c r="H4045" t="str">
        <f>IF(AND(regexMatch(B4045,".*#[0-9]*$"),ISNUMBER(SEARCH("#",B4045))),CONCATENATE(TRIM(F4045)," #",G4045),B4045)</f>
        <v>Hi-Fi</v>
      </c>
    </row>
    <row r="4046" spans="1:8" x14ac:dyDescent="0.25">
      <c r="A4046" s="8" t="s">
        <v>1792</v>
      </c>
      <c r="B4046" s="8" t="s">
        <v>1793</v>
      </c>
      <c r="C4046" s="13" t="s">
        <v>5</v>
      </c>
      <c r="D4046" s="15" t="s">
        <v>127</v>
      </c>
      <c r="E4046" s="40" t="str">
        <f>IF(ISERROR(VLOOKUP(B4046,Failures!$A$1:$A$4000,1,FALSE)),"Keep","Delete")</f>
        <v>Keep</v>
      </c>
      <c r="F4046" t="str">
        <f>IF(ISNUMBER(SEARCH("#",B4046)), LEFT(B4046,FIND("#",B4046)-1), B4046)</f>
        <v xml:space="preserve">Jukebox </v>
      </c>
      <c r="G4046" s="26">
        <f>IF(ISNUMBER(SEARCH("#",B4046)),VALUE(MID(B4046,FIND("#",B4046)+1,1000)),1)</f>
        <v>1</v>
      </c>
      <c r="H4046" t="str">
        <f>IF(AND(regexMatch(B4046,".*#[0-9]*$"),ISNUMBER(SEARCH("#",B4046))),CONCATENATE(TRIM(F4046)," #",G4046),B4046)</f>
        <v>Jukebox #1</v>
      </c>
    </row>
    <row r="4047" spans="1:8" x14ac:dyDescent="0.25">
      <c r="A4047" s="8" t="s">
        <v>1794</v>
      </c>
      <c r="B4047" s="8" t="s">
        <v>1795</v>
      </c>
      <c r="C4047" s="12" t="s">
        <v>5</v>
      </c>
      <c r="D4047" s="15" t="s">
        <v>127</v>
      </c>
      <c r="E4047" s="40" t="str">
        <f>IF(ISERROR(VLOOKUP(B4047,Failures!$A$1:$A$4000,1,FALSE)),"Keep","Delete")</f>
        <v>Keep</v>
      </c>
      <c r="F4047" t="str">
        <f>IF(ISNUMBER(SEARCH("#",B4047)), LEFT(B4047,FIND("#",B4047)-1), B4047)</f>
        <v xml:space="preserve">Jukebox </v>
      </c>
      <c r="G4047" s="26">
        <f>IF(ISNUMBER(SEARCH("#",B4047)),VALUE(MID(B4047,FIND("#",B4047)+1,1000)),1)</f>
        <v>2</v>
      </c>
      <c r="H4047" t="str">
        <f>IF(AND(regexMatch(B4047,".*#[0-9]*$"),ISNUMBER(SEARCH("#",B4047))),CONCATENATE(TRIM(F4047)," #",G4047),B4047)</f>
        <v>Jukebox #2</v>
      </c>
    </row>
    <row r="4048" spans="1:8" x14ac:dyDescent="0.25">
      <c r="A4048" s="28" t="s">
        <v>9540</v>
      </c>
      <c r="B4048" s="25" t="s">
        <v>10672</v>
      </c>
      <c r="C4048" s="8"/>
      <c r="D4048" s="15" t="s">
        <v>127</v>
      </c>
      <c r="E4048" s="40" t="str">
        <f>IF(ISERROR(VLOOKUP(B4048,Failures!$A$1:$A$4000,1,FALSE)),"Keep","Delete")</f>
        <v>Keep</v>
      </c>
      <c r="F4048" t="str">
        <f>IF(ISNUMBER(SEARCH("#",B4048)), LEFT(B4048,FIND("#",B4048)-1), B4048)</f>
        <v>Mic And Stand</v>
      </c>
      <c r="G4048" s="26">
        <f>IF(ISNUMBER(SEARCH("#",B4048)),VALUE(MID(B4048,FIND("#",B4048)+1,1000)),1)</f>
        <v>1</v>
      </c>
      <c r="H4048" t="str">
        <f>IF(AND(regexMatch(B4048,".*#[0-9]*$"),ISNUMBER(SEARCH("#",B4048))),CONCATENATE(TRIM(F4048)," #",G4048),B4048)</f>
        <v>Mic And Stand</v>
      </c>
    </row>
    <row r="4049" spans="1:8" x14ac:dyDescent="0.25">
      <c r="A4049" s="8" t="s">
        <v>2121</v>
      </c>
      <c r="B4049" s="8" t="s">
        <v>2122</v>
      </c>
      <c r="C4049" s="12" t="s">
        <v>5</v>
      </c>
      <c r="D4049" s="15" t="s">
        <v>127</v>
      </c>
      <c r="E4049" s="40" t="str">
        <f>IF(ISERROR(VLOOKUP(B4049,Failures!$A$1:$A$4000,1,FALSE)),"Keep","Delete")</f>
        <v>Keep</v>
      </c>
      <c r="F4049" t="str">
        <f>IF(ISNUMBER(SEARCH("#",B4049)), LEFT(B4049,FIND("#",B4049)-1), B4049)</f>
        <v>Michael Executive Producer TV Credit</v>
      </c>
      <c r="G4049" s="26">
        <f>IF(ISNUMBER(SEARCH("#",B4049)),VALUE(MID(B4049,FIND("#",B4049)+1,1000)),1)</f>
        <v>1</v>
      </c>
      <c r="H4049" t="str">
        <f>IF(AND(regexMatch(B4049,".*#[0-9]*$"),ISNUMBER(SEARCH("#",B4049))),CONCATENATE(TRIM(F4049)," #",G4049),B4049)</f>
        <v>Michael Executive Producer TV Credit</v>
      </c>
    </row>
    <row r="4050" spans="1:8" x14ac:dyDescent="0.25">
      <c r="A4050" s="8" t="s">
        <v>2131</v>
      </c>
      <c r="B4050" s="8" t="s">
        <v>3774</v>
      </c>
      <c r="C4050" s="12" t="s">
        <v>5</v>
      </c>
      <c r="D4050" s="15" t="s">
        <v>127</v>
      </c>
      <c r="E4050" s="40" t="str">
        <f>IF(ISERROR(VLOOKUP(B4050,Failures!$A$1:$A$4000,1,FALSE)),"Keep","Delete")</f>
        <v>Keep</v>
      </c>
      <c r="F4050" t="str">
        <f>IF(ISNUMBER(SEARCH("#",B4050)), LEFT(B4050,FIND("#",B4050)-1), B4050)</f>
        <v>Microphone</v>
      </c>
      <c r="G4050" s="26">
        <f>IF(ISNUMBER(SEARCH("#",B4050)),VALUE(MID(B4050,FIND("#",B4050)+1,1000)),1)</f>
        <v>1</v>
      </c>
      <c r="H4050" t="str">
        <f>IF(AND(regexMatch(B4050,".*#[0-9]*$"),ISNUMBER(SEARCH("#",B4050))),CONCATENATE(TRIM(F4050)," #",G4050),B4050)</f>
        <v>Microphone</v>
      </c>
    </row>
    <row r="4051" spans="1:8" x14ac:dyDescent="0.25">
      <c r="A4051" s="8" t="s">
        <v>1016</v>
      </c>
      <c r="B4051" s="8" t="s">
        <v>1017</v>
      </c>
      <c r="C4051" s="12" t="s">
        <v>5</v>
      </c>
      <c r="D4051" s="15" t="s">
        <v>127</v>
      </c>
      <c r="E4051" s="40" t="str">
        <f>IF(ISERROR(VLOOKUP(B4051,Failures!$A$1:$A$4000,1,FALSE)),"Keep","Delete")</f>
        <v>Keep</v>
      </c>
      <c r="F4051" t="str">
        <f>IF(ISNUMBER(SEARCH("#",B4051)), LEFT(B4051,FIND("#",B4051)-1), B4051)</f>
        <v>Mini TV</v>
      </c>
      <c r="G4051" s="26">
        <f>IF(ISNUMBER(SEARCH("#",B4051)),VALUE(MID(B4051,FIND("#",B4051)+1,1000)),1)</f>
        <v>1</v>
      </c>
      <c r="H4051" t="str">
        <f>IF(AND(regexMatch(B4051,".*#[0-9]*$"),ISNUMBER(SEARCH("#",B4051))),CONCATENATE(TRIM(F4051)," #",G4051),B4051)</f>
        <v>Mini TV</v>
      </c>
    </row>
    <row r="4052" spans="1:8" x14ac:dyDescent="0.25">
      <c r="A4052" s="8" t="s">
        <v>2211</v>
      </c>
      <c r="B4052" s="8" t="s">
        <v>2212</v>
      </c>
      <c r="C4052" s="12" t="s">
        <v>5</v>
      </c>
      <c r="D4052" s="15" t="s">
        <v>127</v>
      </c>
      <c r="E4052" s="40" t="str">
        <f>IF(ISERROR(VLOOKUP(B4052,Failures!$A$1:$A$4000,1,FALSE)),"Keep","Delete")</f>
        <v>Keep</v>
      </c>
      <c r="F4052" t="str">
        <f>IF(ISNUMBER(SEARCH("#",B4052)), LEFT(B4052,FIND("#",B4052)-1), B4052)</f>
        <v>MP3 Dock</v>
      </c>
      <c r="G4052" s="26">
        <f>IF(ISNUMBER(SEARCH("#",B4052)),VALUE(MID(B4052,FIND("#",B4052)+1,1000)),1)</f>
        <v>1</v>
      </c>
      <c r="H4052" t="str">
        <f>IF(AND(regexMatch(B4052,".*#[0-9]*$"),ISNUMBER(SEARCH("#",B4052))),CONCATENATE(TRIM(F4052)," #",G4052),B4052)</f>
        <v>MP3 Dock</v>
      </c>
    </row>
    <row r="4053" spans="1:8" x14ac:dyDescent="0.25">
      <c r="A4053" s="8" t="s">
        <v>3309</v>
      </c>
      <c r="B4053" s="8" t="s">
        <v>3310</v>
      </c>
      <c r="C4053" s="12" t="s">
        <v>5</v>
      </c>
      <c r="D4053" s="15" t="s">
        <v>127</v>
      </c>
      <c r="E4053" s="40" t="str">
        <f>IF(ISERROR(VLOOKUP(B4053,Failures!$A$1:$A$4000,1,FALSE)),"Keep","Delete")</f>
        <v>Keep</v>
      </c>
      <c r="F4053" t="str">
        <f>IF(ISNUMBER(SEARCH("#",B4053)), LEFT(B4053,FIND("#",B4053)-1), B4053)</f>
        <v>Old TV</v>
      </c>
      <c r="G4053" s="26">
        <f>IF(ISNUMBER(SEARCH("#",B4053)),VALUE(MID(B4053,FIND("#",B4053)+1,1000)),1)</f>
        <v>1</v>
      </c>
      <c r="H4053" t="str">
        <f>IF(AND(regexMatch(B4053,".*#[0-9]*$"),ISNUMBER(SEARCH("#",B4053))),CONCATENATE(TRIM(F4053)," #",G4053),B4053)</f>
        <v>Old TV</v>
      </c>
    </row>
    <row r="4054" spans="1:8" x14ac:dyDescent="0.25">
      <c r="A4054" s="8" t="s">
        <v>2476</v>
      </c>
      <c r="B4054" s="8" t="s">
        <v>2477</v>
      </c>
      <c r="C4054" s="13" t="s">
        <v>5</v>
      </c>
      <c r="D4054" s="15" t="s">
        <v>127</v>
      </c>
      <c r="E4054" s="40" t="str">
        <f>IF(ISERROR(VLOOKUP(B4054,Failures!$A$1:$A$4000,1,FALSE)),"Keep","Delete")</f>
        <v>Keep</v>
      </c>
      <c r="F4054" t="str">
        <f>IF(ISNUMBER(SEARCH("#",B4054)), LEFT(B4054,FIND("#",B4054)-1), B4054)</f>
        <v>Podium Mic</v>
      </c>
      <c r="G4054" s="26">
        <f>IF(ISNUMBER(SEARCH("#",B4054)),VALUE(MID(B4054,FIND("#",B4054)+1,1000)),1)</f>
        <v>1</v>
      </c>
      <c r="H4054" t="str">
        <f>IF(AND(regexMatch(B4054,".*#[0-9]*$"),ISNUMBER(SEARCH("#",B4054))),CONCATENATE(TRIM(F4054)," #",G4054),B4054)</f>
        <v>Podium Mic</v>
      </c>
    </row>
    <row r="4055" spans="1:8" x14ac:dyDescent="0.25">
      <c r="A4055" s="8" t="s">
        <v>2549</v>
      </c>
      <c r="B4055" s="8" t="s">
        <v>2550</v>
      </c>
      <c r="C4055" s="13" t="s">
        <v>5</v>
      </c>
      <c r="D4055" s="15" t="s">
        <v>127</v>
      </c>
      <c r="E4055" s="40" t="str">
        <f>IF(ISERROR(VLOOKUP(B4055,Failures!$A$1:$A$4000,1,FALSE)),"Keep","Delete")</f>
        <v>Keep</v>
      </c>
      <c r="F4055" t="str">
        <f>IF(ISNUMBER(SEARCH("#",B4055)), LEFT(B4055,FIND("#",B4055)-1), B4055)</f>
        <v>Portable Hi-Fi</v>
      </c>
      <c r="G4055" s="26">
        <f>IF(ISNUMBER(SEARCH("#",B4055)),VALUE(MID(B4055,FIND("#",B4055)+1,1000)),1)</f>
        <v>1</v>
      </c>
      <c r="H4055" t="str">
        <f>IF(AND(regexMatch(B4055,".*#[0-9]*$"),ISNUMBER(SEARCH("#",B4055))),CONCATENATE(TRIM(F4055)," #",G4055),B4055)</f>
        <v>Portable Hi-Fi</v>
      </c>
    </row>
    <row r="4056" spans="1:8" x14ac:dyDescent="0.25">
      <c r="A4056" s="18" t="s">
        <v>4094</v>
      </c>
      <c r="B4056" s="21" t="s">
        <v>4501</v>
      </c>
      <c r="C4056" s="21"/>
      <c r="D4056" s="5" t="s">
        <v>127</v>
      </c>
      <c r="E4056" s="40" t="str">
        <f>IF(ISERROR(VLOOKUP(B4056,Failures!$A$1:$A$4000,1,FALSE)),"Keep","Delete")</f>
        <v>Keep</v>
      </c>
      <c r="F4056" t="str">
        <f>IF(ISNUMBER(SEARCH("#",B4056)), LEFT(B4056,FIND("#",B4056)-1), B4056)</f>
        <v>Portable Radio</v>
      </c>
      <c r="G4056" s="26">
        <f>IF(ISNUMBER(SEARCH("#",B4056)),VALUE(MID(B4056,FIND("#",B4056)+1,1000)),1)</f>
        <v>1</v>
      </c>
      <c r="H4056" t="str">
        <f>IF(AND(regexMatch(B4056,".*#[0-9]*$"),ISNUMBER(SEARCH("#",B4056))),CONCATENATE(TRIM(F4056)," #",G4056),B4056)</f>
        <v>Portable Radio</v>
      </c>
    </row>
    <row r="4057" spans="1:8" x14ac:dyDescent="0.25">
      <c r="A4057" s="8" t="s">
        <v>5838</v>
      </c>
      <c r="B4057" s="8" t="s">
        <v>10397</v>
      </c>
      <c r="C4057" s="8"/>
      <c r="D4057" s="15" t="s">
        <v>127</v>
      </c>
      <c r="E4057" s="40" t="str">
        <f>IF(ISERROR(VLOOKUP(B4057,Failures!$A$1:$A$4000,1,FALSE)),"Keep","Delete")</f>
        <v>Keep</v>
      </c>
      <c r="F4057" t="str">
        <f>IF(ISNUMBER(SEARCH("#",B4057)), LEFT(B4057,FIND("#",B4057)-1), B4057)</f>
        <v>Portable Speaker</v>
      </c>
      <c r="G4057" s="26">
        <f>IF(ISNUMBER(SEARCH("#",B4057)),VALUE(MID(B4057,FIND("#",B4057)+1,1000)),1)</f>
        <v>1</v>
      </c>
      <c r="H4057" t="str">
        <f>IF(AND(regexMatch(B4057,".*#[0-9]*$"),ISNUMBER(SEARCH("#",B4057))),CONCATENATE(TRIM(F4057)," #",G4057),B4057)</f>
        <v>Portable Speaker</v>
      </c>
    </row>
    <row r="4058" spans="1:8" x14ac:dyDescent="0.25">
      <c r="A4058" s="8" t="s">
        <v>5839</v>
      </c>
      <c r="B4058" s="8" t="s">
        <v>10373</v>
      </c>
      <c r="C4058" s="8"/>
      <c r="D4058" s="15" t="s">
        <v>127</v>
      </c>
      <c r="E4058" s="40" t="str">
        <f>IF(ISERROR(VLOOKUP(B4058,Failures!$A$1:$A$4000,1,FALSE)),"Keep","Delete")</f>
        <v>Keep</v>
      </c>
      <c r="F4058" t="str">
        <f>IF(ISNUMBER(SEARCH("#",B4058)), LEFT(B4058,FIND("#",B4058)-1), B4058)</f>
        <v>Radio Alarm Clock</v>
      </c>
      <c r="G4058" s="26">
        <f>IF(ISNUMBER(SEARCH("#",B4058)),VALUE(MID(B4058,FIND("#",B4058)+1,1000)),1)</f>
        <v>1</v>
      </c>
      <c r="H4058" t="str">
        <f>IF(AND(regexMatch(B4058,".*#[0-9]*$"),ISNUMBER(SEARCH("#",B4058))),CONCATENATE(TRIM(F4058)," #",G4058),B4058)</f>
        <v>Radio Alarm Clock</v>
      </c>
    </row>
    <row r="4059" spans="1:8" x14ac:dyDescent="0.25">
      <c r="A4059" s="8" t="s">
        <v>2916</v>
      </c>
      <c r="B4059" s="8" t="s">
        <v>2917</v>
      </c>
      <c r="C4059" s="13" t="s">
        <v>5</v>
      </c>
      <c r="D4059" s="15" t="s">
        <v>127</v>
      </c>
      <c r="E4059" s="40" t="str">
        <f>IF(ISERROR(VLOOKUP(B4059,Failures!$A$1:$A$4000,1,FALSE)),"Keep","Delete")</f>
        <v>Keep</v>
      </c>
      <c r="F4059" t="str">
        <f>IF(ISNUMBER(SEARCH("#",B4059)), LEFT(B4059,FIND("#",B4059)-1), B4059)</f>
        <v xml:space="preserve">Speaker </v>
      </c>
      <c r="G4059" s="26">
        <f>IF(ISNUMBER(SEARCH("#",B4059)),VALUE(MID(B4059,FIND("#",B4059)+1,1000)),1)</f>
        <v>1</v>
      </c>
      <c r="H4059" t="str">
        <f>IF(AND(regexMatch(B4059,".*#[0-9]*$"),ISNUMBER(SEARCH("#",B4059))),CONCATENATE(TRIM(F4059)," #",G4059),B4059)</f>
        <v>Speaker #1</v>
      </c>
    </row>
    <row r="4060" spans="1:8" x14ac:dyDescent="0.25">
      <c r="A4060" s="8" t="s">
        <v>2918</v>
      </c>
      <c r="B4060" s="8" t="s">
        <v>2919</v>
      </c>
      <c r="C4060" s="13" t="s">
        <v>5</v>
      </c>
      <c r="D4060" s="15" t="s">
        <v>127</v>
      </c>
      <c r="E4060" s="40" t="str">
        <f>IF(ISERROR(VLOOKUP(B4060,Failures!$A$1:$A$4000,1,FALSE)),"Keep","Delete")</f>
        <v>Keep</v>
      </c>
      <c r="F4060" t="str">
        <f>IF(ISNUMBER(SEARCH("#",B4060)), LEFT(B4060,FIND("#",B4060)-1), B4060)</f>
        <v xml:space="preserve">Speaker </v>
      </c>
      <c r="G4060" s="26">
        <f>IF(ISNUMBER(SEARCH("#",B4060)),VALUE(MID(B4060,FIND("#",B4060)+1,1000)),1)</f>
        <v>2</v>
      </c>
      <c r="H4060" t="str">
        <f>IF(AND(regexMatch(B4060,".*#[0-9]*$"),ISNUMBER(SEARCH("#",B4060))),CONCATENATE(TRIM(F4060)," #",G4060),B4060)</f>
        <v>Speaker #2</v>
      </c>
    </row>
    <row r="4061" spans="1:8" x14ac:dyDescent="0.25">
      <c r="A4061" s="8" t="s">
        <v>2920</v>
      </c>
      <c r="B4061" s="8" t="s">
        <v>2921</v>
      </c>
      <c r="C4061" s="12" t="s">
        <v>5</v>
      </c>
      <c r="D4061" s="15" t="s">
        <v>127</v>
      </c>
      <c r="E4061" s="40" t="str">
        <f>IF(ISERROR(VLOOKUP(B4061,Failures!$A$1:$A$4000,1,FALSE)),"Keep","Delete")</f>
        <v>Keep</v>
      </c>
      <c r="F4061" t="str">
        <f>IF(ISNUMBER(SEARCH("#",B4061)), LEFT(B4061,FIND("#",B4061)-1), B4061)</f>
        <v xml:space="preserve">Speaker </v>
      </c>
      <c r="G4061" s="26">
        <f>IF(ISNUMBER(SEARCH("#",B4061)),VALUE(MID(B4061,FIND("#",B4061)+1,1000)),1)</f>
        <v>3</v>
      </c>
      <c r="H4061" t="str">
        <f>IF(AND(regexMatch(B4061,".*#[0-9]*$"),ISNUMBER(SEARCH("#",B4061))),CONCATENATE(TRIM(F4061)," #",G4061),B4061)</f>
        <v>Speaker #3</v>
      </c>
    </row>
    <row r="4062" spans="1:8" x14ac:dyDescent="0.25">
      <c r="A4062" s="8" t="s">
        <v>2922</v>
      </c>
      <c r="B4062" s="8" t="s">
        <v>2923</v>
      </c>
      <c r="C4062" s="12" t="s">
        <v>5</v>
      </c>
      <c r="D4062" s="15" t="s">
        <v>127</v>
      </c>
      <c r="E4062" s="40" t="str">
        <f>IF(ISERROR(VLOOKUP(B4062,Failures!$A$1:$A$4000,1,FALSE)),"Keep","Delete")</f>
        <v>Keep</v>
      </c>
      <c r="F4062" t="str">
        <f>IF(ISNUMBER(SEARCH("#",B4062)), LEFT(B4062,FIND("#",B4062)-1), B4062)</f>
        <v xml:space="preserve">Speaker </v>
      </c>
      <c r="G4062" s="26">
        <f>IF(ISNUMBER(SEARCH("#",B4062)),VALUE(MID(B4062,FIND("#",B4062)+1,1000)),1)</f>
        <v>5</v>
      </c>
      <c r="H4062" t="str">
        <f>IF(AND(regexMatch(B4062,".*#[0-9]*$"),ISNUMBER(SEARCH("#",B4062))),CONCATENATE(TRIM(F4062)," #",G4062),B4062)</f>
        <v>Speaker #5</v>
      </c>
    </row>
    <row r="4063" spans="1:8" x14ac:dyDescent="0.25">
      <c r="A4063" s="8" t="s">
        <v>2924</v>
      </c>
      <c r="B4063" s="8" t="s">
        <v>2925</v>
      </c>
      <c r="C4063" s="12" t="s">
        <v>5</v>
      </c>
      <c r="D4063" s="15" t="s">
        <v>127</v>
      </c>
      <c r="E4063" s="40" t="str">
        <f>IF(ISERROR(VLOOKUP(B4063,Failures!$A$1:$A$4000,1,FALSE)),"Keep","Delete")</f>
        <v>Keep</v>
      </c>
      <c r="F4063" t="str">
        <f>IF(ISNUMBER(SEARCH("#",B4063)), LEFT(B4063,FIND("#",B4063)-1), B4063)</f>
        <v xml:space="preserve">Speaker </v>
      </c>
      <c r="G4063" s="26">
        <f>IF(ISNUMBER(SEARCH("#",B4063)),VALUE(MID(B4063,FIND("#",B4063)+1,1000)),1)</f>
        <v>6</v>
      </c>
      <c r="H4063" t="str">
        <f>IF(AND(regexMatch(B4063,".*#[0-9]*$"),ISNUMBER(SEARCH("#",B4063))),CONCATENATE(TRIM(F4063)," #",G4063),B4063)</f>
        <v>Speaker #6</v>
      </c>
    </row>
    <row r="4064" spans="1:8" x14ac:dyDescent="0.25">
      <c r="A4064" s="8" t="s">
        <v>2926</v>
      </c>
      <c r="B4064" s="8" t="s">
        <v>2927</v>
      </c>
      <c r="C4064" s="12" t="s">
        <v>5</v>
      </c>
      <c r="D4064" s="15" t="s">
        <v>127</v>
      </c>
      <c r="E4064" s="40" t="str">
        <f>IF(ISERROR(VLOOKUP(B4064,Failures!$A$1:$A$4000,1,FALSE)),"Keep","Delete")</f>
        <v>Keep</v>
      </c>
      <c r="F4064" t="str">
        <f>IF(ISNUMBER(SEARCH("#",B4064)), LEFT(B4064,FIND("#",B4064)-1), B4064)</f>
        <v xml:space="preserve">Speaker </v>
      </c>
      <c r="G4064" s="26">
        <f>IF(ISNUMBER(SEARCH("#",B4064)),VALUE(MID(B4064,FIND("#",B4064)+1,1000)),1)</f>
        <v>7</v>
      </c>
      <c r="H4064" t="str">
        <f>IF(AND(regexMatch(B4064,".*#[0-9]*$"),ISNUMBER(SEARCH("#",B4064))),CONCATENATE(TRIM(F4064)," #",G4064),B4064)</f>
        <v>Speaker #7</v>
      </c>
    </row>
    <row r="4065" spans="1:8" x14ac:dyDescent="0.25">
      <c r="A4065" s="8" t="s">
        <v>2928</v>
      </c>
      <c r="B4065" s="8" t="s">
        <v>2929</v>
      </c>
      <c r="C4065" s="12" t="s">
        <v>5</v>
      </c>
      <c r="D4065" s="15" t="s">
        <v>127</v>
      </c>
      <c r="E4065" s="40" t="str">
        <f>IF(ISERROR(VLOOKUP(B4065,Failures!$A$1:$A$4000,1,FALSE)),"Keep","Delete")</f>
        <v>Keep</v>
      </c>
      <c r="F4065" t="str">
        <f>IF(ISNUMBER(SEARCH("#",B4065)), LEFT(B4065,FIND("#",B4065)-1), B4065)</f>
        <v xml:space="preserve">Speaker </v>
      </c>
      <c r="G4065" s="26">
        <f>IF(ISNUMBER(SEARCH("#",B4065)),VALUE(MID(B4065,FIND("#",B4065)+1,1000)),1)</f>
        <v>8</v>
      </c>
      <c r="H4065" t="str">
        <f>IF(AND(regexMatch(B4065,".*#[0-9]*$"),ISNUMBER(SEARCH("#",B4065))),CONCATENATE(TRIM(F4065)," #",G4065),B4065)</f>
        <v>Speaker #8</v>
      </c>
    </row>
    <row r="4066" spans="1:8" x14ac:dyDescent="0.25">
      <c r="A4066" s="8" t="s">
        <v>3048</v>
      </c>
      <c r="B4066" s="8" t="s">
        <v>3049</v>
      </c>
      <c r="C4066" s="13" t="s">
        <v>5</v>
      </c>
      <c r="D4066" s="15" t="s">
        <v>127</v>
      </c>
      <c r="E4066" s="40" t="str">
        <f>IF(ISERROR(VLOOKUP(B4066,Failures!$A$1:$A$4000,1,FALSE)),"Keep","Delete")</f>
        <v>Keep</v>
      </c>
      <c r="F4066" t="str">
        <f>IF(ISNUMBER(SEARCH("#",B4066)), LEFT(B4066,FIND("#",B4066)-1), B4066)</f>
        <v>Table Microphone</v>
      </c>
      <c r="G4066" s="26">
        <f>IF(ISNUMBER(SEARCH("#",B4066)),VALUE(MID(B4066,FIND("#",B4066)+1,1000)),1)</f>
        <v>1</v>
      </c>
      <c r="H4066" t="str">
        <f>IF(AND(regexMatch(B4066,".*#[0-9]*$"),ISNUMBER(SEARCH("#",B4066))),CONCATENATE(TRIM(F4066)," #",G4066),B4066)</f>
        <v>Table Microphone</v>
      </c>
    </row>
    <row r="4067" spans="1:8" x14ac:dyDescent="0.25">
      <c r="A4067" s="8" t="s">
        <v>3061</v>
      </c>
      <c r="B4067" s="8" t="s">
        <v>3916</v>
      </c>
      <c r="C4067" s="13" t="s">
        <v>5</v>
      </c>
      <c r="D4067" s="15" t="s">
        <v>127</v>
      </c>
      <c r="E4067" s="40" t="str">
        <f>IF(ISERROR(VLOOKUP(B4067,Failures!$A$1:$A$4000,1,FALSE)),"Keep","Delete")</f>
        <v>Keep</v>
      </c>
      <c r="F4067" t="str">
        <f>IF(ISNUMBER(SEARCH("#",B4067)), LEFT(B4067,FIND("#",B4067)-1), B4067)</f>
        <v>Tape Player</v>
      </c>
      <c r="G4067" s="26">
        <f>IF(ISNUMBER(SEARCH("#",B4067)),VALUE(MID(B4067,FIND("#",B4067)+1,1000)),1)</f>
        <v>1</v>
      </c>
      <c r="H4067" t="str">
        <f>IF(AND(regexMatch(B4067,".*#[0-9]*$"),ISNUMBER(SEARCH("#",B4067))),CONCATENATE(TRIM(F4067)," #",G4067),B4067)</f>
        <v>Tape Player</v>
      </c>
    </row>
    <row r="4068" spans="1:8" x14ac:dyDescent="0.25">
      <c r="A4068" s="28" t="s">
        <v>9555</v>
      </c>
      <c r="B4068" s="25" t="s">
        <v>3916</v>
      </c>
      <c r="C4068" s="8"/>
      <c r="D4068" s="15" t="s">
        <v>127</v>
      </c>
      <c r="E4068" s="40" t="str">
        <f>IF(ISERROR(VLOOKUP(B4068,Failures!$A$1:$A$4000,1,FALSE)),"Keep","Delete")</f>
        <v>Keep</v>
      </c>
      <c r="F4068" t="str">
        <f>IF(ISNUMBER(SEARCH("#",B4068)), LEFT(B4068,FIND("#",B4068)-1), B4068)</f>
        <v>Tape Player</v>
      </c>
      <c r="G4068" s="26">
        <f>IF(ISNUMBER(SEARCH("#",B4068)),VALUE(MID(B4068,FIND("#",B4068)+1,1000)),1)</f>
        <v>1</v>
      </c>
      <c r="H4068" t="str">
        <f>IF(AND(regexMatch(B4068,".*#[0-9]*$"),ISNUMBER(SEARCH("#",B4068))),CONCATENATE(TRIM(F4068)," #",G4068),B4068)</f>
        <v>Tape Player</v>
      </c>
    </row>
    <row r="4069" spans="1:8" x14ac:dyDescent="0.25">
      <c r="A4069" s="8" t="s">
        <v>3259</v>
      </c>
      <c r="B4069" s="8" t="s">
        <v>3260</v>
      </c>
      <c r="C4069" s="13" t="s">
        <v>5</v>
      </c>
      <c r="D4069" s="15" t="s">
        <v>127</v>
      </c>
      <c r="E4069" s="40" t="str">
        <f>IF(ISERROR(VLOOKUP(B4069,Failures!$A$1:$A$4000,1,FALSE)),"Keep","Delete")</f>
        <v>Keep</v>
      </c>
      <c r="F4069" t="str">
        <f>IF(ISNUMBER(SEARCH("#",B4069)), LEFT(B4069,FIND("#",B4069)-1), B4069)</f>
        <v>Trevor's TV</v>
      </c>
      <c r="G4069" s="26">
        <f>IF(ISNUMBER(SEARCH("#",B4069)),VALUE(MID(B4069,FIND("#",B4069)+1,1000)),1)</f>
        <v>1</v>
      </c>
      <c r="H4069" t="str">
        <f>IF(AND(regexMatch(B4069,".*#[0-9]*$"),ISNUMBER(SEARCH("#",B4069))),CONCATENATE(TRIM(F4069)," #",G4069),B4069)</f>
        <v>Trevor's TV</v>
      </c>
    </row>
    <row r="4070" spans="1:8" x14ac:dyDescent="0.25">
      <c r="A4070" s="8" t="s">
        <v>3293</v>
      </c>
      <c r="B4070" s="8" t="s">
        <v>3926</v>
      </c>
      <c r="C4070" s="13" t="s">
        <v>5</v>
      </c>
      <c r="D4070" s="15" t="s">
        <v>127</v>
      </c>
      <c r="E4070" s="40" t="str">
        <f>IF(ISERROR(VLOOKUP(B4070,Failures!$A$1:$A$4000,1,FALSE)),"Keep","Delete")</f>
        <v>Keep</v>
      </c>
      <c r="F4070" t="str">
        <f>IF(ISNUMBER(SEARCH("#",B4070)), LEFT(B4070,FIND("#",B4070)-1), B4070)</f>
        <v xml:space="preserve">TV </v>
      </c>
      <c r="G4070" s="26">
        <f>IF(ISNUMBER(SEARCH("#",B4070)),VALUE(MID(B4070,FIND("#",B4070)+1,1000)),1)</f>
        <v>1</v>
      </c>
      <c r="H4070" t="str">
        <f>IF(AND(regexMatch(B4070,".*#[0-9]*$"),ISNUMBER(SEARCH("#",B4070))),CONCATENATE(TRIM(F4070)," #",G4070),B4070)</f>
        <v>TV #1</v>
      </c>
    </row>
    <row r="4071" spans="1:8" x14ac:dyDescent="0.25">
      <c r="A4071" s="8" t="s">
        <v>3285</v>
      </c>
      <c r="B4071" s="8" t="s">
        <v>3286</v>
      </c>
      <c r="C4071" s="13" t="s">
        <v>5</v>
      </c>
      <c r="D4071" s="15" t="s">
        <v>127</v>
      </c>
      <c r="E4071" s="40" t="str">
        <f>IF(ISERROR(VLOOKUP(B4071,Failures!$A$1:$A$4000,1,FALSE)),"Keep","Delete")</f>
        <v>Keep</v>
      </c>
      <c r="F4071" t="str">
        <f>IF(ISNUMBER(SEARCH("#",B4071)), LEFT(B4071,FIND("#",B4071)-1), B4071)</f>
        <v xml:space="preserve">TV </v>
      </c>
      <c r="G4071" s="26">
        <f>IF(ISNUMBER(SEARCH("#",B4071)),VALUE(MID(B4071,FIND("#",B4071)+1,1000)),1)</f>
        <v>2</v>
      </c>
      <c r="H4071" t="str">
        <f>IF(AND(regexMatch(B4071,".*#[0-9]*$"),ISNUMBER(SEARCH("#",B4071))),CONCATENATE(TRIM(F4071)," #",G4071),B4071)</f>
        <v>TV #2</v>
      </c>
    </row>
    <row r="4072" spans="1:8" x14ac:dyDescent="0.25">
      <c r="A4072" s="18" t="s">
        <v>4055</v>
      </c>
      <c r="B4072" s="10" t="s">
        <v>4412</v>
      </c>
      <c r="C4072" s="21"/>
      <c r="D4072" s="15" t="s">
        <v>127</v>
      </c>
      <c r="E4072" s="40" t="str">
        <f>IF(ISERROR(VLOOKUP(B4072,Failures!$A$1:$A$4000,1,FALSE)),"Keep","Delete")</f>
        <v>Keep</v>
      </c>
      <c r="F4072" t="str">
        <f>IF(ISNUMBER(SEARCH("#",B4072)), LEFT(B4072,FIND("#",B4072)-1), B4072)</f>
        <v xml:space="preserve">TV </v>
      </c>
      <c r="G4072" s="26">
        <f>IF(ISNUMBER(SEARCH("#",B4072)),VALUE(MID(B4072,FIND("#",B4072)+1,1000)),1)</f>
        <v>3</v>
      </c>
      <c r="H4072" t="str">
        <f>IF(AND(regexMatch(B4072,".*#[0-9]*$"),ISNUMBER(SEARCH("#",B4072))),CONCATENATE(TRIM(F4072)," #",G4072),B4072)</f>
        <v>TV #3</v>
      </c>
    </row>
    <row r="4073" spans="1:8" x14ac:dyDescent="0.25">
      <c r="A4073" s="8" t="s">
        <v>3287</v>
      </c>
      <c r="B4073" s="8" t="s">
        <v>3288</v>
      </c>
      <c r="C4073" s="13" t="s">
        <v>5</v>
      </c>
      <c r="D4073" s="15" t="s">
        <v>127</v>
      </c>
      <c r="E4073" s="40" t="str">
        <f>IF(ISERROR(VLOOKUP(B4073,Failures!$A$1:$A$4000,1,FALSE)),"Keep","Delete")</f>
        <v>Keep</v>
      </c>
      <c r="F4073" t="str">
        <f>IF(ISNUMBER(SEARCH("#",B4073)), LEFT(B4073,FIND("#",B4073)-1), B4073)</f>
        <v xml:space="preserve">TV </v>
      </c>
      <c r="G4073" s="26">
        <v>3</v>
      </c>
      <c r="H4073" t="str">
        <f>IF(AND(regexMatch(B4073,".*#[0-9]*$"),ISNUMBER(SEARCH("#",B4073))),CONCATENATE(TRIM(F4073)," #",G4073),B4073)</f>
        <v>TV #3 Overlay</v>
      </c>
    </row>
    <row r="4074" spans="1:8" x14ac:dyDescent="0.25">
      <c r="A4074" s="8" t="s">
        <v>3289</v>
      </c>
      <c r="B4074" s="8" t="s">
        <v>3290</v>
      </c>
      <c r="C4074" s="13" t="s">
        <v>5</v>
      </c>
      <c r="D4074" s="15" t="s">
        <v>127</v>
      </c>
      <c r="E4074" s="40" t="str">
        <f>IF(ISERROR(VLOOKUP(B4074,Failures!$A$1:$A$4000,1,FALSE)),"Keep","Delete")</f>
        <v>Keep</v>
      </c>
      <c r="F4074" t="str">
        <f>IF(ISNUMBER(SEARCH("#",B4074)), LEFT(B4074,FIND("#",B4074)-1), B4074)</f>
        <v xml:space="preserve">TV </v>
      </c>
      <c r="G4074" s="26">
        <f>IF(ISNUMBER(SEARCH("#",B4074)),VALUE(MID(B4074,FIND("#",B4074)+1,1000)),1)</f>
        <v>4</v>
      </c>
      <c r="H4074" t="str">
        <f>IF(AND(regexMatch(B4074,".*#[0-9]*$"),ISNUMBER(SEARCH("#",B4074))),CONCATENATE(TRIM(F4074)," #",G4074),B4074)</f>
        <v>TV #4</v>
      </c>
    </row>
    <row r="4075" spans="1:8" x14ac:dyDescent="0.25">
      <c r="A4075" s="8" t="s">
        <v>3291</v>
      </c>
      <c r="B4075" s="8" t="s">
        <v>3292</v>
      </c>
      <c r="C4075" s="13" t="s">
        <v>5</v>
      </c>
      <c r="D4075" s="15" t="s">
        <v>127</v>
      </c>
      <c r="E4075" s="40" t="str">
        <f>IF(ISERROR(VLOOKUP(B4075,Failures!$A$1:$A$4000,1,FALSE)),"Keep","Delete")</f>
        <v>Keep</v>
      </c>
      <c r="F4075" t="str">
        <f>IF(ISNUMBER(SEARCH("#",B4075)), LEFT(B4075,FIND("#",B4075)-1), B4075)</f>
        <v xml:space="preserve">TV </v>
      </c>
      <c r="G4075" s="26">
        <f>IF(ISNUMBER(SEARCH("#",B4075)),VALUE(MID(B4075,FIND("#",B4075)+1,1000)),1)</f>
        <v>5</v>
      </c>
      <c r="H4075" t="str">
        <f>IF(AND(regexMatch(B4075,".*#[0-9]*$"),ISNUMBER(SEARCH("#",B4075))),CONCATENATE(TRIM(F4075)," #",G4075),B4075)</f>
        <v>TV #5</v>
      </c>
    </row>
    <row r="4076" spans="1:8" x14ac:dyDescent="0.25">
      <c r="A4076" s="18" t="s">
        <v>4310</v>
      </c>
      <c r="B4076" s="10" t="s">
        <v>3294</v>
      </c>
      <c r="C4076" s="21"/>
      <c r="D4076" s="15" t="s">
        <v>127</v>
      </c>
      <c r="E4076" s="40" t="str">
        <f>IF(ISERROR(VLOOKUP(B4076,Failures!$A$1:$A$4000,1,FALSE)),"Keep","Delete")</f>
        <v>Keep</v>
      </c>
      <c r="F4076" t="str">
        <f>IF(ISNUMBER(SEARCH("#",B4076)), LEFT(B4076,FIND("#",B4076)-1), B4076)</f>
        <v xml:space="preserve">TV </v>
      </c>
      <c r="G4076" s="26">
        <f>IF(ISNUMBER(SEARCH("#",B4076)),VALUE(MID(B4076,FIND("#",B4076)+1,1000)),1)</f>
        <v>6</v>
      </c>
      <c r="H4076" t="str">
        <f>IF(AND(regexMatch(B4076,".*#[0-9]*$"),ISNUMBER(SEARCH("#",B4076))),CONCATENATE(TRIM(F4076)," #",G4076),B4076)</f>
        <v>TV #6</v>
      </c>
    </row>
    <row r="4077" spans="1:8" x14ac:dyDescent="0.25">
      <c r="A4077" s="8" t="s">
        <v>3295</v>
      </c>
      <c r="B4077" s="8" t="s">
        <v>3296</v>
      </c>
      <c r="C4077" s="13" t="s">
        <v>5</v>
      </c>
      <c r="D4077" s="15" t="s">
        <v>127</v>
      </c>
      <c r="E4077" s="40" t="str">
        <f>IF(ISERROR(VLOOKUP(B4077,Failures!$A$1:$A$4000,1,FALSE)),"Keep","Delete")</f>
        <v>Keep</v>
      </c>
      <c r="F4077" t="str">
        <f>IF(ISNUMBER(SEARCH("#",B4077)), LEFT(B4077,FIND("#",B4077)-1), B4077)</f>
        <v>TV Cabinet</v>
      </c>
      <c r="G4077" s="26">
        <f>IF(ISNUMBER(SEARCH("#",B4077)),VALUE(MID(B4077,FIND("#",B4077)+1,1000)),1)</f>
        <v>1</v>
      </c>
      <c r="H4077" t="str">
        <f>IF(AND(regexMatch(B4077,".*#[0-9]*$"),ISNUMBER(SEARCH("#",B4077))),CONCATENATE(TRIM(F4077)," #",G4077),B4077)</f>
        <v>TV Cabinet</v>
      </c>
    </row>
    <row r="4078" spans="1:8" x14ac:dyDescent="0.25">
      <c r="A4078" s="8" t="s">
        <v>3322</v>
      </c>
      <c r="B4078" s="8" t="s">
        <v>3323</v>
      </c>
      <c r="C4078" s="13" t="s">
        <v>5</v>
      </c>
      <c r="D4078" s="15" t="s">
        <v>127</v>
      </c>
      <c r="E4078" s="40" t="str">
        <f>IF(ISERROR(VLOOKUP(B4078,Failures!$A$1:$A$4000,1,FALSE)),"Keep","Delete")</f>
        <v>Keep</v>
      </c>
      <c r="F4078" t="str">
        <f>IF(ISNUMBER(SEARCH("#",B4078)), LEFT(B4078,FIND("#",B4078)-1), B4078)</f>
        <v>TV Camera</v>
      </c>
      <c r="G4078" s="26">
        <f>IF(ISNUMBER(SEARCH("#",B4078)),VALUE(MID(B4078,FIND("#",B4078)+1,1000)),1)</f>
        <v>1</v>
      </c>
      <c r="H4078" t="str">
        <f>IF(AND(regexMatch(B4078,".*#[0-9]*$"),ISNUMBER(SEARCH("#",B4078))),CONCATENATE(TRIM(F4078)," #",G4078),B4078)</f>
        <v>TV Camera</v>
      </c>
    </row>
    <row r="4079" spans="1:8" x14ac:dyDescent="0.25">
      <c r="A4079" s="8" t="s">
        <v>1087</v>
      </c>
      <c r="B4079" s="8" t="s">
        <v>3927</v>
      </c>
      <c r="C4079" s="13" t="s">
        <v>5</v>
      </c>
      <c r="D4079" s="15" t="s">
        <v>127</v>
      </c>
      <c r="E4079" s="40" t="str">
        <f>IF(ISERROR(VLOOKUP(B4079,Failures!$A$1:$A$4000,1,FALSE)),"Keep","Delete")</f>
        <v>Keep</v>
      </c>
      <c r="F4079" t="str">
        <f>IF(ISNUMBER(SEARCH("#",B4079)), LEFT(B4079,FIND("#",B4079)-1), B4079)</f>
        <v>TV Remote</v>
      </c>
      <c r="G4079" s="26">
        <f>IF(ISNUMBER(SEARCH("#",B4079)),VALUE(MID(B4079,FIND("#",B4079)+1,1000)),1)</f>
        <v>1</v>
      </c>
      <c r="H4079" t="str">
        <f>IF(AND(regexMatch(B4079,".*#[0-9]*$"),ISNUMBER(SEARCH("#",B4079))),CONCATENATE(TRIM(F4079)," #",G4079),B4079)</f>
        <v>TV Remote</v>
      </c>
    </row>
    <row r="4080" spans="1:8" x14ac:dyDescent="0.25">
      <c r="A4080" s="8" t="s">
        <v>3276</v>
      </c>
      <c r="B4080" s="8" t="s">
        <v>3277</v>
      </c>
      <c r="C4080" s="13" t="s">
        <v>5</v>
      </c>
      <c r="D4080" s="15" t="s">
        <v>127</v>
      </c>
      <c r="E4080" s="40" t="str">
        <f>IF(ISERROR(VLOOKUP(B4080,Failures!$A$1:$A$4000,1,FALSE)),"Keep","Delete")</f>
        <v>Keep</v>
      </c>
      <c r="F4080" t="str">
        <f>IF(ISNUMBER(SEARCH("#",B4080)), LEFT(B4080,FIND("#",B4080)-1), B4080)</f>
        <v>TV Screen Overlay: Static</v>
      </c>
      <c r="G4080" s="26">
        <f>IF(ISNUMBER(SEARCH("#",B4080)),VALUE(MID(B4080,FIND("#",B4080)+1,1000)),1)</f>
        <v>1</v>
      </c>
      <c r="H4080" t="str">
        <f>IF(AND(regexMatch(B4080,".*#[0-9]*$"),ISNUMBER(SEARCH("#",B4080))),CONCATENATE(TRIM(F4080)," #",G4080),B4080)</f>
        <v>TV Screen Overlay: Static</v>
      </c>
    </row>
    <row r="4081" spans="1:8" x14ac:dyDescent="0.25">
      <c r="A4081" s="8" t="s">
        <v>1157</v>
      </c>
      <c r="B4081" s="8" t="s">
        <v>1158</v>
      </c>
      <c r="C4081" s="13" t="s">
        <v>5</v>
      </c>
      <c r="D4081" s="15" t="s">
        <v>127</v>
      </c>
      <c r="E4081" s="40" t="str">
        <f>IF(ISERROR(VLOOKUP(B4081,Failures!$A$1:$A$4000,1,FALSE)),"Keep","Delete")</f>
        <v>Keep</v>
      </c>
      <c r="F4081" t="str">
        <f>IF(ISNUMBER(SEARCH("#",B4081)), LEFT(B4081,FIND("#",B4081)-1), B4081)</f>
        <v>TV Stand</v>
      </c>
      <c r="G4081" s="26">
        <f>IF(ISNUMBER(SEARCH("#",B4081)),VALUE(MID(B4081,FIND("#",B4081)+1,1000)),1)</f>
        <v>1</v>
      </c>
      <c r="H4081" t="str">
        <f>IF(AND(regexMatch(B4081,".*#[0-9]*$"),ISNUMBER(SEARCH("#",B4081))),CONCATENATE(TRIM(F4081)," #",G4081),B4081)</f>
        <v>TV Stand</v>
      </c>
    </row>
    <row r="4082" spans="1:8" x14ac:dyDescent="0.25">
      <c r="A4082" s="8" t="s">
        <v>3338</v>
      </c>
      <c r="B4082" s="8" t="s">
        <v>10726</v>
      </c>
      <c r="C4082" s="13" t="s">
        <v>5</v>
      </c>
      <c r="D4082" s="15" t="s">
        <v>127</v>
      </c>
      <c r="E4082" s="40" t="str">
        <f>IF(ISERROR(VLOOKUP(B4082,Failures!$A$1:$A$4000,1,FALSE)),"Keep","Delete")</f>
        <v>Keep</v>
      </c>
      <c r="F4082" t="str">
        <f>IF(ISNUMBER(SEARCH("#",B4082)), LEFT(B4082,FIND("#",B4082)-1), B4082)</f>
        <v xml:space="preserve">VCR </v>
      </c>
      <c r="G4082" s="26">
        <f>IF(ISNUMBER(SEARCH("#",B4082)),VALUE(MID(B4082,FIND("#",B4082)+1,1000)),1)</f>
        <v>1</v>
      </c>
      <c r="H4082" t="str">
        <f>IF(AND(regexMatch(B4082,".*#[0-9]*$"),ISNUMBER(SEARCH("#",B4082))),CONCATENATE(TRIM(F4082)," #",G4082),B4082)</f>
        <v>VCR #1</v>
      </c>
    </row>
    <row r="4083" spans="1:8" x14ac:dyDescent="0.25">
      <c r="A4083" s="28" t="s">
        <v>9508</v>
      </c>
      <c r="B4083" s="25" t="s">
        <v>10727</v>
      </c>
      <c r="C4083" s="8"/>
      <c r="D4083" s="15" t="s">
        <v>127</v>
      </c>
      <c r="E4083" s="40" t="str">
        <f>IF(ISERROR(VLOOKUP(B4083,Failures!$A$1:$A$4000,1,FALSE)),"Keep","Delete")</f>
        <v>Keep</v>
      </c>
      <c r="F4083" t="str">
        <f>IF(ISNUMBER(SEARCH("#",B4083)), LEFT(B4083,FIND("#",B4083)-1), B4083)</f>
        <v xml:space="preserve">VCR </v>
      </c>
      <c r="G4083" s="26">
        <f>IF(ISNUMBER(SEARCH("#",B4083)),VALUE(MID(B4083,FIND("#",B4083)+1,1000)),1)</f>
        <v>2</v>
      </c>
      <c r="H4083" t="str">
        <f>IF(AND(regexMatch(B4083,".*#[0-9]*$"),ISNUMBER(SEARCH("#",B4083))),CONCATENATE(TRIM(F4083)," #",G4083),B4083)</f>
        <v>VCR #2</v>
      </c>
    </row>
    <row r="4084" spans="1:8" x14ac:dyDescent="0.25">
      <c r="A4084" s="8" t="s">
        <v>473</v>
      </c>
      <c r="B4084" s="8" t="s">
        <v>3575</v>
      </c>
      <c r="C4084" s="13" t="s">
        <v>5</v>
      </c>
      <c r="D4084" s="15" t="s">
        <v>154</v>
      </c>
      <c r="E4084" s="40" t="str">
        <f>IF(ISERROR(VLOOKUP(B4084,Failures!$A$1:$A$4000,1,FALSE)),"Keep","Delete")</f>
        <v>Keep</v>
      </c>
      <c r="F4084" t="str">
        <f>IF(ISNUMBER(SEARCH("#",B4084)), LEFT(B4084,FIND("#",B4084)-1), B4084)</f>
        <v xml:space="preserve">Ammo Box </v>
      </c>
      <c r="G4084" s="26">
        <f>IF(ISNUMBER(SEARCH("#",B4084)),VALUE(MID(B4084,FIND("#",B4084)+1,1000)),1)</f>
        <v>1</v>
      </c>
      <c r="H4084" t="str">
        <f>IF(AND(regexMatch(B4084,".*#[0-9]*$"),ISNUMBER(SEARCH("#",B4084))),CONCATENATE(TRIM(F4084)," #",G4084),B4084)</f>
        <v>Ammo Box #1</v>
      </c>
    </row>
    <row r="4085" spans="1:8" x14ac:dyDescent="0.25">
      <c r="A4085" s="8" t="s">
        <v>474</v>
      </c>
      <c r="B4085" s="8" t="s">
        <v>3576</v>
      </c>
      <c r="C4085" s="13" t="s">
        <v>5</v>
      </c>
      <c r="D4085" s="15" t="s">
        <v>154</v>
      </c>
      <c r="E4085" s="40" t="str">
        <f>IF(ISERROR(VLOOKUP(B4085,Failures!$A$1:$A$4000,1,FALSE)),"Keep","Delete")</f>
        <v>Keep</v>
      </c>
      <c r="F4085" t="str">
        <f>IF(ISNUMBER(SEARCH("#",B4085)), LEFT(B4085,FIND("#",B4085)-1), B4085)</f>
        <v xml:space="preserve">Ammo Box </v>
      </c>
      <c r="G4085" s="26">
        <f>IF(ISNUMBER(SEARCH("#",B4085)),VALUE(MID(B4085,FIND("#",B4085)+1,1000)),1)</f>
        <v>2</v>
      </c>
      <c r="H4085" t="str">
        <f>IF(AND(regexMatch(B4085,".*#[0-9]*$"),ISNUMBER(SEARCH("#",B4085))),CONCATENATE(TRIM(F4085)," #",G4085),B4085)</f>
        <v>Ammo Box #2</v>
      </c>
    </row>
    <row r="4086" spans="1:8" x14ac:dyDescent="0.25">
      <c r="A4086" s="8" t="s">
        <v>480</v>
      </c>
      <c r="B4086" s="8" t="s">
        <v>4024</v>
      </c>
      <c r="C4086" s="13" t="s">
        <v>5</v>
      </c>
      <c r="D4086" s="15" t="s">
        <v>154</v>
      </c>
      <c r="E4086" s="40" t="str">
        <f>IF(ISERROR(VLOOKUP(B4086,Failures!$A$1:$A$4000,1,FALSE)),"Keep","Delete")</f>
        <v>Keep</v>
      </c>
      <c r="F4086" t="str">
        <f>IF(ISNUMBER(SEARCH("#",B4086)), LEFT(B4086,FIND("#",B4086)-1), B4086)</f>
        <v xml:space="preserve">Ammo Box </v>
      </c>
      <c r="G4086" s="26">
        <f>IF(ISNUMBER(SEARCH("#",B4086)),VALUE(MID(B4086,FIND("#",B4086)+1,1000)),1)</f>
        <v>3</v>
      </c>
      <c r="H4086" t="str">
        <f>IF(AND(regexMatch(B4086,".*#[0-9]*$"),ISNUMBER(SEARCH("#",B4086))),CONCATENATE(TRIM(F4086)," #",G4086),B4086)</f>
        <v>Ammo Box #3</v>
      </c>
    </row>
    <row r="4087" spans="1:8" x14ac:dyDescent="0.25">
      <c r="A4087" s="8" t="s">
        <v>477</v>
      </c>
      <c r="B4087" s="8" t="s">
        <v>3577</v>
      </c>
      <c r="C4087" s="13" t="s">
        <v>5</v>
      </c>
      <c r="D4087" s="15" t="s">
        <v>154</v>
      </c>
      <c r="E4087" s="40" t="str">
        <f>IF(ISERROR(VLOOKUP(B4087,Failures!$A$1:$A$4000,1,FALSE)),"Keep","Delete")</f>
        <v>Keep</v>
      </c>
      <c r="F4087" t="str">
        <f>IF(ISNUMBER(SEARCH("#",B4087)), LEFT(B4087,FIND("#",B4087)-1), B4087)</f>
        <v xml:space="preserve">Ammo Box </v>
      </c>
      <c r="G4087" s="26">
        <f>IF(ISNUMBER(SEARCH("#",B4087)),VALUE(MID(B4087,FIND("#",B4087)+1,1000)),1)</f>
        <v>4</v>
      </c>
      <c r="H4087" t="str">
        <f>IF(AND(regexMatch(B4087,".*#[0-9]*$"),ISNUMBER(SEARCH("#",B4087))),CONCATENATE(TRIM(F4087)," #",G4087),B4087)</f>
        <v>Ammo Box #4</v>
      </c>
    </row>
    <row r="4088" spans="1:8" x14ac:dyDescent="0.25">
      <c r="A4088" s="8" t="s">
        <v>478</v>
      </c>
      <c r="B4088" s="8" t="s">
        <v>3578</v>
      </c>
      <c r="C4088" s="13" t="s">
        <v>5</v>
      </c>
      <c r="D4088" s="15" t="s">
        <v>154</v>
      </c>
      <c r="E4088" s="40" t="str">
        <f>IF(ISERROR(VLOOKUP(B4088,Failures!$A$1:$A$4000,1,FALSE)),"Keep","Delete")</f>
        <v>Keep</v>
      </c>
      <c r="F4088" t="str">
        <f>IF(ISNUMBER(SEARCH("#",B4088)), LEFT(B4088,FIND("#",B4088)-1), B4088)</f>
        <v xml:space="preserve">Ammo Box </v>
      </c>
      <c r="G4088" s="26">
        <f>IF(ISNUMBER(SEARCH("#",B4088)),VALUE(MID(B4088,FIND("#",B4088)+1,1000)),1)</f>
        <v>5</v>
      </c>
      <c r="H4088" t="str">
        <f>IF(AND(regexMatch(B4088,".*#[0-9]*$"),ISNUMBER(SEARCH("#",B4088))),CONCATENATE(TRIM(F4088)," #",G4088),B4088)</f>
        <v>Ammo Box #5</v>
      </c>
    </row>
    <row r="4089" spans="1:8" x14ac:dyDescent="0.25">
      <c r="A4089" s="8" t="s">
        <v>479</v>
      </c>
      <c r="B4089" s="8" t="s">
        <v>3579</v>
      </c>
      <c r="C4089" s="13" t="s">
        <v>5</v>
      </c>
      <c r="D4089" s="15" t="s">
        <v>154</v>
      </c>
      <c r="E4089" s="40" t="str">
        <f>IF(ISERROR(VLOOKUP(B4089,Failures!$A$1:$A$4000,1,FALSE)),"Keep","Delete")</f>
        <v>Keep</v>
      </c>
      <c r="F4089" t="str">
        <f>IF(ISNUMBER(SEARCH("#",B4089)), LEFT(B4089,FIND("#",B4089)-1), B4089)</f>
        <v xml:space="preserve">Ammo Box </v>
      </c>
      <c r="G4089" s="26">
        <f>IF(ISNUMBER(SEARCH("#",B4089)),VALUE(MID(B4089,FIND("#",B4089)+1,1000)),1)</f>
        <v>6</v>
      </c>
      <c r="H4089" t="str">
        <f>IF(AND(regexMatch(B4089,".*#[0-9]*$"),ISNUMBER(SEARCH("#",B4089))),CONCATENATE(TRIM(F4089)," #",G4089),B4089)</f>
        <v>Ammo Box #6</v>
      </c>
    </row>
    <row r="4090" spans="1:8" x14ac:dyDescent="0.25">
      <c r="A4090" s="18" t="s">
        <v>4290</v>
      </c>
      <c r="B4090" s="8" t="s">
        <v>3580</v>
      </c>
      <c r="C4090" s="21"/>
      <c r="D4090" s="15" t="s">
        <v>154</v>
      </c>
      <c r="E4090" s="40" t="str">
        <f>IF(ISERROR(VLOOKUP(B4090,Failures!$A$1:$A$4000,1,FALSE)),"Keep","Delete")</f>
        <v>Keep</v>
      </c>
      <c r="F4090" t="str">
        <f>IF(ISNUMBER(SEARCH("#",B4090)), LEFT(B4090,FIND("#",B4090)-1), B4090)</f>
        <v xml:space="preserve">Ammo Box </v>
      </c>
      <c r="G4090" s="26">
        <f>IF(ISNUMBER(SEARCH("#",B4090)),VALUE(MID(B4090,FIND("#",B4090)+1,1000)),1)</f>
        <v>7</v>
      </c>
      <c r="H4090" t="str">
        <f>IF(AND(regexMatch(B4090,".*#[0-9]*$"),ISNUMBER(SEARCH("#",B4090))),CONCATENATE(TRIM(F4090)," #",G4090),B4090)</f>
        <v>Ammo Box #7</v>
      </c>
    </row>
    <row r="4091" spans="1:8" x14ac:dyDescent="0.25">
      <c r="A4091" s="8" t="s">
        <v>475</v>
      </c>
      <c r="B4091" s="8" t="s">
        <v>4022</v>
      </c>
      <c r="C4091" s="13" t="s">
        <v>5</v>
      </c>
      <c r="D4091" s="15" t="s">
        <v>154</v>
      </c>
      <c r="E4091" s="40" t="str">
        <f>IF(ISERROR(VLOOKUP(B4091,Failures!$A$1:$A$4000,1,FALSE)),"Keep","Delete")</f>
        <v>Keep</v>
      </c>
      <c r="F4091" t="str">
        <f>IF(ISNUMBER(SEARCH("#",B4091)), LEFT(B4091,FIND("#",B4091)-1), B4091)</f>
        <v xml:space="preserve">Ammo Box Set </v>
      </c>
      <c r="G4091" s="26">
        <f>IF(ISNUMBER(SEARCH("#",B4091)),VALUE(MID(B4091,FIND("#",B4091)+1,1000)),1)</f>
        <v>1</v>
      </c>
      <c r="H4091" t="str">
        <f>IF(AND(regexMatch(B4091,".*#[0-9]*$"),ISNUMBER(SEARCH("#",B4091))),CONCATENATE(TRIM(F4091)," #",G4091),B4091)</f>
        <v>Ammo Box Set #1</v>
      </c>
    </row>
    <row r="4092" spans="1:8" x14ac:dyDescent="0.25">
      <c r="A4092" s="8" t="s">
        <v>476</v>
      </c>
      <c r="B4092" s="8" t="s">
        <v>4023</v>
      </c>
      <c r="C4092" s="13" t="s">
        <v>5</v>
      </c>
      <c r="D4092" s="15" t="s">
        <v>154</v>
      </c>
      <c r="E4092" s="40" t="str">
        <f>IF(ISERROR(VLOOKUP(B4092,Failures!$A$1:$A$4000,1,FALSE)),"Keep","Delete")</f>
        <v>Keep</v>
      </c>
      <c r="F4092" t="str">
        <f>IF(ISNUMBER(SEARCH("#",B4092)), LEFT(B4092,FIND("#",B4092)-1), B4092)</f>
        <v xml:space="preserve">Ammo Box Set </v>
      </c>
      <c r="G4092" s="26">
        <f>IF(ISNUMBER(SEARCH("#",B4092)),VALUE(MID(B4092,FIND("#",B4092)+1,1000)),1)</f>
        <v>2</v>
      </c>
      <c r="H4092" t="str">
        <f>IF(AND(regexMatch(B4092,".*#[0-9]*$"),ISNUMBER(SEARCH("#",B4092))),CONCATENATE(TRIM(F4092)," #",G4092),B4092)</f>
        <v>Ammo Box Set #2</v>
      </c>
    </row>
    <row r="4093" spans="1:8" x14ac:dyDescent="0.25">
      <c r="A4093" s="8" t="s">
        <v>1856</v>
      </c>
      <c r="B4093" s="8" t="s">
        <v>1857</v>
      </c>
      <c r="C4093" s="12" t="s">
        <v>145</v>
      </c>
      <c r="D4093" s="15" t="s">
        <v>154</v>
      </c>
      <c r="E4093" s="40" t="str">
        <f>IF(ISERROR(VLOOKUP(B4093,Failures!$A$1:$A$4000,1,FALSE)),"Keep","Delete")</f>
        <v>Keep</v>
      </c>
      <c r="F4093" t="str">
        <f>IF(ISNUMBER(SEARCH("#",B4093)), LEFT(B4093,FIND("#",B4093)-1), B4093)</f>
        <v xml:space="preserve">Ammo Pack </v>
      </c>
      <c r="G4093" s="26">
        <f>IF(ISNUMBER(SEARCH("#",B4093)),VALUE(MID(B4093,FIND("#",B4093)+1,1000)),1)</f>
        <v>1</v>
      </c>
      <c r="H4093" t="str">
        <f>IF(AND(regexMatch(B4093,".*#[0-9]*$"),ISNUMBER(SEARCH("#",B4093))),CONCATENATE(TRIM(F4093)," #",G4093),B4093)</f>
        <v>Ammo Pack #1</v>
      </c>
    </row>
    <row r="4094" spans="1:8" x14ac:dyDescent="0.25">
      <c r="A4094" s="8" t="s">
        <v>1858</v>
      </c>
      <c r="B4094" s="8" t="s">
        <v>1859</v>
      </c>
      <c r="C4094" s="13" t="s">
        <v>145</v>
      </c>
      <c r="D4094" s="15" t="s">
        <v>154</v>
      </c>
      <c r="E4094" s="40" t="str">
        <f>IF(ISERROR(VLOOKUP(B4094,Failures!$A$1:$A$4000,1,FALSE)),"Keep","Delete")</f>
        <v>Keep</v>
      </c>
      <c r="F4094" t="str">
        <f>IF(ISNUMBER(SEARCH("#",B4094)), LEFT(B4094,FIND("#",B4094)-1), B4094)</f>
        <v xml:space="preserve">Ammo Pack </v>
      </c>
      <c r="G4094" s="26">
        <f>IF(ISNUMBER(SEARCH("#",B4094)),VALUE(MID(B4094,FIND("#",B4094)+1,1000)),1)</f>
        <v>2</v>
      </c>
      <c r="H4094" t="str">
        <f>IF(AND(regexMatch(B4094,".*#[0-9]*$"),ISNUMBER(SEARCH("#",B4094))),CONCATENATE(TRIM(F4094)," #",G4094),B4094)</f>
        <v>Ammo Pack #2</v>
      </c>
    </row>
    <row r="4095" spans="1:8" x14ac:dyDescent="0.25">
      <c r="A4095" s="8" t="s">
        <v>1860</v>
      </c>
      <c r="B4095" s="8" t="s">
        <v>1861</v>
      </c>
      <c r="C4095" s="12" t="s">
        <v>145</v>
      </c>
      <c r="D4095" s="15" t="s">
        <v>154</v>
      </c>
      <c r="E4095" s="40" t="str">
        <f>IF(ISERROR(VLOOKUP(B4095,Failures!$A$1:$A$4000,1,FALSE)),"Keep","Delete")</f>
        <v>Keep</v>
      </c>
      <c r="F4095" t="str">
        <f>IF(ISNUMBER(SEARCH("#",B4095)), LEFT(B4095,FIND("#",B4095)-1), B4095)</f>
        <v xml:space="preserve">Ammo Pack </v>
      </c>
      <c r="G4095" s="26">
        <f>IF(ISNUMBER(SEARCH("#",B4095)),VALUE(MID(B4095,FIND("#",B4095)+1,1000)),1)</f>
        <v>3</v>
      </c>
      <c r="H4095" t="str">
        <f>IF(AND(regexMatch(B4095,".*#[0-9]*$"),ISNUMBER(SEARCH("#",B4095))),CONCATENATE(TRIM(F4095)," #",G4095),B4095)</f>
        <v>Ammo Pack #3</v>
      </c>
    </row>
    <row r="4096" spans="1:8" x14ac:dyDescent="0.25">
      <c r="A4096" s="8" t="s">
        <v>1862</v>
      </c>
      <c r="B4096" s="8" t="s">
        <v>1863</v>
      </c>
      <c r="C4096" s="13" t="s">
        <v>145</v>
      </c>
      <c r="D4096" s="15" t="s">
        <v>154</v>
      </c>
      <c r="E4096" s="40" t="str">
        <f>IF(ISERROR(VLOOKUP(B4096,Failures!$A$1:$A$4000,1,FALSE)),"Keep","Delete")</f>
        <v>Keep</v>
      </c>
      <c r="F4096" t="str">
        <f>IF(ISNUMBER(SEARCH("#",B4096)), LEFT(B4096,FIND("#",B4096)-1), B4096)</f>
        <v>Armour</v>
      </c>
      <c r="G4096" s="26">
        <f>IF(ISNUMBER(SEARCH("#",B4096)),VALUE(MID(B4096,FIND("#",B4096)+1,1000)),1)</f>
        <v>1</v>
      </c>
      <c r="H4096" t="str">
        <f>IF(AND(regexMatch(B4096,".*#[0-9]*$"),ISNUMBER(SEARCH("#",B4096))),CONCATENATE(TRIM(F4096)," #",G4096),B4096)</f>
        <v>Armour</v>
      </c>
    </row>
    <row r="4097" spans="1:8" x14ac:dyDescent="0.25">
      <c r="A4097" s="8" t="s">
        <v>152</v>
      </c>
      <c r="B4097" s="8" t="s">
        <v>153</v>
      </c>
      <c r="C4097" s="13" t="s">
        <v>5</v>
      </c>
      <c r="D4097" s="15" t="s">
        <v>154</v>
      </c>
      <c r="E4097" s="40" t="str">
        <f>IF(ISERROR(VLOOKUP(B4097,Failures!$A$1:$A$4000,1,FALSE)),"Keep","Delete")</f>
        <v>Keep</v>
      </c>
      <c r="F4097" t="str">
        <f>IF(ISNUMBER(SEARCH("#",B4097)), LEFT(B4097,FIND("#",B4097)-1), B4097)</f>
        <v>Armour Pickup</v>
      </c>
      <c r="G4097" s="26">
        <f>IF(ISNUMBER(SEARCH("#",B4097)),VALUE(MID(B4097,FIND("#",B4097)+1,1000)),1)</f>
        <v>1</v>
      </c>
      <c r="H4097" t="str">
        <f>IF(AND(regexMatch(B4097,".*#[0-9]*$"),ISNUMBER(SEARCH("#",B4097))),CONCATENATE(TRIM(F4097)," #",G4097),B4097)</f>
        <v>Armour Pickup</v>
      </c>
    </row>
    <row r="4098" spans="1:8" x14ac:dyDescent="0.25">
      <c r="A4098" s="8" t="s">
        <v>1275</v>
      </c>
      <c r="B4098" s="8" t="s">
        <v>1276</v>
      </c>
      <c r="C4098" s="13" t="s">
        <v>5</v>
      </c>
      <c r="D4098" s="15" t="s">
        <v>154</v>
      </c>
      <c r="E4098" s="40" t="str">
        <f>IF(ISERROR(VLOOKUP(B4098,Failures!$A$1:$A$4000,1,FALSE)),"Keep","Delete")</f>
        <v>Keep</v>
      </c>
      <c r="F4098" t="str">
        <f>IF(ISNUMBER(SEARCH("#",B4098)), LEFT(B4098,FIND("#",B4098)-1), B4098)</f>
        <v>Arms Crate</v>
      </c>
      <c r="G4098" s="26">
        <f>IF(ISNUMBER(SEARCH("#",B4098)),VALUE(MID(B4098,FIND("#",B4098)+1,1000)),1)</f>
        <v>1</v>
      </c>
      <c r="H4098" t="str">
        <f>IF(AND(regexMatch(B4098,".*#[0-9]*$"),ISNUMBER(SEARCH("#",B4098))),CONCATENATE(TRIM(F4098)," #",G4098),B4098)</f>
        <v>Arms Crate</v>
      </c>
    </row>
    <row r="4099" spans="1:8" x14ac:dyDescent="0.25">
      <c r="A4099" s="8" t="s">
        <v>1273</v>
      </c>
      <c r="B4099" s="8" t="s">
        <v>1274</v>
      </c>
      <c r="C4099" s="13" t="s">
        <v>5</v>
      </c>
      <c r="D4099" s="15" t="s">
        <v>154</v>
      </c>
      <c r="E4099" s="40" t="str">
        <f>IF(ISERROR(VLOOKUP(B4099,Failures!$A$1:$A$4000,1,FALSE)),"Keep","Delete")</f>
        <v>Keep</v>
      </c>
      <c r="F4099" t="str">
        <f>IF(ISNUMBER(SEARCH("#",B4099)), LEFT(B4099,FIND("#",B4099)-1), B4099)</f>
        <v>Arms Crate With Parachute</v>
      </c>
      <c r="G4099" s="26">
        <f>IF(ISNUMBER(SEARCH("#",B4099)),VALUE(MID(B4099,FIND("#",B4099)+1,1000)),1)</f>
        <v>1</v>
      </c>
      <c r="H4099" t="str">
        <f>IF(AND(regexMatch(B4099,".*#[0-9]*$"),ISNUMBER(SEARCH("#",B4099))),CONCATENATE(TRIM(F4099)," #",G4099),B4099)</f>
        <v>Arms Crate With Parachute</v>
      </c>
    </row>
    <row r="4100" spans="1:8" x14ac:dyDescent="0.25">
      <c r="A4100" s="8" t="s">
        <v>372</v>
      </c>
      <c r="B4100" s="8" t="s">
        <v>373</v>
      </c>
      <c r="C4100" s="13" t="s">
        <v>5</v>
      </c>
      <c r="D4100" s="15" t="s">
        <v>154</v>
      </c>
      <c r="E4100" s="40" t="str">
        <f>IF(ISERROR(VLOOKUP(B4100,Failures!$A$1:$A$4000,1,FALSE)),"Keep","Delete")</f>
        <v>Keep</v>
      </c>
      <c r="F4100" t="str">
        <f>IF(ISNUMBER(SEARCH("#",B4100)), LEFT(B4100,FIND("#",B4100)-1), B4100)</f>
        <v>Blackjack</v>
      </c>
      <c r="G4100" s="26">
        <f>IF(ISNUMBER(SEARCH("#",B4100)),VALUE(MID(B4100,FIND("#",B4100)+1,1000)),1)</f>
        <v>1</v>
      </c>
      <c r="H4100" t="str">
        <f>IF(AND(regexMatch(B4100,".*#[0-9]*$"),ISNUMBER(SEARCH("#",B4100))),CONCATENATE(TRIM(F4100)," #",G4100),B4100)</f>
        <v>Blackjack</v>
      </c>
    </row>
    <row r="4101" spans="1:8" x14ac:dyDescent="0.25">
      <c r="A4101" s="8" t="s">
        <v>428</v>
      </c>
      <c r="B4101" s="8" t="s">
        <v>3532</v>
      </c>
      <c r="C4101" s="13" t="s">
        <v>5</v>
      </c>
      <c r="D4101" s="15" t="s">
        <v>154</v>
      </c>
      <c r="E4101" s="40" t="str">
        <f>IF(ISERROR(VLOOKUP(B4101,Failures!$A$1:$A$4000,1,FALSE)),"Keep","Delete")</f>
        <v>Keep</v>
      </c>
      <c r="F4101" t="str">
        <f>IF(ISNUMBER(SEARCH("#",B4101)), LEFT(B4101,FIND("#",B4101)-1), B4101)</f>
        <v xml:space="preserve">Body Armour </v>
      </c>
      <c r="G4101" s="26">
        <f>IF(ISNUMBER(SEARCH("#",B4101)),VALUE(MID(B4101,FIND("#",B4101)+1,1000)),1)</f>
        <v>1</v>
      </c>
      <c r="H4101" t="str">
        <f>IF(AND(regexMatch(B4101,".*#[0-9]*$"),ISNUMBER(SEARCH("#",B4101))),CONCATENATE(TRIM(F4101)," #",G4101),B4101)</f>
        <v>Body Armour #1</v>
      </c>
    </row>
    <row r="4102" spans="1:8" x14ac:dyDescent="0.25">
      <c r="A4102" s="8" t="s">
        <v>420</v>
      </c>
      <c r="B4102" s="8" t="s">
        <v>421</v>
      </c>
      <c r="C4102" s="13" t="s">
        <v>5</v>
      </c>
      <c r="D4102" s="15" t="s">
        <v>154</v>
      </c>
      <c r="E4102" s="40" t="str">
        <f>IF(ISERROR(VLOOKUP(B4102,Failures!$A$1:$A$4000,1,FALSE)),"Keep","Delete")</f>
        <v>Keep</v>
      </c>
      <c r="F4102" t="str">
        <f>IF(ISNUMBER(SEARCH("#",B4102)), LEFT(B4102,FIND("#",B4102)-1), B4102)</f>
        <v xml:space="preserve">Body Armour </v>
      </c>
      <c r="G4102" s="26">
        <f>IF(ISNUMBER(SEARCH("#",B4102)),VALUE(MID(B4102,FIND("#",B4102)+1,1000)),1)</f>
        <v>2</v>
      </c>
      <c r="H4102" t="str">
        <f>IF(AND(regexMatch(B4102,".*#[0-9]*$"),ISNUMBER(SEARCH("#",B4102))),CONCATENATE(TRIM(F4102)," #",G4102),B4102)</f>
        <v>Body Armour #2</v>
      </c>
    </row>
    <row r="4103" spans="1:8" x14ac:dyDescent="0.25">
      <c r="A4103" s="8" t="s">
        <v>422</v>
      </c>
      <c r="B4103" s="8" t="s">
        <v>423</v>
      </c>
      <c r="C4103" s="13" t="s">
        <v>5</v>
      </c>
      <c r="D4103" s="15" t="s">
        <v>154</v>
      </c>
      <c r="E4103" s="40" t="str">
        <f>IF(ISERROR(VLOOKUP(B4103,Failures!$A$1:$A$4000,1,FALSE)),"Keep","Delete")</f>
        <v>Keep</v>
      </c>
      <c r="F4103" t="str">
        <f>IF(ISNUMBER(SEARCH("#",B4103)), LEFT(B4103,FIND("#",B4103)-1), B4103)</f>
        <v xml:space="preserve">Body Armour </v>
      </c>
      <c r="G4103" s="26">
        <f>IF(ISNUMBER(SEARCH("#",B4103)),VALUE(MID(B4103,FIND("#",B4103)+1,1000)),1)</f>
        <v>3</v>
      </c>
      <c r="H4103" t="str">
        <f>IF(AND(regexMatch(B4103,".*#[0-9]*$"),ISNUMBER(SEARCH("#",B4103))),CONCATENATE(TRIM(F4103)," #",G4103),B4103)</f>
        <v>Body Armour #3</v>
      </c>
    </row>
    <row r="4104" spans="1:8" x14ac:dyDescent="0.25">
      <c r="A4104" s="8" t="s">
        <v>424</v>
      </c>
      <c r="B4104" s="8" t="s">
        <v>425</v>
      </c>
      <c r="C4104" s="13" t="s">
        <v>5</v>
      </c>
      <c r="D4104" s="15" t="s">
        <v>154</v>
      </c>
      <c r="E4104" s="40" t="str">
        <f>IF(ISERROR(VLOOKUP(B4104,Failures!$A$1:$A$4000,1,FALSE)),"Keep","Delete")</f>
        <v>Keep</v>
      </c>
      <c r="F4104" t="str">
        <f>IF(ISNUMBER(SEARCH("#",B4104)), LEFT(B4104,FIND("#",B4104)-1), B4104)</f>
        <v xml:space="preserve">Body Armour </v>
      </c>
      <c r="G4104" s="26">
        <f>IF(ISNUMBER(SEARCH("#",B4104)),VALUE(MID(B4104,FIND("#",B4104)+1,1000)),1)</f>
        <v>4</v>
      </c>
      <c r="H4104" t="str">
        <f>IF(AND(regexMatch(B4104,".*#[0-9]*$"),ISNUMBER(SEARCH("#",B4104))),CONCATENATE(TRIM(F4104)," #",G4104),B4104)</f>
        <v>Body Armour #4</v>
      </c>
    </row>
    <row r="4105" spans="1:8" x14ac:dyDescent="0.25">
      <c r="A4105" s="8" t="s">
        <v>426</v>
      </c>
      <c r="B4105" s="8" t="s">
        <v>427</v>
      </c>
      <c r="C4105" s="13" t="s">
        <v>5</v>
      </c>
      <c r="D4105" s="15" t="s">
        <v>154</v>
      </c>
      <c r="E4105" s="40" t="str">
        <f>IF(ISERROR(VLOOKUP(B4105,Failures!$A$1:$A$4000,1,FALSE)),"Keep","Delete")</f>
        <v>Keep</v>
      </c>
      <c r="F4105" t="str">
        <f>IF(ISNUMBER(SEARCH("#",B4105)), LEFT(B4105,FIND("#",B4105)-1), B4105)</f>
        <v xml:space="preserve">Body Armour </v>
      </c>
      <c r="G4105" s="26">
        <f>IF(ISNUMBER(SEARCH("#",B4105)),VALUE(MID(B4105,FIND("#",B4105)+1,1000)),1)</f>
        <v>5</v>
      </c>
      <c r="H4105" t="str">
        <f>IF(AND(regexMatch(B4105,".*#[0-9]*$"),ISNUMBER(SEARCH("#",B4105))),CONCATENATE(TRIM(F4105)," #",G4105),B4105)</f>
        <v>Body Armour #5</v>
      </c>
    </row>
    <row r="4106" spans="1:8" x14ac:dyDescent="0.25">
      <c r="A4106" s="8" t="s">
        <v>1870</v>
      </c>
      <c r="B4106" s="8" t="s">
        <v>430</v>
      </c>
      <c r="C4106" s="13" t="s">
        <v>145</v>
      </c>
      <c r="D4106" s="15" t="s">
        <v>154</v>
      </c>
      <c r="E4106" s="40" t="str">
        <f>IF(ISERROR(VLOOKUP(B4106,Failures!$A$1:$A$4000,1,FALSE)),"Keep","Delete")</f>
        <v>Keep</v>
      </c>
      <c r="F4106" t="str">
        <f>IF(ISNUMBER(SEARCH("#",B4106)), LEFT(B4106,FIND("#",B4106)-1), B4106)</f>
        <v xml:space="preserve">Bomb </v>
      </c>
      <c r="G4106" s="26">
        <f>IF(ISNUMBER(SEARCH("#",B4106)),VALUE(MID(B4106,FIND("#",B4106)+1,1000)),1)</f>
        <v>1</v>
      </c>
      <c r="H4106" t="str">
        <f>IF(AND(regexMatch(B4106,".*#[0-9]*$"),ISNUMBER(SEARCH("#",B4106))),CONCATENATE(TRIM(F4106)," #",G4106),B4106)</f>
        <v>Bomb #1</v>
      </c>
    </row>
    <row r="4107" spans="1:8" x14ac:dyDescent="0.25">
      <c r="A4107" s="8" t="s">
        <v>429</v>
      </c>
      <c r="B4107" s="8" t="s">
        <v>3533</v>
      </c>
      <c r="C4107" s="13" t="s">
        <v>5</v>
      </c>
      <c r="D4107" s="15" t="s">
        <v>154</v>
      </c>
      <c r="E4107" s="40" t="str">
        <f>IF(ISERROR(VLOOKUP(B4107,Failures!$A$1:$A$4000,1,FALSE)),"Keep","Delete")</f>
        <v>Keep</v>
      </c>
      <c r="F4107" t="str">
        <f>IF(ISNUMBER(SEARCH("#",B4107)), LEFT(B4107,FIND("#",B4107)-1), B4107)</f>
        <v xml:space="preserve">Bomb </v>
      </c>
      <c r="G4107" s="26">
        <f>IF(ISNUMBER(SEARCH("#",B4107)),VALUE(MID(B4107,FIND("#",B4107)+1,1000)),1)</f>
        <v>2</v>
      </c>
      <c r="H4107" t="str">
        <f>IF(AND(regexMatch(B4107,".*#[0-9]*$"),ISNUMBER(SEARCH("#",B4107))),CONCATENATE(TRIM(F4107)," #",G4107),B4107)</f>
        <v>Bomb #2</v>
      </c>
    </row>
    <row r="4108" spans="1:8" x14ac:dyDescent="0.25">
      <c r="A4108" s="8" t="s">
        <v>431</v>
      </c>
      <c r="B4108" s="8" t="s">
        <v>3534</v>
      </c>
      <c r="C4108" s="13" t="s">
        <v>5</v>
      </c>
      <c r="D4108" s="15" t="s">
        <v>154</v>
      </c>
      <c r="E4108" s="40" t="str">
        <f>IF(ISERROR(VLOOKUP(B4108,Failures!$A$1:$A$4000,1,FALSE)),"Keep","Delete")</f>
        <v>Keep</v>
      </c>
      <c r="F4108" t="str">
        <f>IF(ISNUMBER(SEARCH("#",B4108)), LEFT(B4108,FIND("#",B4108)-1), B4108)</f>
        <v xml:space="preserve">Bomb </v>
      </c>
      <c r="G4108" s="26">
        <f>IF(ISNUMBER(SEARCH("#",B4108)),VALUE(MID(B4108,FIND("#",B4108)+1,1000)),1)</f>
        <v>3</v>
      </c>
      <c r="H4108" t="str">
        <f>IF(AND(regexMatch(B4108,".*#[0-9]*$"),ISNUMBER(SEARCH("#",B4108))),CONCATENATE(TRIM(F4108)," #",G4108),B4108)</f>
        <v>Bomb #3</v>
      </c>
    </row>
    <row r="4109" spans="1:8" x14ac:dyDescent="0.25">
      <c r="A4109" s="8" t="s">
        <v>862</v>
      </c>
      <c r="B4109" s="8" t="s">
        <v>863</v>
      </c>
      <c r="C4109" s="13" t="s">
        <v>5</v>
      </c>
      <c r="D4109" s="15" t="s">
        <v>154</v>
      </c>
      <c r="E4109" s="40" t="str">
        <f>IF(ISERROR(VLOOKUP(B4109,Failures!$A$1:$A$4000,1,FALSE)),"Keep","Delete")</f>
        <v>Keep</v>
      </c>
      <c r="F4109" t="str">
        <f>IF(ISNUMBER(SEARCH("#",B4109)), LEFT(B4109,FIND("#",B4109)-1), B4109)</f>
        <v>Bowie Knife</v>
      </c>
      <c r="G4109" s="26">
        <f>IF(ISNUMBER(SEARCH("#",B4109)),VALUE(MID(B4109,FIND("#",B4109)+1,1000)),1)</f>
        <v>1</v>
      </c>
      <c r="H4109" t="str">
        <f>IF(AND(regexMatch(B4109,".*#[0-9]*$"),ISNUMBER(SEARCH("#",B4109))),CONCATENATE(TRIM(F4109)," #",G4109),B4109)</f>
        <v>Bowie Knife</v>
      </c>
    </row>
    <row r="4110" spans="1:8" x14ac:dyDescent="0.25">
      <c r="A4110" s="18" t="s">
        <v>4284</v>
      </c>
      <c r="B4110" s="10" t="s">
        <v>4396</v>
      </c>
      <c r="C4110" s="21"/>
      <c r="D4110" s="5" t="s">
        <v>154</v>
      </c>
      <c r="E4110" s="40" t="str">
        <f>IF(ISERROR(VLOOKUP(B4110,Failures!$A$1:$A$4000,1,FALSE)),"Keep","Delete")</f>
        <v>Keep</v>
      </c>
      <c r="F4110" t="str">
        <f>IF(ISNUMBER(SEARCH("#",B4110)), LEFT(B4110,FIND("#",B4110)-1), B4110)</f>
        <v>Broken Bottle</v>
      </c>
      <c r="G4110" s="26">
        <f>IF(ISNUMBER(SEARCH("#",B4110)),VALUE(MID(B4110,FIND("#",B4110)+1,1000)),1)</f>
        <v>1</v>
      </c>
      <c r="H4110" t="str">
        <f>IF(AND(regexMatch(B4110,".*#[0-9]*$"),ISNUMBER(SEARCH("#",B4110))),CONCATENATE(TRIM(F4110)," #",G4110),B4110)</f>
        <v>Broken Bottle</v>
      </c>
    </row>
    <row r="4111" spans="1:8" x14ac:dyDescent="0.25">
      <c r="A4111" s="8" t="s">
        <v>548</v>
      </c>
      <c r="B4111" s="8" t="s">
        <v>3542</v>
      </c>
      <c r="C4111" s="13" t="s">
        <v>145</v>
      </c>
      <c r="D4111" s="15" t="s">
        <v>154</v>
      </c>
      <c r="E4111" s="40" t="str">
        <f>IF(ISERROR(VLOOKUP(B4111,Failures!$A$1:$A$4000,1,FALSE)),"Keep","Delete")</f>
        <v>Keep</v>
      </c>
      <c r="F4111" t="str">
        <f>IF(ISNUMBER(SEARCH("#",B4111)), LEFT(B4111,FIND("#",B4111)-1), B4111)</f>
        <v xml:space="preserve">C4 </v>
      </c>
      <c r="G4111" s="26">
        <f>IF(ISNUMBER(SEARCH("#",B4111)),VALUE(MID(B4111,FIND("#",B4111)+1,1000)),1)</f>
        <v>1</v>
      </c>
      <c r="H4111" t="str">
        <f>IF(AND(regexMatch(B4111,".*#[0-9]*$"),ISNUMBER(SEARCH("#",B4111))),CONCATENATE(TRIM(F4111)," #",G4111),B4111)</f>
        <v>C4 #1</v>
      </c>
    </row>
    <row r="4112" spans="1:8" x14ac:dyDescent="0.25">
      <c r="A4112" s="8" t="s">
        <v>549</v>
      </c>
      <c r="B4112" s="8" t="s">
        <v>3543</v>
      </c>
      <c r="C4112" s="13" t="s">
        <v>145</v>
      </c>
      <c r="D4112" s="15" t="s">
        <v>154</v>
      </c>
      <c r="E4112" s="40" t="str">
        <f>IF(ISERROR(VLOOKUP(B4112,Failures!$A$1:$A$4000,1,FALSE)),"Keep","Delete")</f>
        <v>Keep</v>
      </c>
      <c r="F4112" t="str">
        <f>IF(ISNUMBER(SEARCH("#",B4112)), LEFT(B4112,FIND("#",B4112)-1), B4112)</f>
        <v xml:space="preserve">C4 </v>
      </c>
      <c r="G4112" s="26">
        <f>IF(ISNUMBER(SEARCH("#",B4112)),VALUE(MID(B4112,FIND("#",B4112)+1,1000)),1)</f>
        <v>2</v>
      </c>
      <c r="H4112" t="str">
        <f>IF(AND(regexMatch(B4112,".*#[0-9]*$"),ISNUMBER(SEARCH("#",B4112))),CONCATENATE(TRIM(F4112)," #",G4112),B4112)</f>
        <v>C4 #2</v>
      </c>
    </row>
    <row r="4113" spans="1:8" x14ac:dyDescent="0.25">
      <c r="A4113" s="18" t="s">
        <v>4285</v>
      </c>
      <c r="B4113" s="10" t="s">
        <v>4395</v>
      </c>
      <c r="C4113" s="21"/>
      <c r="D4113" s="5" t="s">
        <v>154</v>
      </c>
      <c r="E4113" s="40" t="str">
        <f>IF(ISERROR(VLOOKUP(B4113,Failures!$A$1:$A$4000,1,FALSE)),"Keep","Delete")</f>
        <v>Keep</v>
      </c>
      <c r="F4113" t="str">
        <f>IF(ISNUMBER(SEARCH("#",B4113)), LEFT(B4113,FIND("#",B4113)-1), B4113)</f>
        <v>Dagger</v>
      </c>
      <c r="G4113" s="26">
        <f>IF(ISNUMBER(SEARCH("#",B4113)),VALUE(MID(B4113,FIND("#",B4113)+1,1000)),1)</f>
        <v>1</v>
      </c>
      <c r="H4113" t="str">
        <f>IF(AND(regexMatch(B4113,".*#[0-9]*$"),ISNUMBER(SEARCH("#",B4113))),CONCATENATE(TRIM(F4113)," #",G4113),B4113)</f>
        <v>Dagger</v>
      </c>
    </row>
    <row r="4114" spans="1:8" x14ac:dyDescent="0.25">
      <c r="A4114" s="8" t="s">
        <v>1416</v>
      </c>
      <c r="B4114" s="8" t="s">
        <v>1417</v>
      </c>
      <c r="C4114" s="13" t="s">
        <v>5</v>
      </c>
      <c r="D4114" s="15" t="s">
        <v>154</v>
      </c>
      <c r="E4114" s="40" t="str">
        <f>IF(ISERROR(VLOOKUP(B4114,Failures!$A$1:$A$4000,1,FALSE)),"Keep","Delete")</f>
        <v>Keep</v>
      </c>
      <c r="F4114" t="str">
        <f>IF(ISNUMBER(SEARCH("#",B4114)), LEFT(B4114,FIND("#",B4114)-1), B4114)</f>
        <v xml:space="preserve">Flare </v>
      </c>
      <c r="G4114" s="26">
        <f>IF(ISNUMBER(SEARCH("#",B4114)),VALUE(MID(B4114,FIND("#",B4114)+1,1000)),1)</f>
        <v>1</v>
      </c>
      <c r="H4114" t="str">
        <f>IF(AND(regexMatch(B4114,".*#[0-9]*$"),ISNUMBER(SEARCH("#",B4114))),CONCATENATE(TRIM(F4114)," #",G4114),B4114)</f>
        <v>Flare #1</v>
      </c>
    </row>
    <row r="4115" spans="1:8" x14ac:dyDescent="0.25">
      <c r="A4115" s="8" t="s">
        <v>1418</v>
      </c>
      <c r="B4115" s="8" t="s">
        <v>3685</v>
      </c>
      <c r="C4115" s="13" t="s">
        <v>5</v>
      </c>
      <c r="D4115" s="15" t="s">
        <v>154</v>
      </c>
      <c r="E4115" s="40" t="str">
        <f>IF(ISERROR(VLOOKUP(B4115,Failures!$A$1:$A$4000,1,FALSE)),"Keep","Delete")</f>
        <v>Keep</v>
      </c>
      <c r="F4115" t="str">
        <f>IF(ISNUMBER(SEARCH("#",B4115)), LEFT(B4115,FIND("#",B4115)-1), B4115)</f>
        <v xml:space="preserve">Flare </v>
      </c>
      <c r="G4115" s="26">
        <f>IF(ISNUMBER(SEARCH("#",B4115)),VALUE(MID(B4115,FIND("#",B4115)+1,1000)),1)</f>
        <v>2</v>
      </c>
      <c r="H4115" t="str">
        <f>IF(AND(regexMatch(B4115,".*#[0-9]*$"),ISNUMBER(SEARCH("#",B4115))),CONCATENATE(TRIM(F4115)," #",G4115),B4115)</f>
        <v>Flare #2</v>
      </c>
    </row>
    <row r="4116" spans="1:8" x14ac:dyDescent="0.25">
      <c r="A4116" s="8" t="s">
        <v>1537</v>
      </c>
      <c r="B4116" s="8" t="s">
        <v>1538</v>
      </c>
      <c r="C4116" s="12" t="s">
        <v>5</v>
      </c>
      <c r="D4116" s="15" t="s">
        <v>154</v>
      </c>
      <c r="E4116" s="40" t="str">
        <f>IF(ISERROR(VLOOKUP(B4116,Failures!$A$1:$A$4000,1,FALSE)),"Keep","Delete")</f>
        <v>Keep</v>
      </c>
      <c r="F4116" t="str">
        <f>IF(ISNUMBER(SEARCH("#",B4116)), LEFT(B4116,FIND("#",B4116)-1), B4116)</f>
        <v>Gas Grenade</v>
      </c>
      <c r="G4116" s="26">
        <f>IF(ISNUMBER(SEARCH("#",B4116)),VALUE(MID(B4116,FIND("#",B4116)+1,1000)),1)</f>
        <v>1</v>
      </c>
      <c r="H4116" t="str">
        <f>IF(AND(regexMatch(B4116,".*#[0-9]*$"),ISNUMBER(SEARCH("#",B4116))),CONCATENATE(TRIM(F4116)," #",G4116),B4116)</f>
        <v>Gas Grenade</v>
      </c>
    </row>
    <row r="4117" spans="1:8" x14ac:dyDescent="0.25">
      <c r="A4117" s="8" t="s">
        <v>1615</v>
      </c>
      <c r="B4117" s="8" t="s">
        <v>1616</v>
      </c>
      <c r="C4117" s="12" t="s">
        <v>5</v>
      </c>
      <c r="D4117" s="15" t="s">
        <v>154</v>
      </c>
      <c r="E4117" s="40" t="str">
        <f>IF(ISERROR(VLOOKUP(B4117,Failures!$A$1:$A$4000,1,FALSE)),"Keep","Delete")</f>
        <v>Keep</v>
      </c>
      <c r="F4117" t="str">
        <f>IF(ISNUMBER(SEARCH("#",B4117)), LEFT(B4117,FIND("#",B4117)-1), B4117)</f>
        <v xml:space="preserve">Gun Case </v>
      </c>
      <c r="G4117" s="26">
        <f>IF(ISNUMBER(SEARCH("#",B4117)),VALUE(MID(B4117,FIND("#",B4117)+1,1000)),1)</f>
        <v>1</v>
      </c>
      <c r="H4117" t="str">
        <f>IF(AND(regexMatch(B4117,".*#[0-9]*$"),ISNUMBER(SEARCH("#",B4117))),CONCATENATE(TRIM(F4117)," #",G4117),B4117)</f>
        <v>Gun Case #1</v>
      </c>
    </row>
    <row r="4118" spans="1:8" x14ac:dyDescent="0.25">
      <c r="A4118" s="8" t="s">
        <v>481</v>
      </c>
      <c r="B4118" s="8" t="s">
        <v>1618</v>
      </c>
      <c r="C4118" s="12" t="s">
        <v>5</v>
      </c>
      <c r="D4118" s="15" t="s">
        <v>154</v>
      </c>
      <c r="E4118" s="40" t="str">
        <f>IF(ISERROR(VLOOKUP(B4118,Failures!$A$1:$A$4000,1,FALSE)),"Keep","Delete")</f>
        <v>Keep</v>
      </c>
      <c r="F4118" t="str">
        <f>IF(ISNUMBER(SEARCH("#",B4118)), LEFT(B4118,FIND("#",B4118)-1), B4118)</f>
        <v xml:space="preserve">Gun Case </v>
      </c>
      <c r="G4118" s="26">
        <f>IF(ISNUMBER(SEARCH("#",B4118)),VALUE(MID(B4118,FIND("#",B4118)+1,1000)),1)</f>
        <v>2</v>
      </c>
      <c r="H4118" t="str">
        <f>IF(AND(regexMatch(B4118,".*#[0-9]*$"),ISNUMBER(SEARCH("#",B4118))),CONCATENATE(TRIM(F4118)," #",G4118),B4118)</f>
        <v>Gun Case #2</v>
      </c>
    </row>
    <row r="4119" spans="1:8" x14ac:dyDescent="0.25">
      <c r="A4119" s="8" t="s">
        <v>1617</v>
      </c>
      <c r="B4119" s="8" t="s">
        <v>3716</v>
      </c>
      <c r="C4119" s="12" t="s">
        <v>5</v>
      </c>
      <c r="D4119" s="15" t="s">
        <v>154</v>
      </c>
      <c r="E4119" s="40" t="str">
        <f>IF(ISERROR(VLOOKUP(B4119,Failures!$A$1:$A$4000,1,FALSE)),"Keep","Delete")</f>
        <v>Keep</v>
      </c>
      <c r="F4119" t="str">
        <f>IF(ISNUMBER(SEARCH("#",B4119)), LEFT(B4119,FIND("#",B4119)-1), B4119)</f>
        <v xml:space="preserve">Gun Case </v>
      </c>
      <c r="G4119" s="26">
        <f>IF(ISNUMBER(SEARCH("#",B4119)),VALUE(MID(B4119,FIND("#",B4119)+1,1000)),1)</f>
        <v>3</v>
      </c>
      <c r="H4119" t="str">
        <f>IF(AND(regexMatch(B4119,".*#[0-9]*$"),ISNUMBER(SEARCH("#",B4119))),CONCATENATE(TRIM(F4119)," #",G4119),B4119)</f>
        <v>Gun Case #3</v>
      </c>
    </row>
    <row r="4120" spans="1:8" x14ac:dyDescent="0.25">
      <c r="A4120" s="8" t="s">
        <v>482</v>
      </c>
      <c r="B4120" s="8" t="s">
        <v>3717</v>
      </c>
      <c r="C4120" s="12" t="s">
        <v>5</v>
      </c>
      <c r="D4120" s="15" t="s">
        <v>154</v>
      </c>
      <c r="E4120" s="40" t="str">
        <f>IF(ISERROR(VLOOKUP(B4120,Failures!$A$1:$A$4000,1,FALSE)),"Keep","Delete")</f>
        <v>Keep</v>
      </c>
      <c r="F4120" t="str">
        <f>IF(ISNUMBER(SEARCH("#",B4120)), LEFT(B4120,FIND("#",B4120)-1), B4120)</f>
        <v xml:space="preserve">Gun Case </v>
      </c>
      <c r="G4120" s="26">
        <f>IF(ISNUMBER(SEARCH("#",B4120)),VALUE(MID(B4120,FIND("#",B4120)+1,1000)),1)</f>
        <v>4</v>
      </c>
      <c r="H4120" t="str">
        <f>IF(AND(regexMatch(B4120,".*#[0-9]*$"),ISNUMBER(SEARCH("#",B4120))),CONCATENATE(TRIM(F4120)," #",G4120),B4120)</f>
        <v>Gun Case #4</v>
      </c>
    </row>
    <row r="4121" spans="1:8" x14ac:dyDescent="0.25">
      <c r="A4121" s="8" t="s">
        <v>483</v>
      </c>
      <c r="B4121" s="8" t="s">
        <v>3718</v>
      </c>
      <c r="C4121" s="13" t="s">
        <v>5</v>
      </c>
      <c r="D4121" s="15" t="s">
        <v>154</v>
      </c>
      <c r="E4121" s="40" t="str">
        <f>IF(ISERROR(VLOOKUP(B4121,Failures!$A$1:$A$4000,1,FALSE)),"Keep","Delete")</f>
        <v>Keep</v>
      </c>
      <c r="F4121" t="str">
        <f>IF(ISNUMBER(SEARCH("#",B4121)), LEFT(B4121,FIND("#",B4121)-1), B4121)</f>
        <v xml:space="preserve">Gun Case </v>
      </c>
      <c r="G4121" s="26">
        <f>IF(ISNUMBER(SEARCH("#",B4121)),VALUE(MID(B4121,FIND("#",B4121)+1,1000)),1)</f>
        <v>5</v>
      </c>
      <c r="H4121" t="str">
        <f>IF(AND(regexMatch(B4121,".*#[0-9]*$"),ISNUMBER(SEARCH("#",B4121))),CONCATENATE(TRIM(F4121)," #",G4121),B4121)</f>
        <v>Gun Case #5</v>
      </c>
    </row>
    <row r="4122" spans="1:8" x14ac:dyDescent="0.25">
      <c r="A4122" s="8" t="s">
        <v>1619</v>
      </c>
      <c r="B4122" s="8" t="s">
        <v>1620</v>
      </c>
      <c r="C4122" s="13" t="s">
        <v>5</v>
      </c>
      <c r="D4122" s="15" t="s">
        <v>154</v>
      </c>
      <c r="E4122" s="40" t="str">
        <f>IF(ISERROR(VLOOKUP(B4122,Failures!$A$1:$A$4000,1,FALSE)),"Keep","Delete")</f>
        <v>Keep</v>
      </c>
      <c r="F4122" t="str">
        <f>IF(ISNUMBER(SEARCH("#",B4122)), LEFT(B4122,FIND("#",B4122)-1), B4122)</f>
        <v>Gun Frame</v>
      </c>
      <c r="G4122" s="26">
        <f>IF(ISNUMBER(SEARCH("#",B4122)),VALUE(MID(B4122,FIND("#",B4122)+1,1000)),1)</f>
        <v>1</v>
      </c>
      <c r="H4122" t="str">
        <f>IF(AND(regexMatch(B4122,".*#[0-9]*$"),ISNUMBER(SEARCH("#",B4122))),CONCATENATE(TRIM(F4122)," #",G4122),B4122)</f>
        <v>Gun Frame</v>
      </c>
    </row>
    <row r="4123" spans="1:8" x14ac:dyDescent="0.25">
      <c r="A4123" s="8" t="s">
        <v>961</v>
      </c>
      <c r="B4123" s="8" t="s">
        <v>962</v>
      </c>
      <c r="C4123" s="13" t="s">
        <v>5</v>
      </c>
      <c r="D4123" s="15" t="s">
        <v>154</v>
      </c>
      <c r="E4123" s="40" t="str">
        <f>IF(ISERROR(VLOOKUP(B4123,Failures!$A$1:$A$4000,1,FALSE)),"Keep","Delete")</f>
        <v>Keep</v>
      </c>
      <c r="F4123" t="str">
        <f>IF(ISNUMBER(SEARCH("#",B4123)), LEFT(B4123,FIND("#",B4123)-1), B4123)</f>
        <v>Gun Rack</v>
      </c>
      <c r="G4123" s="26">
        <f>IF(ISNUMBER(SEARCH("#",B4123)),VALUE(MID(B4123,FIND("#",B4123)+1,1000)),1)</f>
        <v>1</v>
      </c>
      <c r="H4123" t="str">
        <f>IF(AND(regexMatch(B4123,".*#[0-9]*$"),ISNUMBER(SEARCH("#",B4123))),CONCATENATE(TRIM(F4123)," #",G4123),B4123)</f>
        <v>Gun Rack</v>
      </c>
    </row>
    <row r="4124" spans="1:8" x14ac:dyDescent="0.25">
      <c r="A4124" s="18" t="s">
        <v>4286</v>
      </c>
      <c r="B4124" s="10" t="s">
        <v>4394</v>
      </c>
      <c r="C4124" s="21"/>
      <c r="D4124" s="5" t="s">
        <v>154</v>
      </c>
      <c r="E4124" s="40" t="str">
        <f>IF(ISERROR(VLOOKUP(B4124,Failures!$A$1:$A$4000,1,FALSE)),"Keep","Delete")</f>
        <v>Keep</v>
      </c>
      <c r="F4124" t="str">
        <f>IF(ISNUMBER(SEARCH("#",B4124)), LEFT(B4124,FIND("#",B4124)-1), B4124)</f>
        <v>Hatchet</v>
      </c>
      <c r="G4124" s="26">
        <f>IF(ISNUMBER(SEARCH("#",B4124)),VALUE(MID(B4124,FIND("#",B4124)+1,1000)),1)</f>
        <v>1</v>
      </c>
      <c r="H4124" t="str">
        <f>IF(AND(regexMatch(B4124,".*#[0-9]*$"),ISNUMBER(SEARCH("#",B4124))),CONCATENATE(TRIM(F4124)," #",G4124),B4124)</f>
        <v>Hatchet</v>
      </c>
    </row>
    <row r="4125" spans="1:8" x14ac:dyDescent="0.25">
      <c r="A4125" s="8" t="s">
        <v>1654</v>
      </c>
      <c r="B4125" s="8" t="s">
        <v>1655</v>
      </c>
      <c r="C4125" s="12" t="s">
        <v>5</v>
      </c>
      <c r="D4125" s="15" t="s">
        <v>154</v>
      </c>
      <c r="E4125" s="40" t="str">
        <f>IF(ISERROR(VLOOKUP(B4125,Failures!$A$1:$A$4000,1,FALSE)),"Keep","Delete")</f>
        <v>Keep</v>
      </c>
      <c r="F4125" t="str">
        <f>IF(ISNUMBER(SEARCH("#",B4125)), LEFT(B4125,FIND("#",B4125)-1), B4125)</f>
        <v>Holster</v>
      </c>
      <c r="G4125" s="26">
        <f>IF(ISNUMBER(SEARCH("#",B4125)),VALUE(MID(B4125,FIND("#",B4125)+1,1000)),1)</f>
        <v>1</v>
      </c>
      <c r="H4125" t="str">
        <f>IF(AND(regexMatch(B4125,".*#[0-9]*$"),ISNUMBER(SEARCH("#",B4125))),CONCATENATE(TRIM(F4125)," #",G4125),B4125)</f>
        <v>Holster</v>
      </c>
    </row>
    <row r="4126" spans="1:8" x14ac:dyDescent="0.25">
      <c r="A4126" s="8" t="s">
        <v>984</v>
      </c>
      <c r="B4126" s="8" t="s">
        <v>3740</v>
      </c>
      <c r="C4126" s="13" t="s">
        <v>5</v>
      </c>
      <c r="D4126" s="15" t="s">
        <v>154</v>
      </c>
      <c r="E4126" s="40" t="str">
        <f>IF(ISERROR(VLOOKUP(B4126,Failures!$A$1:$A$4000,1,FALSE)),"Keep","Delete")</f>
        <v>Keep</v>
      </c>
      <c r="F4126" t="str">
        <f>IF(ISNUMBER(SEARCH("#",B4126)), LEFT(B4126,FIND("#",B4126)-1), B4126)</f>
        <v>Katana</v>
      </c>
      <c r="G4126" s="26">
        <f>IF(ISNUMBER(SEARCH("#",B4126)),VALUE(MID(B4126,FIND("#",B4126)+1,1000)),1)</f>
        <v>1</v>
      </c>
      <c r="H4126" t="str">
        <f>IF(AND(regexMatch(B4126,".*#[0-9]*$"),ISNUMBER(SEARCH("#",B4126))),CONCATENATE(TRIM(F4126)," #",G4126),B4126)</f>
        <v>Katana</v>
      </c>
    </row>
    <row r="4127" spans="1:8" x14ac:dyDescent="0.25">
      <c r="A4127" s="18" t="s">
        <v>4283</v>
      </c>
      <c r="B4127" s="21" t="s">
        <v>1822</v>
      </c>
      <c r="C4127" s="21"/>
      <c r="D4127" s="5" t="s">
        <v>154</v>
      </c>
      <c r="E4127" s="40" t="str">
        <f>IF(ISERROR(VLOOKUP(B4127,Failures!$A$1:$A$4000,1,FALSE)),"Keep","Delete")</f>
        <v>Keep</v>
      </c>
      <c r="F4127" t="str">
        <f>IF(ISNUMBER(SEARCH("#",B4127)), LEFT(B4127,FIND("#",B4127)-1), B4127)</f>
        <v>Knife</v>
      </c>
      <c r="G4127" s="26">
        <f>IF(ISNUMBER(SEARCH("#",B4127)),VALUE(MID(B4127,FIND("#",B4127)+1,1000)),1)</f>
        <v>1</v>
      </c>
      <c r="H4127" t="str">
        <f>IF(AND(regexMatch(B4127,".*#[0-9]*$"),ISNUMBER(SEARCH("#",B4127))),CONCATENATE(TRIM(F4127)," #",G4127),B4127)</f>
        <v>Knife</v>
      </c>
    </row>
    <row r="4128" spans="1:8" x14ac:dyDescent="0.25">
      <c r="A4128" s="8" t="s">
        <v>2009</v>
      </c>
      <c r="B4128" s="8" t="s">
        <v>2010</v>
      </c>
      <c r="C4128" s="12" t="s">
        <v>145</v>
      </c>
      <c r="D4128" s="15" t="s">
        <v>154</v>
      </c>
      <c r="E4128" s="40" t="str">
        <f>IF(ISERROR(VLOOKUP(B4128,Failures!$A$1:$A$4000,1,FALSE)),"Keep","Delete")</f>
        <v>Keep</v>
      </c>
      <c r="F4128" t="str">
        <f>IF(ISNUMBER(SEARCH("#",B4128)), LEFT(B4128,FIND("#",B4128)-1), B4128)</f>
        <v>Machete</v>
      </c>
      <c r="G4128" s="26">
        <f>IF(ISNUMBER(SEARCH("#",B4128)),VALUE(MID(B4128,FIND("#",B4128)+1,1000)),1)</f>
        <v>1</v>
      </c>
      <c r="H4128" t="str">
        <f>IF(AND(regexMatch(B4128,".*#[0-9]*$"),ISNUMBER(SEARCH("#",B4128))),CONCATENATE(TRIM(F4128)," #",G4128),B4128)</f>
        <v>Machete</v>
      </c>
    </row>
    <row r="4129" spans="1:8" x14ac:dyDescent="0.25">
      <c r="A4129" s="8" t="s">
        <v>2138</v>
      </c>
      <c r="B4129" s="8" t="s">
        <v>2139</v>
      </c>
      <c r="C4129" s="12" t="s">
        <v>5</v>
      </c>
      <c r="D4129" s="15" t="s">
        <v>154</v>
      </c>
      <c r="E4129" s="40" t="str">
        <f>IF(ISERROR(VLOOKUP(B4129,Failures!$A$1:$A$4000,1,FALSE)),"Keep","Delete")</f>
        <v>Keep</v>
      </c>
      <c r="F4129" t="str">
        <f>IF(ISNUMBER(SEARCH("#",B4129)), LEFT(B4129,FIND("#",B4129)-1), B4129)</f>
        <v>Minigun</v>
      </c>
      <c r="G4129" s="26">
        <f>IF(ISNUMBER(SEARCH("#",B4129)),VALUE(MID(B4129,FIND("#",B4129)+1,1000)),1)</f>
        <v>1</v>
      </c>
      <c r="H4129" t="str">
        <f>IF(AND(regexMatch(B4129,".*#[0-9]*$"),ISNUMBER(SEARCH("#",B4129))),CONCATENATE(TRIM(F4129)," #",G4129),B4129)</f>
        <v>Minigun</v>
      </c>
    </row>
    <row r="4130" spans="1:8" x14ac:dyDescent="0.25">
      <c r="A4130" s="8" t="s">
        <v>2451</v>
      </c>
      <c r="B4130" s="8" t="s">
        <v>2452</v>
      </c>
      <c r="C4130" s="13" t="s">
        <v>5</v>
      </c>
      <c r="D4130" s="15" t="s">
        <v>154</v>
      </c>
      <c r="E4130" s="40" t="str">
        <f>IF(ISERROR(VLOOKUP(B4130,Failures!$A$1:$A$4000,1,FALSE)),"Keep","Delete")</f>
        <v>Keep</v>
      </c>
      <c r="F4130" t="str">
        <f>IF(ISNUMBER(SEARCH("#",B4130)), LEFT(B4130,FIND("#",B4130)-1), B4130)</f>
        <v>Pistol Holster</v>
      </c>
      <c r="G4130" s="26">
        <f>IF(ISNUMBER(SEARCH("#",B4130)),VALUE(MID(B4130,FIND("#",B4130)+1,1000)),1)</f>
        <v>1</v>
      </c>
      <c r="H4130" t="str">
        <f>IF(AND(regexMatch(B4130,".*#[0-9]*$"),ISNUMBER(SEARCH("#",B4130))),CONCATENATE(TRIM(F4130)," #",G4130),B4130)</f>
        <v>Pistol Holster</v>
      </c>
    </row>
    <row r="4131" spans="1:8" x14ac:dyDescent="0.25">
      <c r="A4131" s="8" t="s">
        <v>2607</v>
      </c>
      <c r="B4131" s="8" t="s">
        <v>2608</v>
      </c>
      <c r="C4131" s="13" t="s">
        <v>5</v>
      </c>
      <c r="D4131" s="15" t="s">
        <v>154</v>
      </c>
      <c r="E4131" s="40" t="str">
        <f>IF(ISERROR(VLOOKUP(B4131,Failures!$A$1:$A$4000,1,FALSE)),"Keep","Delete")</f>
        <v>Keep</v>
      </c>
      <c r="F4131" t="str">
        <f>IF(ISNUMBER(SEARCH("#",B4131)), LEFT(B4131,FIND("#",B4131)-1), B4131)</f>
        <v>Prototype Minibomb</v>
      </c>
      <c r="G4131" s="26">
        <f>IF(ISNUMBER(SEARCH("#",B4131)),VALUE(MID(B4131,FIND("#",B4131)+1,1000)),1)</f>
        <v>1</v>
      </c>
      <c r="H4131" t="str">
        <f>IF(AND(regexMatch(B4131,".*#[0-9]*$"),ISNUMBER(SEARCH("#",B4131))),CONCATENATE(TRIM(F4131)," #",G4131),B4131)</f>
        <v>Prototype Minibomb</v>
      </c>
    </row>
    <row r="4132" spans="1:8" x14ac:dyDescent="0.25">
      <c r="A4132" s="28" t="s">
        <v>7398</v>
      </c>
      <c r="B4132" s="25" t="s">
        <v>10615</v>
      </c>
      <c r="C4132" s="8"/>
      <c r="D4132" s="15" t="s">
        <v>154</v>
      </c>
      <c r="E4132" s="40" t="str">
        <f>IF(ISERROR(VLOOKUP(B4132,Failures!$A$1:$A$4000,1,FALSE)),"Keep","Delete")</f>
        <v>Keep</v>
      </c>
      <c r="F4132" t="str">
        <f>IF(ISNUMBER(SEARCH("#",B4132)), LEFT(B4132,FIND("#",B4132)-1), B4132)</f>
        <v>Remote Control Gun Folded</v>
      </c>
      <c r="G4132" s="26">
        <f>IF(ISNUMBER(SEARCH("#",B4132)),VALUE(MID(B4132,FIND("#",B4132)+1,1000)),1)</f>
        <v>1</v>
      </c>
      <c r="H4132" t="str">
        <f>IF(AND(regexMatch(B4132,".*#[0-9]*$"),ISNUMBER(SEARCH("#",B4132))),CONCATENATE(TRIM(F4132)," #",G4132),B4132)</f>
        <v>Remote Control Gun Folded</v>
      </c>
    </row>
    <row r="4133" spans="1:8" x14ac:dyDescent="0.25">
      <c r="A4133" s="28" t="s">
        <v>7397</v>
      </c>
      <c r="B4133" s="25" t="s">
        <v>10616</v>
      </c>
      <c r="C4133" s="8"/>
      <c r="D4133" s="15" t="s">
        <v>154</v>
      </c>
      <c r="E4133" s="40" t="str">
        <f>IF(ISERROR(VLOOKUP(B4133,Failures!$A$1:$A$4000,1,FALSE)),"Keep","Delete")</f>
        <v>Keep</v>
      </c>
      <c r="F4133" t="str">
        <f>IF(ISNUMBER(SEARCH("#",B4133)), LEFT(B4133,FIND("#",B4133)-1), B4133)</f>
        <v>Remote Control Gun Unfolded</v>
      </c>
      <c r="G4133" s="26">
        <f>IF(ISNUMBER(SEARCH("#",B4133)),VALUE(MID(B4133,FIND("#",B4133)+1,1000)),1)</f>
        <v>1</v>
      </c>
      <c r="H4133" t="str">
        <f>IF(AND(regexMatch(B4133,".*#[0-9]*$"),ISNUMBER(SEARCH("#",B4133))),CONCATENATE(TRIM(F4133)," #",G4133),B4133)</f>
        <v>Remote Control Gun Unfolded</v>
      </c>
    </row>
    <row r="4134" spans="1:8" x14ac:dyDescent="0.25">
      <c r="A4134" s="8" t="s">
        <v>2891</v>
      </c>
      <c r="B4134" s="8" t="s">
        <v>3891</v>
      </c>
      <c r="C4134" s="12" t="s">
        <v>145</v>
      </c>
      <c r="D4134" s="15" t="s">
        <v>154</v>
      </c>
      <c r="E4134" s="40" t="str">
        <f>IF(ISERROR(VLOOKUP(B4134,Failures!$A$1:$A$4000,1,FALSE)),"Keep","Delete")</f>
        <v>Keep</v>
      </c>
      <c r="F4134" t="str">
        <f>IF(ISNUMBER(SEARCH("#",B4134)), LEFT(B4134,FIND("#",B4134)-1), B4134)</f>
        <v>SMG Holster</v>
      </c>
      <c r="G4134" s="26">
        <f>IF(ISNUMBER(SEARCH("#",B4134)),VALUE(MID(B4134,FIND("#",B4134)+1,1000)),1)</f>
        <v>1</v>
      </c>
      <c r="H4134" t="str">
        <f>IF(AND(regexMatch(B4134,".*#[0-9]*$"),ISNUMBER(SEARCH("#",B4134))),CONCATENATE(TRIM(F4134)," #",G4134),B4134)</f>
        <v>SMG Holster</v>
      </c>
    </row>
    <row r="4135" spans="1:8" x14ac:dyDescent="0.25">
      <c r="A4135" s="28" t="s">
        <v>9107</v>
      </c>
      <c r="B4135" s="25" t="s">
        <v>10563</v>
      </c>
      <c r="C4135" s="8"/>
      <c r="D4135" s="15" t="s">
        <v>154</v>
      </c>
      <c r="E4135" s="40" t="str">
        <f>IF(ISERROR(VLOOKUP(B4135,Failures!$A$1:$A$4000,1,FALSE)),"Keep","Delete")</f>
        <v>Keep</v>
      </c>
      <c r="F4135" t="str">
        <f>IF(ISNUMBER(SEARCH("#",B4135)), LEFT(B4135,FIND("#",B4135)-1), B4135)</f>
        <v>Sniper Rifle Case</v>
      </c>
      <c r="G4135" s="26">
        <f>IF(ISNUMBER(SEARCH("#",B4135)),VALUE(MID(B4135,FIND("#",B4135)+1,1000)),1)</f>
        <v>1</v>
      </c>
      <c r="H4135" t="str">
        <f>IF(AND(regexMatch(B4135,".*#[0-9]*$"),ISNUMBER(SEARCH("#",B4135))),CONCATENATE(TRIM(F4135)," #",G4135),B4135)</f>
        <v>Sniper Rifle Case</v>
      </c>
    </row>
    <row r="4136" spans="1:8" x14ac:dyDescent="0.25">
      <c r="A4136" s="8" t="s">
        <v>2912</v>
      </c>
      <c r="B4136" s="8" t="s">
        <v>2913</v>
      </c>
      <c r="C4136" s="13" t="s">
        <v>5</v>
      </c>
      <c r="D4136" s="15" t="s">
        <v>154</v>
      </c>
      <c r="E4136" s="40" t="str">
        <f>IF(ISERROR(VLOOKUP(B4136,Failures!$A$1:$A$4000,1,FALSE)),"Keep","Delete")</f>
        <v>Keep</v>
      </c>
      <c r="F4136" t="str">
        <f>IF(ISNUMBER(SEARCH("#",B4136)), LEFT(B4136,FIND("#",B4136)-1), B4136)</f>
        <v>Space Pistol</v>
      </c>
      <c r="G4136" s="26">
        <f>IF(ISNUMBER(SEARCH("#",B4136)),VALUE(MID(B4136,FIND("#",B4136)+1,1000)),1)</f>
        <v>1</v>
      </c>
      <c r="H4136" t="str">
        <f>IF(AND(regexMatch(B4136,".*#[0-9]*$"),ISNUMBER(SEARCH("#",B4136))),CONCATENATE(TRIM(F4136)," #",G4136),B4136)</f>
        <v>Space Pistol</v>
      </c>
    </row>
    <row r="4137" spans="1:8" x14ac:dyDescent="0.25">
      <c r="A4137" s="8" t="s">
        <v>2914</v>
      </c>
      <c r="B4137" s="8" t="s">
        <v>2915</v>
      </c>
      <c r="C4137" s="13" t="s">
        <v>5</v>
      </c>
      <c r="D4137" s="15" t="s">
        <v>154</v>
      </c>
      <c r="E4137" s="40" t="str">
        <f>IF(ISERROR(VLOOKUP(B4137,Failures!$A$1:$A$4000,1,FALSE)),"Keep","Delete")</f>
        <v>Keep</v>
      </c>
      <c r="F4137" t="str">
        <f>IF(ISNUMBER(SEARCH("#",B4137)), LEFT(B4137,FIND("#",B4137)-1), B4137)</f>
        <v>Space Rifle</v>
      </c>
      <c r="G4137" s="26">
        <f>IF(ISNUMBER(SEARCH("#",B4137)),VALUE(MID(B4137,FIND("#",B4137)+1,1000)),1)</f>
        <v>1</v>
      </c>
      <c r="H4137" t="str">
        <f>IF(AND(regexMatch(B4137,".*#[0-9]*$"),ISNUMBER(SEARCH("#",B4137))),CONCATENATE(TRIM(F4137)," #",G4137),B4137)</f>
        <v>Space Rifle</v>
      </c>
    </row>
  </sheetData>
  <sortState ref="A1:H4137">
    <sortCondition ref="D1"/>
  </sortState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390525</xdr:colOff>
                    <xdr:row>0</xdr:row>
                    <xdr:rowOff>161925</xdr:rowOff>
                  </from>
                  <to>
                    <xdr:col>10</xdr:col>
                    <xdr:colOff>438150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3"/>
  <sheetViews>
    <sheetView topLeftCell="A58" workbookViewId="0">
      <selection sqref="A1:A71"/>
    </sheetView>
  </sheetViews>
  <sheetFormatPr defaultRowHeight="15" x14ac:dyDescent="0.25"/>
  <cols>
    <col min="1" max="1" width="36.7109375" customWidth="1"/>
  </cols>
  <sheetData>
    <row r="1" spans="1:1" ht="15.75" thickBot="1" x14ac:dyDescent="0.3">
      <c r="A1" s="2" t="s">
        <v>601</v>
      </c>
    </row>
    <row r="2" spans="1:1" x14ac:dyDescent="0.25">
      <c r="A2" s="15" t="s">
        <v>51</v>
      </c>
    </row>
    <row r="3" spans="1:1" x14ac:dyDescent="0.25">
      <c r="A3" s="15" t="s">
        <v>121</v>
      </c>
    </row>
    <row r="4" spans="1:1" x14ac:dyDescent="0.25">
      <c r="A4" s="15" t="s">
        <v>168</v>
      </c>
    </row>
    <row r="5" spans="1:1" x14ac:dyDescent="0.25">
      <c r="A5" s="15" t="s">
        <v>722</v>
      </c>
    </row>
    <row r="6" spans="1:1" x14ac:dyDescent="0.25">
      <c r="A6" s="15" t="s">
        <v>260</v>
      </c>
    </row>
    <row r="7" spans="1:1" x14ac:dyDescent="0.25">
      <c r="A7" s="15" t="s">
        <v>352</v>
      </c>
    </row>
    <row r="8" spans="1:1" x14ac:dyDescent="0.25">
      <c r="A8" s="15" t="s">
        <v>138</v>
      </c>
    </row>
    <row r="9" spans="1:1" x14ac:dyDescent="0.25">
      <c r="A9" s="15" t="s">
        <v>43</v>
      </c>
    </row>
    <row r="10" spans="1:1" x14ac:dyDescent="0.25">
      <c r="A10" s="5" t="s">
        <v>10500</v>
      </c>
    </row>
    <row r="11" spans="1:1" x14ac:dyDescent="0.25">
      <c r="A11" s="15" t="s">
        <v>248</v>
      </c>
    </row>
    <row r="12" spans="1:1" x14ac:dyDescent="0.25">
      <c r="A12" s="15" t="s">
        <v>665</v>
      </c>
    </row>
    <row r="13" spans="1:1" x14ac:dyDescent="0.25">
      <c r="A13" s="15" t="s">
        <v>346</v>
      </c>
    </row>
    <row r="14" spans="1:1" x14ac:dyDescent="0.25">
      <c r="A14" s="15" t="s">
        <v>179</v>
      </c>
    </row>
    <row r="15" spans="1:1" x14ac:dyDescent="0.25">
      <c r="A15" s="15" t="s">
        <v>989</v>
      </c>
    </row>
    <row r="16" spans="1:1" x14ac:dyDescent="0.25">
      <c r="A16" s="15" t="s">
        <v>236</v>
      </c>
    </row>
    <row r="17" spans="1:1" x14ac:dyDescent="0.25">
      <c r="A17" s="43" t="s">
        <v>11298</v>
      </c>
    </row>
    <row r="18" spans="1:1" x14ac:dyDescent="0.25">
      <c r="A18" s="34" t="s">
        <v>11284</v>
      </c>
    </row>
    <row r="19" spans="1:1" x14ac:dyDescent="0.25">
      <c r="A19" s="34" t="s">
        <v>11170</v>
      </c>
    </row>
    <row r="20" spans="1:1" x14ac:dyDescent="0.25">
      <c r="A20" s="34" t="s">
        <v>11300</v>
      </c>
    </row>
    <row r="21" spans="1:1" x14ac:dyDescent="0.25">
      <c r="A21" s="34" t="s">
        <v>11544</v>
      </c>
    </row>
    <row r="22" spans="1:1" x14ac:dyDescent="0.25">
      <c r="A22" s="34" t="s">
        <v>11244</v>
      </c>
    </row>
    <row r="23" spans="1:1" x14ac:dyDescent="0.25">
      <c r="A23" s="34" t="s">
        <v>11212</v>
      </c>
    </row>
    <row r="24" spans="1:1" x14ac:dyDescent="0.25">
      <c r="A24" s="15" t="s">
        <v>9</v>
      </c>
    </row>
    <row r="25" spans="1:1" x14ac:dyDescent="0.25">
      <c r="A25" s="15" t="s">
        <v>113</v>
      </c>
    </row>
    <row r="26" spans="1:1" x14ac:dyDescent="0.25">
      <c r="A26" s="15" t="s">
        <v>436</v>
      </c>
    </row>
    <row r="27" spans="1:1" x14ac:dyDescent="0.25">
      <c r="A27" s="15" t="s">
        <v>544</v>
      </c>
    </row>
    <row r="28" spans="1:1" x14ac:dyDescent="0.25">
      <c r="A28" s="5" t="s">
        <v>1456</v>
      </c>
    </row>
    <row r="29" spans="1:1" x14ac:dyDescent="0.25">
      <c r="A29" s="15" t="s">
        <v>715</v>
      </c>
    </row>
    <row r="30" spans="1:1" x14ac:dyDescent="0.25">
      <c r="A30" s="15" t="s">
        <v>2634</v>
      </c>
    </row>
    <row r="31" spans="1:1" x14ac:dyDescent="0.25">
      <c r="A31" s="15" t="s">
        <v>1465</v>
      </c>
    </row>
    <row r="32" spans="1:1" x14ac:dyDescent="0.25">
      <c r="A32" s="15" t="s">
        <v>494</v>
      </c>
    </row>
    <row r="33" spans="1:1" x14ac:dyDescent="0.25">
      <c r="A33" s="15" t="s">
        <v>592</v>
      </c>
    </row>
    <row r="34" spans="1:1" x14ac:dyDescent="0.25">
      <c r="A34" s="15" t="s">
        <v>255</v>
      </c>
    </row>
    <row r="35" spans="1:1" x14ac:dyDescent="0.25">
      <c r="A35" s="15" t="s">
        <v>146</v>
      </c>
    </row>
    <row r="36" spans="1:1" x14ac:dyDescent="0.25">
      <c r="A36" s="15" t="s">
        <v>10388</v>
      </c>
    </row>
    <row r="37" spans="1:1" x14ac:dyDescent="0.25">
      <c r="A37" s="15" t="s">
        <v>1576</v>
      </c>
    </row>
    <row r="38" spans="1:1" x14ac:dyDescent="0.25">
      <c r="A38" s="15" t="s">
        <v>10499</v>
      </c>
    </row>
    <row r="39" spans="1:1" x14ac:dyDescent="0.25">
      <c r="A39" s="15" t="s">
        <v>1060</v>
      </c>
    </row>
    <row r="40" spans="1:1" x14ac:dyDescent="0.25">
      <c r="A40" s="15" t="s">
        <v>376</v>
      </c>
    </row>
    <row r="41" spans="1:1" x14ac:dyDescent="0.25">
      <c r="A41" s="15" t="s">
        <v>245</v>
      </c>
    </row>
    <row r="42" spans="1:1" x14ac:dyDescent="0.25">
      <c r="A42" s="15" t="s">
        <v>368</v>
      </c>
    </row>
    <row r="43" spans="1:1" x14ac:dyDescent="0.25">
      <c r="A43" s="15" t="s">
        <v>1740</v>
      </c>
    </row>
    <row r="44" spans="1:1" x14ac:dyDescent="0.25">
      <c r="A44" s="15" t="s">
        <v>956</v>
      </c>
    </row>
    <row r="45" spans="1:1" x14ac:dyDescent="0.25">
      <c r="A45" s="15" t="s">
        <v>633</v>
      </c>
    </row>
    <row r="46" spans="1:1" x14ac:dyDescent="0.25">
      <c r="A46" s="15" t="s">
        <v>27</v>
      </c>
    </row>
    <row r="47" spans="1:1" x14ac:dyDescent="0.25">
      <c r="A47" s="15" t="s">
        <v>385</v>
      </c>
    </row>
    <row r="48" spans="1:1" x14ac:dyDescent="0.25">
      <c r="A48" s="15" t="s">
        <v>1873</v>
      </c>
    </row>
    <row r="49" spans="1:1" x14ac:dyDescent="0.25">
      <c r="A49" s="15" t="s">
        <v>165</v>
      </c>
    </row>
    <row r="50" spans="1:1" x14ac:dyDescent="0.25">
      <c r="A50" s="15" t="s">
        <v>124</v>
      </c>
    </row>
    <row r="51" spans="1:1" x14ac:dyDescent="0.25">
      <c r="A51" s="15" t="s">
        <v>130</v>
      </c>
    </row>
    <row r="52" spans="1:1" x14ac:dyDescent="0.25">
      <c r="A52" s="15" t="s">
        <v>107</v>
      </c>
    </row>
    <row r="53" spans="1:1" x14ac:dyDescent="0.25">
      <c r="A53" s="15" t="s">
        <v>182</v>
      </c>
    </row>
    <row r="54" spans="1:1" x14ac:dyDescent="0.25">
      <c r="A54" s="15" t="s">
        <v>1129</v>
      </c>
    </row>
    <row r="55" spans="1:1" x14ac:dyDescent="0.25">
      <c r="A55" s="15" t="s">
        <v>12</v>
      </c>
    </row>
    <row r="56" spans="1:1" x14ac:dyDescent="0.25">
      <c r="A56" s="15" t="s">
        <v>117</v>
      </c>
    </row>
    <row r="57" spans="1:1" x14ac:dyDescent="0.25">
      <c r="A57" s="15" t="s">
        <v>187</v>
      </c>
    </row>
    <row r="58" spans="1:1" x14ac:dyDescent="0.25">
      <c r="A58" s="15" t="s">
        <v>3949</v>
      </c>
    </row>
    <row r="59" spans="1:1" x14ac:dyDescent="0.25">
      <c r="A59" s="15" t="s">
        <v>1969</v>
      </c>
    </row>
    <row r="60" spans="1:1" x14ac:dyDescent="0.25">
      <c r="A60" s="15" t="s">
        <v>1778</v>
      </c>
    </row>
    <row r="61" spans="1:1" x14ac:dyDescent="0.25">
      <c r="A61" s="15" t="s">
        <v>751</v>
      </c>
    </row>
    <row r="62" spans="1:1" x14ac:dyDescent="0.25">
      <c r="A62" s="15" t="s">
        <v>371</v>
      </c>
    </row>
    <row r="63" spans="1:1" x14ac:dyDescent="0.25">
      <c r="A63" s="15" t="s">
        <v>3950</v>
      </c>
    </row>
    <row r="64" spans="1:1" x14ac:dyDescent="0.25">
      <c r="A64" s="5" t="s">
        <v>32</v>
      </c>
    </row>
    <row r="65" spans="1:1" x14ac:dyDescent="0.25">
      <c r="A65" s="15" t="s">
        <v>6</v>
      </c>
    </row>
    <row r="66" spans="1:1" x14ac:dyDescent="0.25">
      <c r="A66" s="15" t="s">
        <v>304</v>
      </c>
    </row>
    <row r="67" spans="1:1" x14ac:dyDescent="0.25">
      <c r="A67" s="15" t="s">
        <v>149</v>
      </c>
    </row>
    <row r="68" spans="1:1" x14ac:dyDescent="0.25">
      <c r="A68" s="15" t="s">
        <v>434</v>
      </c>
    </row>
    <row r="69" spans="1:1" x14ac:dyDescent="0.25">
      <c r="A69" s="15" t="s">
        <v>1149</v>
      </c>
    </row>
    <row r="70" spans="1:1" x14ac:dyDescent="0.25">
      <c r="A70" s="15" t="s">
        <v>127</v>
      </c>
    </row>
    <row r="71" spans="1:1" x14ac:dyDescent="0.25">
      <c r="A71" s="15" t="s">
        <v>154</v>
      </c>
    </row>
    <row r="72" spans="1:1" x14ac:dyDescent="0.25">
      <c r="A72" s="13" t="s">
        <v>9746</v>
      </c>
    </row>
    <row r="73" spans="1:1" x14ac:dyDescent="0.25">
      <c r="A73" s="35"/>
    </row>
  </sheetData>
  <sortState ref="A2:A73">
    <sortCondition ref="A4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workbookViewId="0">
      <selection activeCell="A2642" sqref="A2642"/>
    </sheetView>
  </sheetViews>
  <sheetFormatPr defaultRowHeight="15" x14ac:dyDescent="0.25"/>
  <cols>
    <col min="1" max="1" width="41.7109375" customWidth="1"/>
    <col min="10" max="10" width="36.7109375" customWidth="1"/>
  </cols>
  <sheetData>
    <row r="2" spans="1:2" x14ac:dyDescent="0.25">
      <c r="A2" t="s">
        <v>10469</v>
      </c>
      <c r="B2" t="e">
        <f>INDEX(List1, MATCH(0, COUNTIF(A1:$A$1, List1)+IF(COUNTIF(List1, List1)&gt;1, 0, 1), 0))</f>
        <v>#NAME?</v>
      </c>
    </row>
    <row r="3" spans="1:2" x14ac:dyDescent="0.25">
      <c r="A3" t="s">
        <v>3555</v>
      </c>
    </row>
    <row r="4" spans="1:2" x14ac:dyDescent="0.25">
      <c r="A4" t="s">
        <v>3681</v>
      </c>
    </row>
    <row r="5" spans="1:2" x14ac:dyDescent="0.25">
      <c r="A5" t="s">
        <v>3682</v>
      </c>
    </row>
    <row r="6" spans="1:2" x14ac:dyDescent="0.25">
      <c r="A6" t="s">
        <v>2831</v>
      </c>
    </row>
    <row r="7" spans="1:2" x14ac:dyDescent="0.25">
      <c r="A7" t="s">
        <v>2905</v>
      </c>
    </row>
    <row r="8" spans="1:2" x14ac:dyDescent="0.25">
      <c r="A8" t="s">
        <v>4031</v>
      </c>
    </row>
    <row r="9" spans="1:2" x14ac:dyDescent="0.25">
      <c r="A9" t="s">
        <v>1396</v>
      </c>
    </row>
    <row r="10" spans="1:2" x14ac:dyDescent="0.25">
      <c r="A10" t="s">
        <v>1398</v>
      </c>
    </row>
    <row r="11" spans="1:2" x14ac:dyDescent="0.25">
      <c r="A11" t="s">
        <v>4657</v>
      </c>
    </row>
    <row r="12" spans="1:2" x14ac:dyDescent="0.25">
      <c r="A12" t="s">
        <v>933</v>
      </c>
    </row>
    <row r="13" spans="1:2" x14ac:dyDescent="0.25">
      <c r="A13" t="s">
        <v>3752</v>
      </c>
    </row>
    <row r="14" spans="1:2" x14ac:dyDescent="0.25">
      <c r="A14" t="s">
        <v>1631</v>
      </c>
    </row>
    <row r="15" spans="1:2" x14ac:dyDescent="0.25">
      <c r="A15" t="s">
        <v>1633</v>
      </c>
    </row>
    <row r="16" spans="1:2" x14ac:dyDescent="0.25">
      <c r="A16" t="s">
        <v>4569</v>
      </c>
    </row>
    <row r="17" spans="1:1" x14ac:dyDescent="0.25">
      <c r="A17" t="s">
        <v>4570</v>
      </c>
    </row>
    <row r="18" spans="1:1" x14ac:dyDescent="0.25">
      <c r="A18" t="s">
        <v>1629</v>
      </c>
    </row>
    <row r="19" spans="1:1" x14ac:dyDescent="0.25">
      <c r="A19" t="s">
        <v>2042</v>
      </c>
    </row>
    <row r="20" spans="1:1" x14ac:dyDescent="0.25">
      <c r="A20" t="s">
        <v>2044</v>
      </c>
    </row>
    <row r="21" spans="1:1" x14ac:dyDescent="0.25">
      <c r="A21" t="s">
        <v>2046</v>
      </c>
    </row>
    <row r="22" spans="1:1" x14ac:dyDescent="0.25">
      <c r="A22" t="s">
        <v>4559</v>
      </c>
    </row>
    <row r="23" spans="1:1" x14ac:dyDescent="0.25">
      <c r="A23" t="s">
        <v>4559</v>
      </c>
    </row>
    <row r="24" spans="1:1" x14ac:dyDescent="0.25">
      <c r="A24" t="s">
        <v>4560</v>
      </c>
    </row>
    <row r="25" spans="1:1" x14ac:dyDescent="0.25">
      <c r="A25" t="s">
        <v>4560</v>
      </c>
    </row>
    <row r="26" spans="1:1" x14ac:dyDescent="0.25">
      <c r="A26" t="s">
        <v>2265</v>
      </c>
    </row>
    <row r="27" spans="1:1" x14ac:dyDescent="0.25">
      <c r="A27" t="s">
        <v>2267</v>
      </c>
    </row>
    <row r="28" spans="1:1" x14ac:dyDescent="0.25">
      <c r="A28" t="s">
        <v>4530</v>
      </c>
    </row>
    <row r="29" spans="1:1" x14ac:dyDescent="0.25">
      <c r="A29" t="s">
        <v>4531</v>
      </c>
    </row>
    <row r="30" spans="1:1" x14ac:dyDescent="0.25">
      <c r="A30" t="s">
        <v>10133</v>
      </c>
    </row>
    <row r="31" spans="1:1" x14ac:dyDescent="0.25">
      <c r="A31" t="s">
        <v>10134</v>
      </c>
    </row>
    <row r="32" spans="1:1" x14ac:dyDescent="0.25">
      <c r="A32" t="s">
        <v>6230</v>
      </c>
    </row>
    <row r="33" spans="1:1" x14ac:dyDescent="0.25">
      <c r="A33" t="s">
        <v>10470</v>
      </c>
    </row>
    <row r="34" spans="1:1" x14ac:dyDescent="0.25">
      <c r="A34" t="s">
        <v>2683</v>
      </c>
    </row>
    <row r="35" spans="1:1" x14ac:dyDescent="0.25">
      <c r="A35" t="s">
        <v>2685</v>
      </c>
    </row>
    <row r="36" spans="1:1" x14ac:dyDescent="0.25">
      <c r="A36" t="s">
        <v>10492</v>
      </c>
    </row>
    <row r="37" spans="1:1" x14ac:dyDescent="0.25">
      <c r="A37" t="s">
        <v>10065</v>
      </c>
    </row>
    <row r="38" spans="1:1" x14ac:dyDescent="0.25">
      <c r="A38" t="s">
        <v>84</v>
      </c>
    </row>
    <row r="39" spans="1:1" x14ac:dyDescent="0.25">
      <c r="A39" t="s">
        <v>9766</v>
      </c>
    </row>
    <row r="40" spans="1:1" x14ac:dyDescent="0.25">
      <c r="A40" t="s">
        <v>10738</v>
      </c>
    </row>
    <row r="41" spans="1:1" x14ac:dyDescent="0.25">
      <c r="A41" t="s">
        <v>10739</v>
      </c>
    </row>
    <row r="42" spans="1:1" x14ac:dyDescent="0.25">
      <c r="A42" t="s">
        <v>10740</v>
      </c>
    </row>
    <row r="43" spans="1:1" x14ac:dyDescent="0.25">
      <c r="A43" t="s">
        <v>9764</v>
      </c>
    </row>
    <row r="44" spans="1:1" x14ac:dyDescent="0.25">
      <c r="A44" t="s">
        <v>9773</v>
      </c>
    </row>
    <row r="45" spans="1:1" x14ac:dyDescent="0.25">
      <c r="A45" t="s">
        <v>10551</v>
      </c>
    </row>
    <row r="46" spans="1:1" x14ac:dyDescent="0.25">
      <c r="A46" t="s">
        <v>10716</v>
      </c>
    </row>
    <row r="47" spans="1:1" x14ac:dyDescent="0.25">
      <c r="A47" t="s">
        <v>3507</v>
      </c>
    </row>
    <row r="48" spans="1:1" x14ac:dyDescent="0.25">
      <c r="A48" t="s">
        <v>4652</v>
      </c>
    </row>
    <row r="49" spans="1:1" x14ac:dyDescent="0.25">
      <c r="A49" t="s">
        <v>4651</v>
      </c>
    </row>
    <row r="50" spans="1:1" x14ac:dyDescent="0.25">
      <c r="A50" t="s">
        <v>55</v>
      </c>
    </row>
    <row r="51" spans="1:1" x14ac:dyDescent="0.25">
      <c r="A51" t="s">
        <v>57</v>
      </c>
    </row>
    <row r="52" spans="1:1" x14ac:dyDescent="0.25">
      <c r="A52" t="s">
        <v>3565</v>
      </c>
    </row>
    <row r="53" spans="1:1" x14ac:dyDescent="0.25">
      <c r="A53" t="s">
        <v>3566</v>
      </c>
    </row>
    <row r="54" spans="1:1" x14ac:dyDescent="0.25">
      <c r="A54" t="s">
        <v>3567</v>
      </c>
    </row>
    <row r="55" spans="1:1" x14ac:dyDescent="0.25">
      <c r="A55" t="s">
        <v>3568</v>
      </c>
    </row>
    <row r="56" spans="1:1" x14ac:dyDescent="0.25">
      <c r="A56" t="s">
        <v>3569</v>
      </c>
    </row>
    <row r="57" spans="1:1" x14ac:dyDescent="0.25">
      <c r="A57" t="s">
        <v>3570</v>
      </c>
    </row>
    <row r="58" spans="1:1" x14ac:dyDescent="0.25">
      <c r="A58" t="s">
        <v>3571</v>
      </c>
    </row>
    <row r="59" spans="1:1" x14ac:dyDescent="0.25">
      <c r="A59" t="s">
        <v>3572</v>
      </c>
    </row>
    <row r="60" spans="1:1" x14ac:dyDescent="0.25">
      <c r="A60" t="s">
        <v>67</v>
      </c>
    </row>
    <row r="61" spans="1:1" x14ac:dyDescent="0.25">
      <c r="A61" t="s">
        <v>3573</v>
      </c>
    </row>
    <row r="62" spans="1:1" x14ac:dyDescent="0.25">
      <c r="A62" t="s">
        <v>69</v>
      </c>
    </row>
    <row r="63" spans="1:1" x14ac:dyDescent="0.25">
      <c r="A63" t="s">
        <v>9765</v>
      </c>
    </row>
    <row r="64" spans="1:1" x14ac:dyDescent="0.25">
      <c r="A64" t="s">
        <v>9769</v>
      </c>
    </row>
    <row r="65" spans="1:1" x14ac:dyDescent="0.25">
      <c r="A65" t="s">
        <v>9770</v>
      </c>
    </row>
    <row r="66" spans="1:1" x14ac:dyDescent="0.25">
      <c r="A66" t="s">
        <v>9771</v>
      </c>
    </row>
    <row r="67" spans="1:1" x14ac:dyDescent="0.25">
      <c r="A67" t="s">
        <v>72</v>
      </c>
    </row>
    <row r="68" spans="1:1" x14ac:dyDescent="0.25">
      <c r="A68" t="s">
        <v>74</v>
      </c>
    </row>
    <row r="69" spans="1:1" x14ac:dyDescent="0.25">
      <c r="A69" t="s">
        <v>76</v>
      </c>
    </row>
    <row r="70" spans="1:1" x14ac:dyDescent="0.25">
      <c r="A70" t="s">
        <v>78</v>
      </c>
    </row>
    <row r="71" spans="1:1" x14ac:dyDescent="0.25">
      <c r="A71" t="s">
        <v>82</v>
      </c>
    </row>
    <row r="72" spans="1:1" x14ac:dyDescent="0.25">
      <c r="A72" t="s">
        <v>4650</v>
      </c>
    </row>
    <row r="73" spans="1:1" x14ac:dyDescent="0.25">
      <c r="A73" t="s">
        <v>53</v>
      </c>
    </row>
    <row r="74" spans="1:1" x14ac:dyDescent="0.25">
      <c r="A74" t="s">
        <v>80</v>
      </c>
    </row>
    <row r="75" spans="1:1" x14ac:dyDescent="0.25">
      <c r="A75" t="s">
        <v>86</v>
      </c>
    </row>
    <row r="76" spans="1:1" x14ac:dyDescent="0.25">
      <c r="A76" t="s">
        <v>88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94</v>
      </c>
    </row>
    <row r="80" spans="1:1" x14ac:dyDescent="0.25">
      <c r="A80" t="s">
        <v>4647</v>
      </c>
    </row>
    <row r="81" spans="1:1" x14ac:dyDescent="0.25">
      <c r="A81" t="s">
        <v>4648</v>
      </c>
    </row>
    <row r="82" spans="1:1" x14ac:dyDescent="0.25">
      <c r="A82" t="s">
        <v>4670</v>
      </c>
    </row>
    <row r="83" spans="1:1" x14ac:dyDescent="0.25">
      <c r="A83" t="s">
        <v>9767</v>
      </c>
    </row>
    <row r="84" spans="1:1" x14ac:dyDescent="0.25">
      <c r="A84" t="s">
        <v>9768</v>
      </c>
    </row>
    <row r="85" spans="1:1" x14ac:dyDescent="0.25">
      <c r="A85" t="s">
        <v>96</v>
      </c>
    </row>
    <row r="86" spans="1:1" x14ac:dyDescent="0.25">
      <c r="A86" t="s">
        <v>98</v>
      </c>
    </row>
    <row r="87" spans="1:1" x14ac:dyDescent="0.25">
      <c r="A87" t="s">
        <v>100</v>
      </c>
    </row>
    <row r="88" spans="1:1" x14ac:dyDescent="0.25">
      <c r="A88" t="s">
        <v>102</v>
      </c>
    </row>
    <row r="89" spans="1:1" x14ac:dyDescent="0.25">
      <c r="A89" t="s">
        <v>9772</v>
      </c>
    </row>
    <row r="90" spans="1:1" x14ac:dyDescent="0.25">
      <c r="A90" t="s">
        <v>10741</v>
      </c>
    </row>
    <row r="91" spans="1:1" x14ac:dyDescent="0.25">
      <c r="A91" t="s">
        <v>10742</v>
      </c>
    </row>
    <row r="92" spans="1:1" x14ac:dyDescent="0.25">
      <c r="A92" t="s">
        <v>10743</v>
      </c>
    </row>
    <row r="93" spans="1:1" x14ac:dyDescent="0.25">
      <c r="A93" t="s">
        <v>10744</v>
      </c>
    </row>
    <row r="94" spans="1:1" x14ac:dyDescent="0.25">
      <c r="A94" t="s">
        <v>10745</v>
      </c>
    </row>
    <row r="95" spans="1:1" x14ac:dyDescent="0.25">
      <c r="A95" t="s">
        <v>10746</v>
      </c>
    </row>
    <row r="96" spans="1:1" x14ac:dyDescent="0.25">
      <c r="A96" t="s">
        <v>594</v>
      </c>
    </row>
    <row r="97" spans="1:1" x14ac:dyDescent="0.25">
      <c r="A97" t="s">
        <v>10540</v>
      </c>
    </row>
    <row r="98" spans="1:1" x14ac:dyDescent="0.25">
      <c r="A98" t="s">
        <v>1429</v>
      </c>
    </row>
    <row r="99" spans="1:1" x14ac:dyDescent="0.25">
      <c r="A99" t="s">
        <v>1431</v>
      </c>
    </row>
    <row r="100" spans="1:1" x14ac:dyDescent="0.25">
      <c r="A100" t="s">
        <v>1775</v>
      </c>
    </row>
    <row r="101" spans="1:1" x14ac:dyDescent="0.25">
      <c r="A101" t="s">
        <v>3816</v>
      </c>
    </row>
    <row r="102" spans="1:1" x14ac:dyDescent="0.25">
      <c r="A102" t="s">
        <v>4649</v>
      </c>
    </row>
    <row r="103" spans="1:1" x14ac:dyDescent="0.25">
      <c r="A103" t="s">
        <v>2803</v>
      </c>
    </row>
    <row r="104" spans="1:1" x14ac:dyDescent="0.25">
      <c r="A104" t="s">
        <v>9774</v>
      </c>
    </row>
    <row r="105" spans="1:1" x14ac:dyDescent="0.25">
      <c r="A105" t="s">
        <v>3483</v>
      </c>
    </row>
    <row r="106" spans="1:1" x14ac:dyDescent="0.25">
      <c r="A106" t="s">
        <v>176</v>
      </c>
    </row>
    <row r="107" spans="1:1" x14ac:dyDescent="0.25">
      <c r="A107" t="s">
        <v>3581</v>
      </c>
    </row>
    <row r="108" spans="1:1" x14ac:dyDescent="0.25">
      <c r="A108" t="s">
        <v>4626</v>
      </c>
    </row>
    <row r="109" spans="1:1" x14ac:dyDescent="0.25">
      <c r="A109" t="s">
        <v>4627</v>
      </c>
    </row>
    <row r="110" spans="1:1" x14ac:dyDescent="0.25">
      <c r="A110" t="s">
        <v>343</v>
      </c>
    </row>
    <row r="111" spans="1:1" x14ac:dyDescent="0.25">
      <c r="A111" t="s">
        <v>3538</v>
      </c>
    </row>
    <row r="112" spans="1:1" x14ac:dyDescent="0.25">
      <c r="A112" t="s">
        <v>1885</v>
      </c>
    </row>
    <row r="113" spans="1:1" x14ac:dyDescent="0.25">
      <c r="A113" t="s">
        <v>4562</v>
      </c>
    </row>
    <row r="114" spans="1:1" x14ac:dyDescent="0.25">
      <c r="A114" t="s">
        <v>918</v>
      </c>
    </row>
    <row r="115" spans="1:1" x14ac:dyDescent="0.25">
      <c r="A115" t="s">
        <v>3660</v>
      </c>
    </row>
    <row r="116" spans="1:1" x14ac:dyDescent="0.25">
      <c r="A116" t="s">
        <v>1501</v>
      </c>
    </row>
    <row r="117" spans="1:1" x14ac:dyDescent="0.25">
      <c r="A117" t="s">
        <v>3704</v>
      </c>
    </row>
    <row r="118" spans="1:1" x14ac:dyDescent="0.25">
      <c r="A118" t="s">
        <v>3705</v>
      </c>
    </row>
    <row r="119" spans="1:1" x14ac:dyDescent="0.25">
      <c r="A119" t="s">
        <v>3706</v>
      </c>
    </row>
    <row r="120" spans="1:1" x14ac:dyDescent="0.25">
      <c r="A120" t="s">
        <v>120</v>
      </c>
    </row>
    <row r="121" spans="1:1" x14ac:dyDescent="0.25">
      <c r="A121" t="s">
        <v>1928</v>
      </c>
    </row>
    <row r="122" spans="1:1" x14ac:dyDescent="0.25">
      <c r="A122" t="s">
        <v>1930</v>
      </c>
    </row>
    <row r="123" spans="1:1" x14ac:dyDescent="0.25">
      <c r="A123" t="s">
        <v>1937</v>
      </c>
    </row>
    <row r="124" spans="1:1" x14ac:dyDescent="0.25">
      <c r="A124" t="s">
        <v>967</v>
      </c>
    </row>
    <row r="125" spans="1:1" x14ac:dyDescent="0.25">
      <c r="A125" t="s">
        <v>967</v>
      </c>
    </row>
    <row r="126" spans="1:1" x14ac:dyDescent="0.25">
      <c r="A126" t="s">
        <v>969</v>
      </c>
    </row>
    <row r="127" spans="1:1" x14ac:dyDescent="0.25">
      <c r="A127" t="s">
        <v>969</v>
      </c>
    </row>
    <row r="128" spans="1:1" x14ac:dyDescent="0.25">
      <c r="A128" t="s">
        <v>10577</v>
      </c>
    </row>
    <row r="129" spans="1:1" x14ac:dyDescent="0.25">
      <c r="A129" t="s">
        <v>10578</v>
      </c>
    </row>
    <row r="130" spans="1:1" x14ac:dyDescent="0.25">
      <c r="A130" t="s">
        <v>10579</v>
      </c>
    </row>
    <row r="131" spans="1:1" x14ac:dyDescent="0.25">
      <c r="A131" t="s">
        <v>10580</v>
      </c>
    </row>
    <row r="132" spans="1:1" x14ac:dyDescent="0.25">
      <c r="A132" t="s">
        <v>3719</v>
      </c>
    </row>
    <row r="133" spans="1:1" x14ac:dyDescent="0.25">
      <c r="A133" t="s">
        <v>1651</v>
      </c>
    </row>
    <row r="134" spans="1:1" x14ac:dyDescent="0.25">
      <c r="A134" t="s">
        <v>3759</v>
      </c>
    </row>
    <row r="135" spans="1:1" x14ac:dyDescent="0.25">
      <c r="A135" t="s">
        <v>3760</v>
      </c>
    </row>
    <row r="136" spans="1:1" x14ac:dyDescent="0.25">
      <c r="A136" t="s">
        <v>3761</v>
      </c>
    </row>
    <row r="137" spans="1:1" x14ac:dyDescent="0.25">
      <c r="A137" t="s">
        <v>3762</v>
      </c>
    </row>
    <row r="138" spans="1:1" x14ac:dyDescent="0.25">
      <c r="A138" t="s">
        <v>3763</v>
      </c>
    </row>
    <row r="139" spans="1:1" x14ac:dyDescent="0.25">
      <c r="A139" t="s">
        <v>3764</v>
      </c>
    </row>
    <row r="140" spans="1:1" x14ac:dyDescent="0.25">
      <c r="A140" t="s">
        <v>3765</v>
      </c>
    </row>
    <row r="141" spans="1:1" x14ac:dyDescent="0.25">
      <c r="A141" t="s">
        <v>3766</v>
      </c>
    </row>
    <row r="142" spans="1:1" x14ac:dyDescent="0.25">
      <c r="A142" t="s">
        <v>3767</v>
      </c>
    </row>
    <row r="143" spans="1:1" x14ac:dyDescent="0.25">
      <c r="A143" t="s">
        <v>2100</v>
      </c>
    </row>
    <row r="144" spans="1:1" x14ac:dyDescent="0.25">
      <c r="A144" t="s">
        <v>3769</v>
      </c>
    </row>
    <row r="145" spans="1:1" x14ac:dyDescent="0.25">
      <c r="A145" t="s">
        <v>2077</v>
      </c>
    </row>
    <row r="146" spans="1:1" x14ac:dyDescent="0.25">
      <c r="A146" t="s">
        <v>2077</v>
      </c>
    </row>
    <row r="147" spans="1:1" x14ac:dyDescent="0.25">
      <c r="A147" t="s">
        <v>2229</v>
      </c>
    </row>
    <row r="148" spans="1:1" x14ac:dyDescent="0.25">
      <c r="A148" t="s">
        <v>3804</v>
      </c>
    </row>
    <row r="149" spans="1:1" x14ac:dyDescent="0.25">
      <c r="A149" t="s">
        <v>2328</v>
      </c>
    </row>
    <row r="150" spans="1:1" x14ac:dyDescent="0.25">
      <c r="A150" t="s">
        <v>3807</v>
      </c>
    </row>
    <row r="151" spans="1:1" x14ac:dyDescent="0.25">
      <c r="A151" t="s">
        <v>2780</v>
      </c>
    </row>
    <row r="152" spans="1:1" x14ac:dyDescent="0.25">
      <c r="A152" t="s">
        <v>2782</v>
      </c>
    </row>
    <row r="153" spans="1:1" x14ac:dyDescent="0.25">
      <c r="A153" t="s">
        <v>3896</v>
      </c>
    </row>
    <row r="154" spans="1:1" x14ac:dyDescent="0.25">
      <c r="A154" t="s">
        <v>1995</v>
      </c>
    </row>
    <row r="155" spans="1:1" x14ac:dyDescent="0.25">
      <c r="A155" t="s">
        <v>1997</v>
      </c>
    </row>
    <row r="156" spans="1:1" x14ac:dyDescent="0.25">
      <c r="A156" t="s">
        <v>3014</v>
      </c>
    </row>
    <row r="157" spans="1:1" x14ac:dyDescent="0.25">
      <c r="A157" t="s">
        <v>3905</v>
      </c>
    </row>
    <row r="158" spans="1:1" x14ac:dyDescent="0.25">
      <c r="A158" t="s">
        <v>3906</v>
      </c>
    </row>
    <row r="159" spans="1:1" x14ac:dyDescent="0.25">
      <c r="A159" t="s">
        <v>3907</v>
      </c>
    </row>
    <row r="160" spans="1:1" x14ac:dyDescent="0.25">
      <c r="A160" t="s">
        <v>3908</v>
      </c>
    </row>
    <row r="161" spans="1:1" x14ac:dyDescent="0.25">
      <c r="A161" t="s">
        <v>3909</v>
      </c>
    </row>
    <row r="162" spans="1:1" x14ac:dyDescent="0.25">
      <c r="A162" t="s">
        <v>3910</v>
      </c>
    </row>
    <row r="163" spans="1:1" x14ac:dyDescent="0.25">
      <c r="A163" t="s">
        <v>3919</v>
      </c>
    </row>
    <row r="164" spans="1:1" x14ac:dyDescent="0.25">
      <c r="A164" t="s">
        <v>167</v>
      </c>
    </row>
    <row r="165" spans="1:1" x14ac:dyDescent="0.25">
      <c r="A165" t="s">
        <v>184</v>
      </c>
    </row>
    <row r="166" spans="1:1" x14ac:dyDescent="0.25">
      <c r="A166" t="s">
        <v>6104</v>
      </c>
    </row>
    <row r="167" spans="1:1" x14ac:dyDescent="0.25">
      <c r="A167" t="s">
        <v>193</v>
      </c>
    </row>
    <row r="168" spans="1:1" x14ac:dyDescent="0.25">
      <c r="A168" t="s">
        <v>195</v>
      </c>
    </row>
    <row r="169" spans="1:1" x14ac:dyDescent="0.25">
      <c r="A169" t="s">
        <v>9786</v>
      </c>
    </row>
    <row r="170" spans="1:1" x14ac:dyDescent="0.25">
      <c r="A170" t="s">
        <v>197</v>
      </c>
    </row>
    <row r="171" spans="1:1" x14ac:dyDescent="0.25">
      <c r="A171" t="s">
        <v>199</v>
      </c>
    </row>
    <row r="172" spans="1:1" x14ac:dyDescent="0.25">
      <c r="A172" t="s">
        <v>9874</v>
      </c>
    </row>
    <row r="173" spans="1:1" x14ac:dyDescent="0.25">
      <c r="A173" t="s">
        <v>9785</v>
      </c>
    </row>
    <row r="174" spans="1:1" x14ac:dyDescent="0.25">
      <c r="A174" t="s">
        <v>9794</v>
      </c>
    </row>
    <row r="175" spans="1:1" x14ac:dyDescent="0.25">
      <c r="A175" t="s">
        <v>6103</v>
      </c>
    </row>
    <row r="176" spans="1:1" x14ac:dyDescent="0.25">
      <c r="A176" t="s">
        <v>201</v>
      </c>
    </row>
    <row r="177" spans="1:1" x14ac:dyDescent="0.25">
      <c r="A177" t="s">
        <v>201</v>
      </c>
    </row>
    <row r="178" spans="1:1" x14ac:dyDescent="0.25">
      <c r="A178" t="s">
        <v>6100</v>
      </c>
    </row>
    <row r="179" spans="1:1" x14ac:dyDescent="0.25">
      <c r="A179" t="s">
        <v>9787</v>
      </c>
    </row>
    <row r="180" spans="1:1" x14ac:dyDescent="0.25">
      <c r="A180" t="s">
        <v>9788</v>
      </c>
    </row>
    <row r="181" spans="1:1" x14ac:dyDescent="0.25">
      <c r="A181" t="s">
        <v>10027</v>
      </c>
    </row>
    <row r="182" spans="1:1" x14ac:dyDescent="0.25">
      <c r="A182" t="s">
        <v>10028</v>
      </c>
    </row>
    <row r="183" spans="1:1" x14ac:dyDescent="0.25">
      <c r="A183" t="s">
        <v>10029</v>
      </c>
    </row>
    <row r="184" spans="1:1" x14ac:dyDescent="0.25">
      <c r="A184" t="s">
        <v>10030</v>
      </c>
    </row>
    <row r="185" spans="1:1" x14ac:dyDescent="0.25">
      <c r="A185" t="s">
        <v>10031</v>
      </c>
    </row>
    <row r="186" spans="1:1" x14ac:dyDescent="0.25">
      <c r="A186" t="s">
        <v>10032</v>
      </c>
    </row>
    <row r="187" spans="1:1" x14ac:dyDescent="0.25">
      <c r="A187" t="s">
        <v>10033</v>
      </c>
    </row>
    <row r="188" spans="1:1" x14ac:dyDescent="0.25">
      <c r="A188" t="s">
        <v>10034</v>
      </c>
    </row>
    <row r="189" spans="1:1" x14ac:dyDescent="0.25">
      <c r="A189" t="s">
        <v>10035</v>
      </c>
    </row>
    <row r="190" spans="1:1" x14ac:dyDescent="0.25">
      <c r="A190" t="s">
        <v>10036</v>
      </c>
    </row>
    <row r="191" spans="1:1" x14ac:dyDescent="0.25">
      <c r="A191" t="s">
        <v>9789</v>
      </c>
    </row>
    <row r="192" spans="1:1" x14ac:dyDescent="0.25">
      <c r="A192" t="s">
        <v>9892</v>
      </c>
    </row>
    <row r="193" spans="1:1" x14ac:dyDescent="0.25">
      <c r="A193" t="s">
        <v>9821</v>
      </c>
    </row>
    <row r="194" spans="1:1" x14ac:dyDescent="0.25">
      <c r="A194" t="s">
        <v>9873</v>
      </c>
    </row>
    <row r="195" spans="1:1" x14ac:dyDescent="0.25">
      <c r="A195" t="s">
        <v>10331</v>
      </c>
    </row>
    <row r="196" spans="1:1" x14ac:dyDescent="0.25">
      <c r="A196" t="s">
        <v>9790</v>
      </c>
    </row>
    <row r="197" spans="1:1" x14ac:dyDescent="0.25">
      <c r="A197" t="s">
        <v>3742</v>
      </c>
    </row>
    <row r="198" spans="1:1" x14ac:dyDescent="0.25">
      <c r="A198" t="s">
        <v>9791</v>
      </c>
    </row>
    <row r="199" spans="1:1" x14ac:dyDescent="0.25">
      <c r="A199" t="s">
        <v>9792</v>
      </c>
    </row>
    <row r="200" spans="1:1" x14ac:dyDescent="0.25">
      <c r="A200" t="s">
        <v>9793</v>
      </c>
    </row>
    <row r="201" spans="1:1" x14ac:dyDescent="0.25">
      <c r="A201" t="s">
        <v>10112</v>
      </c>
    </row>
    <row r="202" spans="1:1" x14ac:dyDescent="0.25">
      <c r="A202" t="s">
        <v>10113</v>
      </c>
    </row>
    <row r="203" spans="1:1" x14ac:dyDescent="0.25">
      <c r="A203" t="s">
        <v>10114</v>
      </c>
    </row>
    <row r="204" spans="1:1" x14ac:dyDescent="0.25">
      <c r="A204" t="s">
        <v>6097</v>
      </c>
    </row>
    <row r="205" spans="1:1" x14ac:dyDescent="0.25">
      <c r="A205" t="s">
        <v>6096</v>
      </c>
    </row>
    <row r="206" spans="1:1" x14ac:dyDescent="0.25">
      <c r="A206" t="s">
        <v>6095</v>
      </c>
    </row>
    <row r="207" spans="1:1" x14ac:dyDescent="0.25">
      <c r="A207" t="s">
        <v>6094</v>
      </c>
    </row>
    <row r="208" spans="1:1" x14ac:dyDescent="0.25">
      <c r="A208" t="s">
        <v>6093</v>
      </c>
    </row>
    <row r="209" spans="1:1" x14ac:dyDescent="0.25">
      <c r="A209" t="s">
        <v>9818</v>
      </c>
    </row>
    <row r="210" spans="1:1" x14ac:dyDescent="0.25">
      <c r="A210" t="s">
        <v>9819</v>
      </c>
    </row>
    <row r="211" spans="1:1" x14ac:dyDescent="0.25">
      <c r="A211" t="s">
        <v>6317</v>
      </c>
    </row>
    <row r="212" spans="1:1" x14ac:dyDescent="0.25">
      <c r="A212" t="s">
        <v>2990</v>
      </c>
    </row>
    <row r="213" spans="1:1" x14ac:dyDescent="0.25">
      <c r="A213" t="s">
        <v>3900</v>
      </c>
    </row>
    <row r="214" spans="1:1" x14ac:dyDescent="0.25">
      <c r="A214" t="s">
        <v>9795</v>
      </c>
    </row>
    <row r="215" spans="1:1" x14ac:dyDescent="0.25">
      <c r="A215" t="s">
        <v>6316</v>
      </c>
    </row>
    <row r="216" spans="1:1" x14ac:dyDescent="0.25">
      <c r="A216" t="s">
        <v>6088</v>
      </c>
    </row>
    <row r="217" spans="1:1" x14ac:dyDescent="0.25">
      <c r="A217" t="s">
        <v>10393</v>
      </c>
    </row>
    <row r="218" spans="1:1" x14ac:dyDescent="0.25">
      <c r="A218" t="s">
        <v>10361</v>
      </c>
    </row>
    <row r="219" spans="1:1" x14ac:dyDescent="0.25">
      <c r="A219" t="s">
        <v>10401</v>
      </c>
    </row>
    <row r="220" spans="1:1" x14ac:dyDescent="0.25">
      <c r="A220" t="s">
        <v>721</v>
      </c>
    </row>
    <row r="221" spans="1:1" x14ac:dyDescent="0.25">
      <c r="A221" t="s">
        <v>10543</v>
      </c>
    </row>
    <row r="222" spans="1:1" x14ac:dyDescent="0.25">
      <c r="A222" t="s">
        <v>1106</v>
      </c>
    </row>
    <row r="223" spans="1:1" x14ac:dyDescent="0.25">
      <c r="A223" t="s">
        <v>2000</v>
      </c>
    </row>
    <row r="224" spans="1:1" x14ac:dyDescent="0.25">
      <c r="A224" t="s">
        <v>1222</v>
      </c>
    </row>
    <row r="225" spans="1:1" x14ac:dyDescent="0.25">
      <c r="A225" t="s">
        <v>3673</v>
      </c>
    </row>
    <row r="226" spans="1:1" x14ac:dyDescent="0.25">
      <c r="A226" t="s">
        <v>1489</v>
      </c>
    </row>
    <row r="227" spans="1:1" x14ac:dyDescent="0.25">
      <c r="A227" t="s">
        <v>10362</v>
      </c>
    </row>
    <row r="228" spans="1:1" x14ac:dyDescent="0.25">
      <c r="A228" t="s">
        <v>10364</v>
      </c>
    </row>
    <row r="229" spans="1:1" x14ac:dyDescent="0.25">
      <c r="A229" t="s">
        <v>10402</v>
      </c>
    </row>
    <row r="230" spans="1:1" x14ac:dyDescent="0.25">
      <c r="A230" t="s">
        <v>10649</v>
      </c>
    </row>
    <row r="231" spans="1:1" x14ac:dyDescent="0.25">
      <c r="A231" t="s">
        <v>1024</v>
      </c>
    </row>
    <row r="232" spans="1:1" x14ac:dyDescent="0.25">
      <c r="A232" t="s">
        <v>10403</v>
      </c>
    </row>
    <row r="233" spans="1:1" x14ac:dyDescent="0.25">
      <c r="A233" t="s">
        <v>1056</v>
      </c>
    </row>
    <row r="234" spans="1:1" x14ac:dyDescent="0.25">
      <c r="A234" t="s">
        <v>1104</v>
      </c>
    </row>
    <row r="235" spans="1:1" x14ac:dyDescent="0.25">
      <c r="A235" t="s">
        <v>3167</v>
      </c>
    </row>
    <row r="236" spans="1:1" x14ac:dyDescent="0.25">
      <c r="A236" t="s">
        <v>3169</v>
      </c>
    </row>
    <row r="237" spans="1:1" x14ac:dyDescent="0.25">
      <c r="A237" t="s">
        <v>10363</v>
      </c>
    </row>
    <row r="238" spans="1:1" x14ac:dyDescent="0.25">
      <c r="A238" t="s">
        <v>2814</v>
      </c>
    </row>
    <row r="239" spans="1:1" x14ac:dyDescent="0.25">
      <c r="A239" t="s">
        <v>3235</v>
      </c>
    </row>
    <row r="240" spans="1:1" x14ac:dyDescent="0.25">
      <c r="A240" t="s">
        <v>4626</v>
      </c>
    </row>
    <row r="241" spans="1:1" x14ac:dyDescent="0.25">
      <c r="A241" t="s">
        <v>4627</v>
      </c>
    </row>
    <row r="242" spans="1:1" x14ac:dyDescent="0.25">
      <c r="A242" t="s">
        <v>4624</v>
      </c>
    </row>
    <row r="243" spans="1:1" x14ac:dyDescent="0.25">
      <c r="A243" t="s">
        <v>259</v>
      </c>
    </row>
    <row r="244" spans="1:1" x14ac:dyDescent="0.25">
      <c r="A244" t="s">
        <v>266</v>
      </c>
    </row>
    <row r="245" spans="1:1" x14ac:dyDescent="0.25">
      <c r="A245" t="s">
        <v>272</v>
      </c>
    </row>
    <row r="246" spans="1:1" x14ac:dyDescent="0.25">
      <c r="A246" t="s">
        <v>274</v>
      </c>
    </row>
    <row r="247" spans="1:1" x14ac:dyDescent="0.25">
      <c r="A247" t="s">
        <v>4623</v>
      </c>
    </row>
    <row r="248" spans="1:1" x14ac:dyDescent="0.25">
      <c r="A248" t="s">
        <v>10502</v>
      </c>
    </row>
    <row r="249" spans="1:1" x14ac:dyDescent="0.25">
      <c r="A249" t="s">
        <v>10501</v>
      </c>
    </row>
    <row r="250" spans="1:1" x14ac:dyDescent="0.25">
      <c r="A250" t="s">
        <v>276</v>
      </c>
    </row>
    <row r="251" spans="1:1" x14ac:dyDescent="0.25">
      <c r="A251" t="s">
        <v>6121</v>
      </c>
    </row>
    <row r="252" spans="1:1" x14ac:dyDescent="0.25">
      <c r="A252" t="s">
        <v>6120</v>
      </c>
    </row>
    <row r="253" spans="1:1" x14ac:dyDescent="0.25">
      <c r="A253" t="s">
        <v>6119</v>
      </c>
    </row>
    <row r="254" spans="1:1" x14ac:dyDescent="0.25">
      <c r="A254" t="s">
        <v>10503</v>
      </c>
    </row>
    <row r="255" spans="1:1" x14ac:dyDescent="0.25">
      <c r="A255" t="s">
        <v>6118</v>
      </c>
    </row>
    <row r="256" spans="1:1" x14ac:dyDescent="0.25">
      <c r="A256" t="s">
        <v>6117</v>
      </c>
    </row>
    <row r="257" spans="1:1" x14ac:dyDescent="0.25">
      <c r="A257" t="s">
        <v>6116</v>
      </c>
    </row>
    <row r="258" spans="1:1" x14ac:dyDescent="0.25">
      <c r="A258" t="s">
        <v>6115</v>
      </c>
    </row>
    <row r="259" spans="1:1" x14ac:dyDescent="0.25">
      <c r="A259" t="s">
        <v>6114</v>
      </c>
    </row>
    <row r="260" spans="1:1" x14ac:dyDescent="0.25">
      <c r="A260" t="s">
        <v>6113</v>
      </c>
    </row>
    <row r="261" spans="1:1" x14ac:dyDescent="0.25">
      <c r="A261" t="s">
        <v>6112</v>
      </c>
    </row>
    <row r="262" spans="1:1" x14ac:dyDescent="0.25">
      <c r="A262" t="s">
        <v>833</v>
      </c>
    </row>
    <row r="263" spans="1:1" x14ac:dyDescent="0.25">
      <c r="A263" t="s">
        <v>285</v>
      </c>
    </row>
    <row r="264" spans="1:1" x14ac:dyDescent="0.25">
      <c r="A264" t="s">
        <v>6111</v>
      </c>
    </row>
    <row r="265" spans="1:1" x14ac:dyDescent="0.25">
      <c r="A265" t="s">
        <v>6110</v>
      </c>
    </row>
    <row r="266" spans="1:1" x14ac:dyDescent="0.25">
      <c r="A266" t="s">
        <v>10504</v>
      </c>
    </row>
    <row r="267" spans="1:1" x14ac:dyDescent="0.25">
      <c r="A267" t="s">
        <v>508</v>
      </c>
    </row>
    <row r="268" spans="1:1" x14ac:dyDescent="0.25">
      <c r="A268" t="s">
        <v>512</v>
      </c>
    </row>
    <row r="269" spans="1:1" x14ac:dyDescent="0.25">
      <c r="A269" t="s">
        <v>514</v>
      </c>
    </row>
    <row r="270" spans="1:1" x14ac:dyDescent="0.25">
      <c r="A270" t="s">
        <v>516</v>
      </c>
    </row>
    <row r="271" spans="1:1" x14ac:dyDescent="0.25">
      <c r="A271" t="s">
        <v>518</v>
      </c>
    </row>
    <row r="272" spans="1:1" x14ac:dyDescent="0.25">
      <c r="A272" t="s">
        <v>520</v>
      </c>
    </row>
    <row r="273" spans="1:1" x14ac:dyDescent="0.25">
      <c r="A273" t="s">
        <v>522</v>
      </c>
    </row>
    <row r="274" spans="1:1" x14ac:dyDescent="0.25">
      <c r="A274" t="s">
        <v>524</v>
      </c>
    </row>
    <row r="275" spans="1:1" x14ac:dyDescent="0.25">
      <c r="A275" t="s">
        <v>526</v>
      </c>
    </row>
    <row r="276" spans="1:1" x14ac:dyDescent="0.25">
      <c r="A276" t="s">
        <v>510</v>
      </c>
    </row>
    <row r="277" spans="1:1" x14ac:dyDescent="0.25">
      <c r="A277" t="s">
        <v>3757</v>
      </c>
    </row>
    <row r="278" spans="1:1" x14ac:dyDescent="0.25">
      <c r="A278" t="s">
        <v>3757</v>
      </c>
    </row>
    <row r="279" spans="1:1" x14ac:dyDescent="0.25">
      <c r="A279" t="s">
        <v>4625</v>
      </c>
    </row>
    <row r="280" spans="1:1" x14ac:dyDescent="0.25">
      <c r="A280" t="s">
        <v>4672</v>
      </c>
    </row>
    <row r="281" spans="1:1" x14ac:dyDescent="0.25">
      <c r="A281" t="s">
        <v>4673</v>
      </c>
    </row>
    <row r="282" spans="1:1" x14ac:dyDescent="0.25">
      <c r="A282" t="s">
        <v>10747</v>
      </c>
    </row>
    <row r="283" spans="1:1" x14ac:dyDescent="0.25">
      <c r="A283" t="s">
        <v>10748</v>
      </c>
    </row>
    <row r="284" spans="1:1" x14ac:dyDescent="0.25">
      <c r="A284" t="s">
        <v>10749</v>
      </c>
    </row>
    <row r="285" spans="1:1" x14ac:dyDescent="0.25">
      <c r="A285" t="s">
        <v>10750</v>
      </c>
    </row>
    <row r="286" spans="1:1" x14ac:dyDescent="0.25">
      <c r="A286" t="s">
        <v>10751</v>
      </c>
    </row>
    <row r="287" spans="1:1" x14ac:dyDescent="0.25">
      <c r="A287" t="s">
        <v>278</v>
      </c>
    </row>
    <row r="288" spans="1:1" x14ac:dyDescent="0.25">
      <c r="A288" t="s">
        <v>280</v>
      </c>
    </row>
    <row r="289" spans="1:1" x14ac:dyDescent="0.25">
      <c r="A289" t="s">
        <v>282</v>
      </c>
    </row>
    <row r="290" spans="1:1" x14ac:dyDescent="0.25">
      <c r="A290" t="s">
        <v>10506</v>
      </c>
    </row>
    <row r="291" spans="1:1" x14ac:dyDescent="0.25">
      <c r="A291" t="s">
        <v>10505</v>
      </c>
    </row>
    <row r="292" spans="1:1" x14ac:dyDescent="0.25">
      <c r="A292" t="s">
        <v>847</v>
      </c>
    </row>
    <row r="293" spans="1:1" x14ac:dyDescent="0.25">
      <c r="A293" t="s">
        <v>849</v>
      </c>
    </row>
    <row r="294" spans="1:1" x14ac:dyDescent="0.25">
      <c r="A294" t="s">
        <v>851</v>
      </c>
    </row>
    <row r="295" spans="1:1" x14ac:dyDescent="0.25">
      <c r="A295" t="s">
        <v>853</v>
      </c>
    </row>
    <row r="296" spans="1:1" x14ac:dyDescent="0.25">
      <c r="A296" t="s">
        <v>855</v>
      </c>
    </row>
    <row r="297" spans="1:1" x14ac:dyDescent="0.25">
      <c r="A297" t="s">
        <v>3514</v>
      </c>
    </row>
    <row r="298" spans="1:1" x14ac:dyDescent="0.25">
      <c r="A298" t="s">
        <v>3515</v>
      </c>
    </row>
    <row r="299" spans="1:1" x14ac:dyDescent="0.25">
      <c r="A299" t="s">
        <v>3516</v>
      </c>
    </row>
    <row r="300" spans="1:1" x14ac:dyDescent="0.25">
      <c r="A300" t="s">
        <v>3522</v>
      </c>
    </row>
    <row r="301" spans="1:1" x14ac:dyDescent="0.25">
      <c r="A301" t="s">
        <v>3523</v>
      </c>
    </row>
    <row r="302" spans="1:1" x14ac:dyDescent="0.25">
      <c r="A302" t="s">
        <v>3524</v>
      </c>
    </row>
    <row r="303" spans="1:1" x14ac:dyDescent="0.25">
      <c r="A303" t="s">
        <v>3525</v>
      </c>
    </row>
    <row r="304" spans="1:1" x14ac:dyDescent="0.25">
      <c r="A304" t="s">
        <v>3526</v>
      </c>
    </row>
    <row r="305" spans="1:1" x14ac:dyDescent="0.25">
      <c r="A305" t="s">
        <v>3527</v>
      </c>
    </row>
    <row r="306" spans="1:1" x14ac:dyDescent="0.25">
      <c r="A306" t="s">
        <v>4617</v>
      </c>
    </row>
    <row r="307" spans="1:1" x14ac:dyDescent="0.25">
      <c r="A307" t="s">
        <v>4618</v>
      </c>
    </row>
    <row r="308" spans="1:1" x14ac:dyDescent="0.25">
      <c r="A308" t="s">
        <v>10752</v>
      </c>
    </row>
    <row r="309" spans="1:1" x14ac:dyDescent="0.25">
      <c r="A309" t="s">
        <v>10753</v>
      </c>
    </row>
    <row r="310" spans="1:1" x14ac:dyDescent="0.25">
      <c r="A310" t="s">
        <v>10754</v>
      </c>
    </row>
    <row r="311" spans="1:1" x14ac:dyDescent="0.25">
      <c r="A311" t="s">
        <v>10755</v>
      </c>
    </row>
    <row r="312" spans="1:1" x14ac:dyDescent="0.25">
      <c r="A312" t="s">
        <v>10756</v>
      </c>
    </row>
    <row r="313" spans="1:1" x14ac:dyDescent="0.25">
      <c r="A313" t="s">
        <v>10757</v>
      </c>
    </row>
    <row r="314" spans="1:1" x14ac:dyDescent="0.25">
      <c r="A314" t="s">
        <v>10758</v>
      </c>
    </row>
    <row r="315" spans="1:1" x14ac:dyDescent="0.25">
      <c r="A315" t="s">
        <v>10759</v>
      </c>
    </row>
    <row r="316" spans="1:1" x14ac:dyDescent="0.25">
      <c r="A316" t="s">
        <v>10760</v>
      </c>
    </row>
    <row r="317" spans="1:1" x14ac:dyDescent="0.25">
      <c r="A317" t="s">
        <v>10761</v>
      </c>
    </row>
    <row r="318" spans="1:1" x14ac:dyDescent="0.25">
      <c r="A318" t="s">
        <v>10762</v>
      </c>
    </row>
    <row r="319" spans="1:1" x14ac:dyDescent="0.25">
      <c r="A319" t="s">
        <v>827</v>
      </c>
    </row>
    <row r="320" spans="1:1" x14ac:dyDescent="0.25">
      <c r="A320" t="s">
        <v>3661</v>
      </c>
    </row>
    <row r="321" spans="1:1" x14ac:dyDescent="0.25">
      <c r="A321" t="s">
        <v>3664</v>
      </c>
    </row>
    <row r="322" spans="1:1" x14ac:dyDescent="0.25">
      <c r="A322" t="s">
        <v>3662</v>
      </c>
    </row>
    <row r="323" spans="1:1" x14ac:dyDescent="0.25">
      <c r="A323" t="s">
        <v>3663</v>
      </c>
    </row>
    <row r="324" spans="1:1" x14ac:dyDescent="0.25">
      <c r="A324" t="s">
        <v>4592</v>
      </c>
    </row>
    <row r="325" spans="1:1" x14ac:dyDescent="0.25">
      <c r="A325" t="s">
        <v>4593</v>
      </c>
    </row>
    <row r="326" spans="1:1" x14ac:dyDescent="0.25">
      <c r="A326" t="s">
        <v>4594</v>
      </c>
    </row>
    <row r="327" spans="1:1" x14ac:dyDescent="0.25">
      <c r="A327" t="s">
        <v>2893</v>
      </c>
    </row>
    <row r="328" spans="1:1" x14ac:dyDescent="0.25">
      <c r="A328" t="s">
        <v>922</v>
      </c>
    </row>
    <row r="329" spans="1:1" x14ac:dyDescent="0.25">
      <c r="A329" t="s">
        <v>924</v>
      </c>
    </row>
    <row r="330" spans="1:1" x14ac:dyDescent="0.25">
      <c r="A330" t="s">
        <v>1388</v>
      </c>
    </row>
    <row r="331" spans="1:1" x14ac:dyDescent="0.25">
      <c r="A331" t="s">
        <v>3845</v>
      </c>
    </row>
    <row r="332" spans="1:1" x14ac:dyDescent="0.25">
      <c r="A332" t="s">
        <v>3846</v>
      </c>
    </row>
    <row r="333" spans="1:1" x14ac:dyDescent="0.25">
      <c r="A333" t="s">
        <v>3847</v>
      </c>
    </row>
    <row r="334" spans="1:1" x14ac:dyDescent="0.25">
      <c r="A334" t="s">
        <v>3848</v>
      </c>
    </row>
    <row r="335" spans="1:1" x14ac:dyDescent="0.25">
      <c r="A335" t="s">
        <v>3849</v>
      </c>
    </row>
    <row r="336" spans="1:1" x14ac:dyDescent="0.25">
      <c r="A336" t="s">
        <v>3850</v>
      </c>
    </row>
    <row r="337" spans="1:1" x14ac:dyDescent="0.25">
      <c r="A337" t="s">
        <v>3851</v>
      </c>
    </row>
    <row r="338" spans="1:1" x14ac:dyDescent="0.25">
      <c r="A338" t="s">
        <v>3852</v>
      </c>
    </row>
    <row r="339" spans="1:1" x14ac:dyDescent="0.25">
      <c r="A339" t="s">
        <v>10763</v>
      </c>
    </row>
    <row r="340" spans="1:1" x14ac:dyDescent="0.25">
      <c r="A340" t="s">
        <v>10717</v>
      </c>
    </row>
    <row r="341" spans="1:1" x14ac:dyDescent="0.25">
      <c r="A341" t="s">
        <v>10718</v>
      </c>
    </row>
    <row r="342" spans="1:1" x14ac:dyDescent="0.25">
      <c r="A342" t="s">
        <v>3881</v>
      </c>
    </row>
    <row r="343" spans="1:1" x14ac:dyDescent="0.25">
      <c r="A343" t="s">
        <v>3886</v>
      </c>
    </row>
    <row r="344" spans="1:1" x14ac:dyDescent="0.25">
      <c r="A344" t="s">
        <v>2851</v>
      </c>
    </row>
    <row r="345" spans="1:1" x14ac:dyDescent="0.25">
      <c r="A345" t="s">
        <v>2853</v>
      </c>
    </row>
    <row r="346" spans="1:1" x14ac:dyDescent="0.25">
      <c r="A346" t="s">
        <v>3882</v>
      </c>
    </row>
    <row r="347" spans="1:1" x14ac:dyDescent="0.25">
      <c r="A347" t="s">
        <v>3883</v>
      </c>
    </row>
    <row r="348" spans="1:1" x14ac:dyDescent="0.25">
      <c r="A348" t="s">
        <v>3884</v>
      </c>
    </row>
    <row r="349" spans="1:1" x14ac:dyDescent="0.25">
      <c r="A349" t="s">
        <v>3885</v>
      </c>
    </row>
    <row r="350" spans="1:1" x14ac:dyDescent="0.25">
      <c r="A350" t="s">
        <v>9829</v>
      </c>
    </row>
    <row r="351" spans="1:1" x14ac:dyDescent="0.25">
      <c r="A351" t="s">
        <v>137</v>
      </c>
    </row>
    <row r="352" spans="1:1" x14ac:dyDescent="0.25">
      <c r="A352" t="s">
        <v>140</v>
      </c>
    </row>
    <row r="353" spans="1:1" x14ac:dyDescent="0.25">
      <c r="A353" t="s">
        <v>3517</v>
      </c>
    </row>
    <row r="354" spans="1:1" x14ac:dyDescent="0.25">
      <c r="A354" t="s">
        <v>3518</v>
      </c>
    </row>
    <row r="355" spans="1:1" x14ac:dyDescent="0.25">
      <c r="A355" t="s">
        <v>3519</v>
      </c>
    </row>
    <row r="356" spans="1:1" x14ac:dyDescent="0.25">
      <c r="A356" t="s">
        <v>3520</v>
      </c>
    </row>
    <row r="357" spans="1:1" x14ac:dyDescent="0.25">
      <c r="A357" t="s">
        <v>3521</v>
      </c>
    </row>
    <row r="358" spans="1:1" x14ac:dyDescent="0.25">
      <c r="A358" t="s">
        <v>232</v>
      </c>
    </row>
    <row r="359" spans="1:1" x14ac:dyDescent="0.25">
      <c r="A359" t="s">
        <v>234</v>
      </c>
    </row>
    <row r="360" spans="1:1" x14ac:dyDescent="0.25">
      <c r="A360" t="s">
        <v>4636</v>
      </c>
    </row>
    <row r="361" spans="1:1" x14ac:dyDescent="0.25">
      <c r="A361" t="s">
        <v>4637</v>
      </c>
    </row>
    <row r="362" spans="1:1" x14ac:dyDescent="0.25">
      <c r="A362" t="s">
        <v>4637</v>
      </c>
    </row>
    <row r="363" spans="1:1" x14ac:dyDescent="0.25">
      <c r="A363" t="s">
        <v>6291</v>
      </c>
    </row>
    <row r="364" spans="1:1" x14ac:dyDescent="0.25">
      <c r="A364" t="s">
        <v>6290</v>
      </c>
    </row>
    <row r="365" spans="1:1" x14ac:dyDescent="0.25">
      <c r="A365" t="s">
        <v>9878</v>
      </c>
    </row>
    <row r="366" spans="1:1" x14ac:dyDescent="0.25">
      <c r="A366" t="s">
        <v>870</v>
      </c>
    </row>
    <row r="367" spans="1:1" x14ac:dyDescent="0.25">
      <c r="A367" t="s">
        <v>10764</v>
      </c>
    </row>
    <row r="368" spans="1:1" x14ac:dyDescent="0.25">
      <c r="A368" t="s">
        <v>10765</v>
      </c>
    </row>
    <row r="369" spans="1:1" x14ac:dyDescent="0.25">
      <c r="A369" t="s">
        <v>10766</v>
      </c>
    </row>
    <row r="370" spans="1:1" x14ac:dyDescent="0.25">
      <c r="A370" t="s">
        <v>10767</v>
      </c>
    </row>
    <row r="371" spans="1:1" x14ac:dyDescent="0.25">
      <c r="A371" t="s">
        <v>883</v>
      </c>
    </row>
    <row r="372" spans="1:1" x14ac:dyDescent="0.25">
      <c r="A372" t="s">
        <v>10768</v>
      </c>
    </row>
    <row r="373" spans="1:1" x14ac:dyDescent="0.25">
      <c r="A373" t="s">
        <v>4606</v>
      </c>
    </row>
    <row r="374" spans="1:1" x14ac:dyDescent="0.25">
      <c r="A374" t="s">
        <v>10769</v>
      </c>
    </row>
    <row r="375" spans="1:1" x14ac:dyDescent="0.25">
      <c r="A375" t="s">
        <v>10770</v>
      </c>
    </row>
    <row r="376" spans="1:1" x14ac:dyDescent="0.25">
      <c r="A376" t="s">
        <v>10771</v>
      </c>
    </row>
    <row r="377" spans="1:1" x14ac:dyDescent="0.25">
      <c r="A377" t="s">
        <v>10365</v>
      </c>
    </row>
    <row r="378" spans="1:1" x14ac:dyDescent="0.25">
      <c r="A378" t="s">
        <v>10366</v>
      </c>
    </row>
    <row r="379" spans="1:1" x14ac:dyDescent="0.25">
      <c r="A379" t="s">
        <v>10367</v>
      </c>
    </row>
    <row r="380" spans="1:1" x14ac:dyDescent="0.25">
      <c r="A380" t="s">
        <v>1278</v>
      </c>
    </row>
    <row r="381" spans="1:1" x14ac:dyDescent="0.25">
      <c r="A381" t="s">
        <v>3632</v>
      </c>
    </row>
    <row r="382" spans="1:1" x14ac:dyDescent="0.25">
      <c r="A382" t="s">
        <v>3633</v>
      </c>
    </row>
    <row r="383" spans="1:1" x14ac:dyDescent="0.25">
      <c r="A383" t="s">
        <v>3634</v>
      </c>
    </row>
    <row r="384" spans="1:1" x14ac:dyDescent="0.25">
      <c r="A384" t="s">
        <v>3635</v>
      </c>
    </row>
    <row r="385" spans="1:1" x14ac:dyDescent="0.25">
      <c r="A385" t="s">
        <v>3636</v>
      </c>
    </row>
    <row r="386" spans="1:1" x14ac:dyDescent="0.25">
      <c r="A386" t="s">
        <v>3628</v>
      </c>
    </row>
    <row r="387" spans="1:1" x14ac:dyDescent="0.25">
      <c r="A387" t="s">
        <v>3629</v>
      </c>
    </row>
    <row r="388" spans="1:1" x14ac:dyDescent="0.25">
      <c r="A388" t="s">
        <v>3630</v>
      </c>
    </row>
    <row r="389" spans="1:1" x14ac:dyDescent="0.25">
      <c r="A389" t="s">
        <v>3631</v>
      </c>
    </row>
    <row r="390" spans="1:1" x14ac:dyDescent="0.25">
      <c r="A390" t="s">
        <v>4596</v>
      </c>
    </row>
    <row r="391" spans="1:1" x14ac:dyDescent="0.25">
      <c r="A391" t="s">
        <v>4597</v>
      </c>
    </row>
    <row r="392" spans="1:1" x14ac:dyDescent="0.25">
      <c r="A392" t="s">
        <v>6286</v>
      </c>
    </row>
    <row r="393" spans="1:1" x14ac:dyDescent="0.25">
      <c r="A393" t="s">
        <v>6289</v>
      </c>
    </row>
    <row r="394" spans="1:1" x14ac:dyDescent="0.25">
      <c r="A394" t="s">
        <v>6288</v>
      </c>
    </row>
    <row r="395" spans="1:1" x14ac:dyDescent="0.25">
      <c r="A395" t="s">
        <v>6287</v>
      </c>
    </row>
    <row r="396" spans="1:1" x14ac:dyDescent="0.25">
      <c r="A396" t="s">
        <v>814</v>
      </c>
    </row>
    <row r="397" spans="1:1" x14ac:dyDescent="0.25">
      <c r="A397" t="s">
        <v>4595</v>
      </c>
    </row>
    <row r="398" spans="1:1" x14ac:dyDescent="0.25">
      <c r="A398" t="s">
        <v>3626</v>
      </c>
    </row>
    <row r="399" spans="1:1" x14ac:dyDescent="0.25">
      <c r="A399" t="s">
        <v>3627</v>
      </c>
    </row>
    <row r="400" spans="1:1" x14ac:dyDescent="0.25">
      <c r="A400" t="s">
        <v>10123</v>
      </c>
    </row>
    <row r="401" spans="1:1" x14ac:dyDescent="0.25">
      <c r="A401" t="s">
        <v>10124</v>
      </c>
    </row>
    <row r="402" spans="1:1" x14ac:dyDescent="0.25">
      <c r="A402" t="s">
        <v>10125</v>
      </c>
    </row>
    <row r="403" spans="1:1" x14ac:dyDescent="0.25">
      <c r="A403" t="s">
        <v>4639</v>
      </c>
    </row>
    <row r="404" spans="1:1" x14ac:dyDescent="0.25">
      <c r="A404" t="s">
        <v>9880</v>
      </c>
    </row>
    <row r="405" spans="1:1" x14ac:dyDescent="0.25">
      <c r="A405" t="s">
        <v>4640</v>
      </c>
    </row>
    <row r="406" spans="1:1" x14ac:dyDescent="0.25">
      <c r="A406" t="s">
        <v>4638</v>
      </c>
    </row>
    <row r="407" spans="1:1" x14ac:dyDescent="0.25">
      <c r="A407" t="s">
        <v>9879</v>
      </c>
    </row>
    <row r="408" spans="1:1" x14ac:dyDescent="0.25">
      <c r="A408" t="s">
        <v>3751</v>
      </c>
    </row>
    <row r="409" spans="1:1" x14ac:dyDescent="0.25">
      <c r="A409" t="s">
        <v>1899</v>
      </c>
    </row>
    <row r="410" spans="1:1" x14ac:dyDescent="0.25">
      <c r="A410" t="s">
        <v>1901</v>
      </c>
    </row>
    <row r="411" spans="1:1" x14ac:dyDescent="0.25">
      <c r="A411" t="s">
        <v>1006</v>
      </c>
    </row>
    <row r="412" spans="1:1" x14ac:dyDescent="0.25">
      <c r="A412" t="s">
        <v>3799</v>
      </c>
    </row>
    <row r="413" spans="1:1" x14ac:dyDescent="0.25">
      <c r="A413" t="s">
        <v>4529</v>
      </c>
    </row>
    <row r="414" spans="1:1" x14ac:dyDescent="0.25">
      <c r="A414" t="s">
        <v>4674</v>
      </c>
    </row>
    <row r="415" spans="1:1" x14ac:dyDescent="0.25">
      <c r="A415" t="s">
        <v>4675</v>
      </c>
    </row>
    <row r="416" spans="1:1" x14ac:dyDescent="0.25">
      <c r="A416" t="s">
        <v>4676</v>
      </c>
    </row>
    <row r="417" spans="1:1" x14ac:dyDescent="0.25">
      <c r="A417" t="s">
        <v>10772</v>
      </c>
    </row>
    <row r="418" spans="1:1" x14ac:dyDescent="0.25">
      <c r="A418" t="s">
        <v>10773</v>
      </c>
    </row>
    <row r="419" spans="1:1" x14ac:dyDescent="0.25">
      <c r="A419" t="s">
        <v>10774</v>
      </c>
    </row>
    <row r="420" spans="1:1" x14ac:dyDescent="0.25">
      <c r="A420" t="s">
        <v>10775</v>
      </c>
    </row>
    <row r="421" spans="1:1" x14ac:dyDescent="0.25">
      <c r="A421" t="s">
        <v>10776</v>
      </c>
    </row>
    <row r="422" spans="1:1" x14ac:dyDescent="0.25">
      <c r="A422" t="s">
        <v>10777</v>
      </c>
    </row>
    <row r="423" spans="1:1" x14ac:dyDescent="0.25">
      <c r="A423" t="s">
        <v>10778</v>
      </c>
    </row>
    <row r="424" spans="1:1" x14ac:dyDescent="0.25">
      <c r="A424" t="s">
        <v>10779</v>
      </c>
    </row>
    <row r="425" spans="1:1" x14ac:dyDescent="0.25">
      <c r="A425" t="s">
        <v>9833</v>
      </c>
    </row>
    <row r="426" spans="1:1" x14ac:dyDescent="0.25">
      <c r="A426" t="s">
        <v>4527</v>
      </c>
    </row>
    <row r="427" spans="1:1" x14ac:dyDescent="0.25">
      <c r="A427" t="s">
        <v>4527</v>
      </c>
    </row>
    <row r="428" spans="1:1" x14ac:dyDescent="0.25">
      <c r="A428" t="s">
        <v>4528</v>
      </c>
    </row>
    <row r="429" spans="1:1" x14ac:dyDescent="0.25">
      <c r="A429" t="s">
        <v>4528</v>
      </c>
    </row>
    <row r="430" spans="1:1" x14ac:dyDescent="0.25">
      <c r="A430" t="s">
        <v>2332</v>
      </c>
    </row>
    <row r="431" spans="1:1" x14ac:dyDescent="0.25">
      <c r="A431" t="s">
        <v>2334</v>
      </c>
    </row>
    <row r="432" spans="1:1" x14ac:dyDescent="0.25">
      <c r="A432" t="s">
        <v>2336</v>
      </c>
    </row>
    <row r="433" spans="1:1" x14ac:dyDescent="0.25">
      <c r="A433" t="s">
        <v>2338</v>
      </c>
    </row>
    <row r="434" spans="1:1" x14ac:dyDescent="0.25">
      <c r="A434" t="s">
        <v>2340</v>
      </c>
    </row>
    <row r="435" spans="1:1" x14ac:dyDescent="0.25">
      <c r="A435" t="s">
        <v>868</v>
      </c>
    </row>
    <row r="436" spans="1:1" x14ac:dyDescent="0.25">
      <c r="A436" t="s">
        <v>891</v>
      </c>
    </row>
    <row r="437" spans="1:1" x14ac:dyDescent="0.25">
      <c r="A437" t="s">
        <v>9831</v>
      </c>
    </row>
    <row r="438" spans="1:1" x14ac:dyDescent="0.25">
      <c r="A438" t="s">
        <v>10780</v>
      </c>
    </row>
    <row r="439" spans="1:1" x14ac:dyDescent="0.25">
      <c r="A439" t="s">
        <v>10781</v>
      </c>
    </row>
    <row r="440" spans="1:1" x14ac:dyDescent="0.25">
      <c r="A440" t="s">
        <v>10782</v>
      </c>
    </row>
    <row r="441" spans="1:1" x14ac:dyDescent="0.25">
      <c r="A441" t="s">
        <v>10783</v>
      </c>
    </row>
    <row r="442" spans="1:1" x14ac:dyDescent="0.25">
      <c r="A442" t="s">
        <v>10784</v>
      </c>
    </row>
    <row r="443" spans="1:1" x14ac:dyDescent="0.25">
      <c r="A443" t="s">
        <v>10785</v>
      </c>
    </row>
    <row r="444" spans="1:1" x14ac:dyDescent="0.25">
      <c r="A444" t="s">
        <v>10786</v>
      </c>
    </row>
    <row r="445" spans="1:1" x14ac:dyDescent="0.25">
      <c r="A445" t="s">
        <v>10787</v>
      </c>
    </row>
    <row r="446" spans="1:1" x14ac:dyDescent="0.25">
      <c r="A446" t="s">
        <v>10788</v>
      </c>
    </row>
    <row r="447" spans="1:1" x14ac:dyDescent="0.25">
      <c r="A447" t="s">
        <v>10789</v>
      </c>
    </row>
    <row r="448" spans="1:1" x14ac:dyDescent="0.25">
      <c r="A448" t="s">
        <v>10790</v>
      </c>
    </row>
    <row r="449" spans="1:1" x14ac:dyDescent="0.25">
      <c r="A449" t="s">
        <v>10791</v>
      </c>
    </row>
    <row r="450" spans="1:1" x14ac:dyDescent="0.25">
      <c r="A450" t="s">
        <v>10792</v>
      </c>
    </row>
    <row r="451" spans="1:1" x14ac:dyDescent="0.25">
      <c r="A451" t="s">
        <v>10793</v>
      </c>
    </row>
    <row r="452" spans="1:1" x14ac:dyDescent="0.25">
      <c r="A452" t="s">
        <v>10794</v>
      </c>
    </row>
    <row r="453" spans="1:1" x14ac:dyDescent="0.25">
      <c r="A453" t="s">
        <v>10795</v>
      </c>
    </row>
    <row r="454" spans="1:1" x14ac:dyDescent="0.25">
      <c r="A454" t="s">
        <v>10796</v>
      </c>
    </row>
    <row r="455" spans="1:1" x14ac:dyDescent="0.25">
      <c r="A455" t="s">
        <v>10797</v>
      </c>
    </row>
    <row r="456" spans="1:1" x14ac:dyDescent="0.25">
      <c r="A456" t="s">
        <v>9877</v>
      </c>
    </row>
    <row r="457" spans="1:1" x14ac:dyDescent="0.25">
      <c r="A457" t="s">
        <v>10011</v>
      </c>
    </row>
    <row r="458" spans="1:1" x14ac:dyDescent="0.25">
      <c r="A458" t="s">
        <v>10711</v>
      </c>
    </row>
    <row r="459" spans="1:1" x14ac:dyDescent="0.25">
      <c r="A459" t="s">
        <v>10712</v>
      </c>
    </row>
    <row r="460" spans="1:1" x14ac:dyDescent="0.25">
      <c r="A460" t="s">
        <v>10710</v>
      </c>
    </row>
    <row r="461" spans="1:1" x14ac:dyDescent="0.25">
      <c r="A461" t="s">
        <v>3869</v>
      </c>
    </row>
    <row r="462" spans="1:1" x14ac:dyDescent="0.25">
      <c r="A462" t="s">
        <v>3872</v>
      </c>
    </row>
    <row r="463" spans="1:1" x14ac:dyDescent="0.25">
      <c r="A463" t="s">
        <v>4427</v>
      </c>
    </row>
    <row r="464" spans="1:1" x14ac:dyDescent="0.25">
      <c r="A464" t="s">
        <v>4428</v>
      </c>
    </row>
    <row r="465" spans="1:1" x14ac:dyDescent="0.25">
      <c r="A465" t="s">
        <v>10677</v>
      </c>
    </row>
    <row r="466" spans="1:1" x14ac:dyDescent="0.25">
      <c r="A466" t="s">
        <v>10678</v>
      </c>
    </row>
    <row r="467" spans="1:1" x14ac:dyDescent="0.25">
      <c r="A467" t="s">
        <v>10674</v>
      </c>
    </row>
    <row r="468" spans="1:1" x14ac:dyDescent="0.25">
      <c r="A468" t="s">
        <v>10675</v>
      </c>
    </row>
    <row r="469" spans="1:1" x14ac:dyDescent="0.25">
      <c r="A469" t="s">
        <v>10676</v>
      </c>
    </row>
    <row r="470" spans="1:1" x14ac:dyDescent="0.25">
      <c r="A470" t="s">
        <v>485</v>
      </c>
    </row>
    <row r="471" spans="1:1" x14ac:dyDescent="0.25">
      <c r="A471" t="s">
        <v>9830</v>
      </c>
    </row>
    <row r="472" spans="1:1" x14ac:dyDescent="0.25">
      <c r="A472" t="s">
        <v>9830</v>
      </c>
    </row>
    <row r="473" spans="1:1" x14ac:dyDescent="0.25">
      <c r="A473" t="s">
        <v>487</v>
      </c>
    </row>
    <row r="474" spans="1:1" x14ac:dyDescent="0.25">
      <c r="A474" t="s">
        <v>489</v>
      </c>
    </row>
    <row r="475" spans="1:1" x14ac:dyDescent="0.25">
      <c r="A475" t="s">
        <v>491</v>
      </c>
    </row>
    <row r="476" spans="1:1" x14ac:dyDescent="0.25">
      <c r="A476" t="s">
        <v>4612</v>
      </c>
    </row>
    <row r="477" spans="1:1" x14ac:dyDescent="0.25">
      <c r="A477" t="s">
        <v>4613</v>
      </c>
    </row>
    <row r="478" spans="1:1" x14ac:dyDescent="0.25">
      <c r="A478" t="s">
        <v>4614</v>
      </c>
    </row>
    <row r="479" spans="1:1" x14ac:dyDescent="0.25">
      <c r="A479" t="s">
        <v>10798</v>
      </c>
    </row>
    <row r="480" spans="1:1" x14ac:dyDescent="0.25">
      <c r="A480" t="s">
        <v>10799</v>
      </c>
    </row>
    <row r="481" spans="1:1" x14ac:dyDescent="0.25">
      <c r="A481" t="s">
        <v>10800</v>
      </c>
    </row>
    <row r="482" spans="1:1" x14ac:dyDescent="0.25">
      <c r="A482" t="s">
        <v>820</v>
      </c>
    </row>
    <row r="483" spans="1:1" x14ac:dyDescent="0.25">
      <c r="A483" t="s">
        <v>42</v>
      </c>
    </row>
    <row r="484" spans="1:1" x14ac:dyDescent="0.25">
      <c r="A484" t="s">
        <v>45</v>
      </c>
    </row>
    <row r="485" spans="1:1" x14ac:dyDescent="0.25">
      <c r="A485" t="s">
        <v>47</v>
      </c>
    </row>
    <row r="486" spans="1:1" x14ac:dyDescent="0.25">
      <c r="A486" t="s">
        <v>49</v>
      </c>
    </row>
    <row r="487" spans="1:1" x14ac:dyDescent="0.25">
      <c r="A487" t="s">
        <v>10801</v>
      </c>
    </row>
    <row r="488" spans="1:1" x14ac:dyDescent="0.25">
      <c r="A488" t="s">
        <v>9775</v>
      </c>
    </row>
    <row r="489" spans="1:1" x14ac:dyDescent="0.25">
      <c r="A489" t="s">
        <v>4645</v>
      </c>
    </row>
    <row r="490" spans="1:1" x14ac:dyDescent="0.25">
      <c r="A490" t="s">
        <v>4644</v>
      </c>
    </row>
    <row r="491" spans="1:1" x14ac:dyDescent="0.25">
      <c r="A491" t="s">
        <v>9776</v>
      </c>
    </row>
    <row r="492" spans="1:1" x14ac:dyDescent="0.25">
      <c r="A492" t="s">
        <v>9777</v>
      </c>
    </row>
    <row r="493" spans="1:1" x14ac:dyDescent="0.25">
      <c r="A493" t="s">
        <v>9778</v>
      </c>
    </row>
    <row r="494" spans="1:1" x14ac:dyDescent="0.25">
      <c r="A494" t="s">
        <v>9779</v>
      </c>
    </row>
    <row r="495" spans="1:1" x14ac:dyDescent="0.25">
      <c r="A495" t="s">
        <v>9780</v>
      </c>
    </row>
    <row r="496" spans="1:1" x14ac:dyDescent="0.25">
      <c r="A496" t="s">
        <v>9781</v>
      </c>
    </row>
    <row r="497" spans="1:1" x14ac:dyDescent="0.25">
      <c r="A497" t="s">
        <v>10802</v>
      </c>
    </row>
    <row r="498" spans="1:1" x14ac:dyDescent="0.25">
      <c r="A498" t="s">
        <v>10803</v>
      </c>
    </row>
    <row r="499" spans="1:1" x14ac:dyDescent="0.25">
      <c r="A499" t="s">
        <v>823</v>
      </c>
    </row>
    <row r="500" spans="1:1" x14ac:dyDescent="0.25">
      <c r="A500" t="s">
        <v>3508</v>
      </c>
    </row>
    <row r="501" spans="1:1" x14ac:dyDescent="0.25">
      <c r="A501" t="s">
        <v>104</v>
      </c>
    </row>
    <row r="502" spans="1:1" x14ac:dyDescent="0.25">
      <c r="A502" t="s">
        <v>1851</v>
      </c>
    </row>
    <row r="503" spans="1:1" x14ac:dyDescent="0.25">
      <c r="A503" t="s">
        <v>1855</v>
      </c>
    </row>
    <row r="504" spans="1:1" x14ac:dyDescent="0.25">
      <c r="A504" t="s">
        <v>1853</v>
      </c>
    </row>
    <row r="505" spans="1:1" x14ac:dyDescent="0.25">
      <c r="A505" t="s">
        <v>9796</v>
      </c>
    </row>
    <row r="506" spans="1:1" x14ac:dyDescent="0.25">
      <c r="A506" t="s">
        <v>10804</v>
      </c>
    </row>
    <row r="507" spans="1:1" x14ac:dyDescent="0.25">
      <c r="A507" t="s">
        <v>4604</v>
      </c>
    </row>
    <row r="508" spans="1:1" x14ac:dyDescent="0.25">
      <c r="A508" t="s">
        <v>4605</v>
      </c>
    </row>
    <row r="509" spans="1:1" x14ac:dyDescent="0.25">
      <c r="A509" t="s">
        <v>10805</v>
      </c>
    </row>
    <row r="510" spans="1:1" x14ac:dyDescent="0.25">
      <c r="A510" t="s">
        <v>10806</v>
      </c>
    </row>
    <row r="511" spans="1:1" x14ac:dyDescent="0.25">
      <c r="A511" t="s">
        <v>10807</v>
      </c>
    </row>
    <row r="512" spans="1:1" x14ac:dyDescent="0.25">
      <c r="A512" t="s">
        <v>10808</v>
      </c>
    </row>
    <row r="513" spans="1:1" x14ac:dyDescent="0.25">
      <c r="A513" t="s">
        <v>10809</v>
      </c>
    </row>
    <row r="514" spans="1:1" x14ac:dyDescent="0.25">
      <c r="A514" t="s">
        <v>10810</v>
      </c>
    </row>
    <row r="515" spans="1:1" x14ac:dyDescent="0.25">
      <c r="A515" t="s">
        <v>10811</v>
      </c>
    </row>
    <row r="516" spans="1:1" x14ac:dyDescent="0.25">
      <c r="A516" t="s">
        <v>10812</v>
      </c>
    </row>
    <row r="517" spans="1:1" x14ac:dyDescent="0.25">
      <c r="A517" t="s">
        <v>3563</v>
      </c>
    </row>
    <row r="518" spans="1:1" x14ac:dyDescent="0.25">
      <c r="A518" t="s">
        <v>9844</v>
      </c>
    </row>
    <row r="519" spans="1:1" x14ac:dyDescent="0.25">
      <c r="A519" t="s">
        <v>9845</v>
      </c>
    </row>
    <row r="520" spans="1:1" x14ac:dyDescent="0.25">
      <c r="A520" t="s">
        <v>10813</v>
      </c>
    </row>
    <row r="521" spans="1:1" x14ac:dyDescent="0.25">
      <c r="A521" t="s">
        <v>10814</v>
      </c>
    </row>
    <row r="522" spans="1:1" x14ac:dyDescent="0.25">
      <c r="A522" t="s">
        <v>10815</v>
      </c>
    </row>
    <row r="523" spans="1:1" x14ac:dyDescent="0.25">
      <c r="A523" t="s">
        <v>10816</v>
      </c>
    </row>
    <row r="524" spans="1:1" x14ac:dyDescent="0.25">
      <c r="A524" t="s">
        <v>9852</v>
      </c>
    </row>
    <row r="525" spans="1:1" x14ac:dyDescent="0.25">
      <c r="A525" t="s">
        <v>9853</v>
      </c>
    </row>
    <row r="526" spans="1:1" x14ac:dyDescent="0.25">
      <c r="A526" t="s">
        <v>9848</v>
      </c>
    </row>
    <row r="527" spans="1:1" x14ac:dyDescent="0.25">
      <c r="A527" t="s">
        <v>9849</v>
      </c>
    </row>
    <row r="528" spans="1:1" x14ac:dyDescent="0.25">
      <c r="A528" t="s">
        <v>9850</v>
      </c>
    </row>
    <row r="529" spans="1:1" x14ac:dyDescent="0.25">
      <c r="A529" t="s">
        <v>9851</v>
      </c>
    </row>
    <row r="530" spans="1:1" x14ac:dyDescent="0.25">
      <c r="A530" t="s">
        <v>3657</v>
      </c>
    </row>
    <row r="531" spans="1:1" x14ac:dyDescent="0.25">
      <c r="A531" t="s">
        <v>9895</v>
      </c>
    </row>
    <row r="532" spans="1:1" x14ac:dyDescent="0.25">
      <c r="A532" t="s">
        <v>3666</v>
      </c>
    </row>
    <row r="533" spans="1:1" x14ac:dyDescent="0.25">
      <c r="A533" t="s">
        <v>3667</v>
      </c>
    </row>
    <row r="534" spans="1:1" x14ac:dyDescent="0.25">
      <c r="A534" t="s">
        <v>3668</v>
      </c>
    </row>
    <row r="535" spans="1:1" x14ac:dyDescent="0.25">
      <c r="A535" t="s">
        <v>3669</v>
      </c>
    </row>
    <row r="536" spans="1:1" x14ac:dyDescent="0.25">
      <c r="A536" t="s">
        <v>3670</v>
      </c>
    </row>
    <row r="537" spans="1:1" x14ac:dyDescent="0.25">
      <c r="A537" t="s">
        <v>4588</v>
      </c>
    </row>
    <row r="538" spans="1:1" x14ac:dyDescent="0.25">
      <c r="A538" t="s">
        <v>4589</v>
      </c>
    </row>
    <row r="539" spans="1:1" x14ac:dyDescent="0.25">
      <c r="A539" t="s">
        <v>4590</v>
      </c>
    </row>
    <row r="540" spans="1:1" x14ac:dyDescent="0.25">
      <c r="A540" t="s">
        <v>4591</v>
      </c>
    </row>
    <row r="541" spans="1:1" x14ac:dyDescent="0.25">
      <c r="A541" t="s">
        <v>3003</v>
      </c>
    </row>
    <row r="542" spans="1:1" x14ac:dyDescent="0.25">
      <c r="A542" t="s">
        <v>3005</v>
      </c>
    </row>
    <row r="543" spans="1:1" x14ac:dyDescent="0.25">
      <c r="A543" t="s">
        <v>3007</v>
      </c>
    </row>
    <row r="544" spans="1:1" x14ac:dyDescent="0.25">
      <c r="A544" t="s">
        <v>10817</v>
      </c>
    </row>
    <row r="545" spans="1:1" x14ac:dyDescent="0.25">
      <c r="A545" t="s">
        <v>10818</v>
      </c>
    </row>
    <row r="546" spans="1:1" x14ac:dyDescent="0.25">
      <c r="A546" t="s">
        <v>10819</v>
      </c>
    </row>
    <row r="547" spans="1:1" x14ac:dyDescent="0.25">
      <c r="A547" t="s">
        <v>10820</v>
      </c>
    </row>
    <row r="548" spans="1:1" x14ac:dyDescent="0.25">
      <c r="A548" t="s">
        <v>9922</v>
      </c>
    </row>
    <row r="549" spans="1:1" x14ac:dyDescent="0.25">
      <c r="A549" t="s">
        <v>10026</v>
      </c>
    </row>
    <row r="550" spans="1:1" x14ac:dyDescent="0.25">
      <c r="A550" t="s">
        <v>2038</v>
      </c>
    </row>
    <row r="551" spans="1:1" x14ac:dyDescent="0.25">
      <c r="A551" t="s">
        <v>2036</v>
      </c>
    </row>
    <row r="552" spans="1:1" x14ac:dyDescent="0.25">
      <c r="A552" t="s">
        <v>10101</v>
      </c>
    </row>
    <row r="553" spans="1:1" x14ac:dyDescent="0.25">
      <c r="A553" t="s">
        <v>10102</v>
      </c>
    </row>
    <row r="554" spans="1:1" x14ac:dyDescent="0.25">
      <c r="A554" t="s">
        <v>10103</v>
      </c>
    </row>
    <row r="555" spans="1:1" x14ac:dyDescent="0.25">
      <c r="A555" t="s">
        <v>10106</v>
      </c>
    </row>
    <row r="556" spans="1:1" x14ac:dyDescent="0.25">
      <c r="A556" t="s">
        <v>4563</v>
      </c>
    </row>
    <row r="557" spans="1:1" x14ac:dyDescent="0.25">
      <c r="A557" t="s">
        <v>4494</v>
      </c>
    </row>
    <row r="558" spans="1:1" x14ac:dyDescent="0.25">
      <c r="A558" t="s">
        <v>4495</v>
      </c>
    </row>
    <row r="559" spans="1:1" x14ac:dyDescent="0.25">
      <c r="A559" t="s">
        <v>2743</v>
      </c>
    </row>
    <row r="560" spans="1:1" x14ac:dyDescent="0.25">
      <c r="A560" t="s">
        <v>2745</v>
      </c>
    </row>
    <row r="561" spans="1:1" x14ac:dyDescent="0.25">
      <c r="A561" t="s">
        <v>2747</v>
      </c>
    </row>
    <row r="562" spans="1:1" x14ac:dyDescent="0.25">
      <c r="A562" t="s">
        <v>2749</v>
      </c>
    </row>
    <row r="563" spans="1:1" x14ac:dyDescent="0.25">
      <c r="A563" t="s">
        <v>2751</v>
      </c>
    </row>
    <row r="564" spans="1:1" x14ac:dyDescent="0.25">
      <c r="A564" t="s">
        <v>10821</v>
      </c>
    </row>
    <row r="565" spans="1:1" x14ac:dyDescent="0.25">
      <c r="A565" t="s">
        <v>10822</v>
      </c>
    </row>
    <row r="566" spans="1:1" x14ac:dyDescent="0.25">
      <c r="A566" t="s">
        <v>10823</v>
      </c>
    </row>
    <row r="567" spans="1:1" x14ac:dyDescent="0.25">
      <c r="A567" t="s">
        <v>10824</v>
      </c>
    </row>
    <row r="568" spans="1:1" x14ac:dyDescent="0.25">
      <c r="A568" t="s">
        <v>10825</v>
      </c>
    </row>
    <row r="569" spans="1:1" x14ac:dyDescent="0.25">
      <c r="A569" t="s">
        <v>10826</v>
      </c>
    </row>
    <row r="570" spans="1:1" x14ac:dyDescent="0.25">
      <c r="A570" t="s">
        <v>4449</v>
      </c>
    </row>
    <row r="571" spans="1:1" x14ac:dyDescent="0.25">
      <c r="A571" t="s">
        <v>10190</v>
      </c>
    </row>
    <row r="572" spans="1:1" x14ac:dyDescent="0.25">
      <c r="A572" t="s">
        <v>4742</v>
      </c>
    </row>
    <row r="573" spans="1:1" x14ac:dyDescent="0.25">
      <c r="A573" t="s">
        <v>4740</v>
      </c>
    </row>
    <row r="574" spans="1:1" x14ac:dyDescent="0.25">
      <c r="A574" t="s">
        <v>4741</v>
      </c>
    </row>
    <row r="575" spans="1:1" x14ac:dyDescent="0.25">
      <c r="A575" t="s">
        <v>4743</v>
      </c>
    </row>
    <row r="576" spans="1:1" x14ac:dyDescent="0.25">
      <c r="A576" t="s">
        <v>2277</v>
      </c>
    </row>
    <row r="577" spans="1:1" x14ac:dyDescent="0.25">
      <c r="A577" t="s">
        <v>3149</v>
      </c>
    </row>
    <row r="578" spans="1:1" x14ac:dyDescent="0.25">
      <c r="A578" t="s">
        <v>3151</v>
      </c>
    </row>
    <row r="579" spans="1:1" x14ac:dyDescent="0.25">
      <c r="A579" t="s">
        <v>3153</v>
      </c>
    </row>
    <row r="580" spans="1:1" x14ac:dyDescent="0.25">
      <c r="A580" t="s">
        <v>10355</v>
      </c>
    </row>
    <row r="581" spans="1:1" x14ac:dyDescent="0.25">
      <c r="A581" t="s">
        <v>10635</v>
      </c>
    </row>
    <row r="582" spans="1:1" x14ac:dyDescent="0.25">
      <c r="A582" t="s">
        <v>1160</v>
      </c>
    </row>
    <row r="583" spans="1:1" x14ac:dyDescent="0.25">
      <c r="A583" t="s">
        <v>1162</v>
      </c>
    </row>
    <row r="584" spans="1:1" x14ac:dyDescent="0.25">
      <c r="A584" t="s">
        <v>4391</v>
      </c>
    </row>
    <row r="585" spans="1:1" x14ac:dyDescent="0.25">
      <c r="A585" t="s">
        <v>4392</v>
      </c>
    </row>
    <row r="586" spans="1:1" x14ac:dyDescent="0.25">
      <c r="A586" t="s">
        <v>4393</v>
      </c>
    </row>
    <row r="587" spans="1:1" x14ac:dyDescent="0.25">
      <c r="A587" t="s">
        <v>10827</v>
      </c>
    </row>
    <row r="588" spans="1:1" x14ac:dyDescent="0.25">
      <c r="A588" t="s">
        <v>10828</v>
      </c>
    </row>
    <row r="589" spans="1:1" x14ac:dyDescent="0.25">
      <c r="A589" t="s">
        <v>10829</v>
      </c>
    </row>
    <row r="590" spans="1:1" x14ac:dyDescent="0.25">
      <c r="A590" t="s">
        <v>10830</v>
      </c>
    </row>
    <row r="591" spans="1:1" x14ac:dyDescent="0.25">
      <c r="A591" t="s">
        <v>10831</v>
      </c>
    </row>
    <row r="592" spans="1:1" x14ac:dyDescent="0.25">
      <c r="A592" t="s">
        <v>10832</v>
      </c>
    </row>
    <row r="593" spans="1:1" x14ac:dyDescent="0.25">
      <c r="A593" t="s">
        <v>10833</v>
      </c>
    </row>
    <row r="594" spans="1:1" x14ac:dyDescent="0.25">
      <c r="A594" t="s">
        <v>10834</v>
      </c>
    </row>
    <row r="595" spans="1:1" x14ac:dyDescent="0.25">
      <c r="A595" t="s">
        <v>10835</v>
      </c>
    </row>
    <row r="596" spans="1:1" x14ac:dyDescent="0.25">
      <c r="A596" t="s">
        <v>10836</v>
      </c>
    </row>
    <row r="597" spans="1:1" x14ac:dyDescent="0.25">
      <c r="A597" t="s">
        <v>10837</v>
      </c>
    </row>
    <row r="598" spans="1:1" x14ac:dyDescent="0.25">
      <c r="A598" t="s">
        <v>10838</v>
      </c>
    </row>
    <row r="599" spans="1:1" x14ac:dyDescent="0.25">
      <c r="A599" t="s">
        <v>10839</v>
      </c>
    </row>
    <row r="600" spans="1:1" x14ac:dyDescent="0.25">
      <c r="A600" t="s">
        <v>10840</v>
      </c>
    </row>
    <row r="601" spans="1:1" x14ac:dyDescent="0.25">
      <c r="A601" t="s">
        <v>10841</v>
      </c>
    </row>
    <row r="602" spans="1:1" x14ac:dyDescent="0.25">
      <c r="A602" t="s">
        <v>10842</v>
      </c>
    </row>
    <row r="603" spans="1:1" x14ac:dyDescent="0.25">
      <c r="A603" t="s">
        <v>10843</v>
      </c>
    </row>
    <row r="604" spans="1:1" x14ac:dyDescent="0.25">
      <c r="A604" t="s">
        <v>10844</v>
      </c>
    </row>
    <row r="605" spans="1:1" x14ac:dyDescent="0.25">
      <c r="A605" t="s">
        <v>10845</v>
      </c>
    </row>
    <row r="606" spans="1:1" x14ac:dyDescent="0.25">
      <c r="A606" t="s">
        <v>10846</v>
      </c>
    </row>
    <row r="607" spans="1:1" x14ac:dyDescent="0.25">
      <c r="A607" t="s">
        <v>10847</v>
      </c>
    </row>
    <row r="608" spans="1:1" x14ac:dyDescent="0.25">
      <c r="A608" t="s">
        <v>10507</v>
      </c>
    </row>
    <row r="609" spans="1:1" x14ac:dyDescent="0.25">
      <c r="A609" t="s">
        <v>380</v>
      </c>
    </row>
    <row r="610" spans="1:1" x14ac:dyDescent="0.25">
      <c r="A610" t="s">
        <v>378</v>
      </c>
    </row>
    <row r="611" spans="1:1" x14ac:dyDescent="0.25">
      <c r="A611" t="s">
        <v>382</v>
      </c>
    </row>
    <row r="612" spans="1:1" x14ac:dyDescent="0.25">
      <c r="A612" t="s">
        <v>4615</v>
      </c>
    </row>
    <row r="613" spans="1:1" x14ac:dyDescent="0.25">
      <c r="A613" t="s">
        <v>4616</v>
      </c>
    </row>
    <row r="614" spans="1:1" x14ac:dyDescent="0.25">
      <c r="A614" t="s">
        <v>10070</v>
      </c>
    </row>
    <row r="615" spans="1:1" x14ac:dyDescent="0.25">
      <c r="A615" t="s">
        <v>10071</v>
      </c>
    </row>
    <row r="616" spans="1:1" x14ac:dyDescent="0.25">
      <c r="A616" t="s">
        <v>10072</v>
      </c>
    </row>
    <row r="617" spans="1:1" x14ac:dyDescent="0.25">
      <c r="A617" t="s">
        <v>10073</v>
      </c>
    </row>
    <row r="618" spans="1:1" x14ac:dyDescent="0.25">
      <c r="A618" t="s">
        <v>10074</v>
      </c>
    </row>
    <row r="619" spans="1:1" x14ac:dyDescent="0.25">
      <c r="A619" t="s">
        <v>10075</v>
      </c>
    </row>
    <row r="620" spans="1:1" x14ac:dyDescent="0.25">
      <c r="A620" t="s">
        <v>10076</v>
      </c>
    </row>
    <row r="621" spans="1:1" x14ac:dyDescent="0.25">
      <c r="A621" t="s">
        <v>10077</v>
      </c>
    </row>
    <row r="622" spans="1:1" x14ac:dyDescent="0.25">
      <c r="A622" t="s">
        <v>10080</v>
      </c>
    </row>
    <row r="623" spans="1:1" x14ac:dyDescent="0.25">
      <c r="A623" t="s">
        <v>10391</v>
      </c>
    </row>
    <row r="624" spans="1:1" x14ac:dyDescent="0.25">
      <c r="A624" t="s">
        <v>10086</v>
      </c>
    </row>
    <row r="625" spans="1:1" x14ac:dyDescent="0.25">
      <c r="A625" t="s">
        <v>9908</v>
      </c>
    </row>
    <row r="626" spans="1:1" x14ac:dyDescent="0.25">
      <c r="A626" t="s">
        <v>9909</v>
      </c>
    </row>
    <row r="627" spans="1:1" x14ac:dyDescent="0.25">
      <c r="A627" t="s">
        <v>9910</v>
      </c>
    </row>
    <row r="628" spans="1:1" x14ac:dyDescent="0.25">
      <c r="A628" t="s">
        <v>9920</v>
      </c>
    </row>
    <row r="629" spans="1:1" x14ac:dyDescent="0.25">
      <c r="A629" t="s">
        <v>9915</v>
      </c>
    </row>
    <row r="630" spans="1:1" x14ac:dyDescent="0.25">
      <c r="A630" t="s">
        <v>9916</v>
      </c>
    </row>
    <row r="631" spans="1:1" x14ac:dyDescent="0.25">
      <c r="A631" t="s">
        <v>9917</v>
      </c>
    </row>
    <row r="632" spans="1:1" x14ac:dyDescent="0.25">
      <c r="A632" t="s">
        <v>10091</v>
      </c>
    </row>
    <row r="633" spans="1:1" x14ac:dyDescent="0.25">
      <c r="A633" t="s">
        <v>10090</v>
      </c>
    </row>
    <row r="634" spans="1:1" x14ac:dyDescent="0.25">
      <c r="A634" t="s">
        <v>10088</v>
      </c>
    </row>
    <row r="635" spans="1:1" x14ac:dyDescent="0.25">
      <c r="A635" t="s">
        <v>10092</v>
      </c>
    </row>
    <row r="636" spans="1:1" x14ac:dyDescent="0.25">
      <c r="A636" t="s">
        <v>10093</v>
      </c>
    </row>
    <row r="637" spans="1:1" x14ac:dyDescent="0.25">
      <c r="A637" t="s">
        <v>10094</v>
      </c>
    </row>
    <row r="638" spans="1:1" x14ac:dyDescent="0.25">
      <c r="A638" t="s">
        <v>10095</v>
      </c>
    </row>
    <row r="639" spans="1:1" x14ac:dyDescent="0.25">
      <c r="A639" t="s">
        <v>10096</v>
      </c>
    </row>
    <row r="640" spans="1:1" x14ac:dyDescent="0.25">
      <c r="A640" t="s">
        <v>10097</v>
      </c>
    </row>
    <row r="641" spans="1:1" x14ac:dyDescent="0.25">
      <c r="A641" t="s">
        <v>10098</v>
      </c>
    </row>
    <row r="642" spans="1:1" x14ac:dyDescent="0.25">
      <c r="A642" t="s">
        <v>10099</v>
      </c>
    </row>
    <row r="643" spans="1:1" x14ac:dyDescent="0.25">
      <c r="A643" t="s">
        <v>10100</v>
      </c>
    </row>
    <row r="644" spans="1:1" x14ac:dyDescent="0.25">
      <c r="A644" t="s">
        <v>10068</v>
      </c>
    </row>
    <row r="645" spans="1:1" x14ac:dyDescent="0.25">
      <c r="A645" t="s">
        <v>10078</v>
      </c>
    </row>
    <row r="646" spans="1:1" x14ac:dyDescent="0.25">
      <c r="A646" t="s">
        <v>10079</v>
      </c>
    </row>
    <row r="647" spans="1:1" x14ac:dyDescent="0.25">
      <c r="A647" t="s">
        <v>10158</v>
      </c>
    </row>
    <row r="648" spans="1:1" x14ac:dyDescent="0.25">
      <c r="A648" t="s">
        <v>247</v>
      </c>
    </row>
    <row r="649" spans="1:1" x14ac:dyDescent="0.25">
      <c r="A649" t="s">
        <v>250</v>
      </c>
    </row>
    <row r="650" spans="1:1" x14ac:dyDescent="0.25">
      <c r="A650" t="s">
        <v>3553</v>
      </c>
    </row>
    <row r="651" spans="1:1" x14ac:dyDescent="0.25">
      <c r="A651" t="s">
        <v>574</v>
      </c>
    </row>
    <row r="652" spans="1:1" x14ac:dyDescent="0.25">
      <c r="A652" t="s">
        <v>576</v>
      </c>
    </row>
    <row r="653" spans="1:1" x14ac:dyDescent="0.25">
      <c r="A653" t="s">
        <v>532</v>
      </c>
    </row>
    <row r="654" spans="1:1" x14ac:dyDescent="0.25">
      <c r="A654" t="s">
        <v>534</v>
      </c>
    </row>
    <row r="655" spans="1:1" x14ac:dyDescent="0.25">
      <c r="A655" t="s">
        <v>536</v>
      </c>
    </row>
    <row r="656" spans="1:1" x14ac:dyDescent="0.25">
      <c r="A656" t="s">
        <v>538</v>
      </c>
    </row>
    <row r="657" spans="1:1" x14ac:dyDescent="0.25">
      <c r="A657" t="s">
        <v>540</v>
      </c>
    </row>
    <row r="658" spans="1:1" x14ac:dyDescent="0.25">
      <c r="A658" t="s">
        <v>542</v>
      </c>
    </row>
    <row r="659" spans="1:1" x14ac:dyDescent="0.25">
      <c r="A659" t="s">
        <v>578</v>
      </c>
    </row>
    <row r="660" spans="1:1" x14ac:dyDescent="0.25">
      <c r="A660" t="s">
        <v>580</v>
      </c>
    </row>
    <row r="661" spans="1:1" x14ac:dyDescent="0.25">
      <c r="A661" t="s">
        <v>582</v>
      </c>
    </row>
    <row r="662" spans="1:1" x14ac:dyDescent="0.25">
      <c r="A662" t="s">
        <v>584</v>
      </c>
    </row>
    <row r="663" spans="1:1" x14ac:dyDescent="0.25">
      <c r="A663" t="s">
        <v>3594</v>
      </c>
    </row>
    <row r="664" spans="1:1" x14ac:dyDescent="0.25">
      <c r="A664" t="s">
        <v>3595</v>
      </c>
    </row>
    <row r="665" spans="1:1" x14ac:dyDescent="0.25">
      <c r="A665" t="s">
        <v>588</v>
      </c>
    </row>
    <row r="666" spans="1:1" x14ac:dyDescent="0.25">
      <c r="A666" t="s">
        <v>590</v>
      </c>
    </row>
    <row r="667" spans="1:1" x14ac:dyDescent="0.25">
      <c r="A667" t="s">
        <v>1635</v>
      </c>
    </row>
    <row r="668" spans="1:1" x14ac:dyDescent="0.25">
      <c r="A668" t="s">
        <v>3456</v>
      </c>
    </row>
    <row r="669" spans="1:1" x14ac:dyDescent="0.25">
      <c r="A669" t="s">
        <v>690</v>
      </c>
    </row>
    <row r="670" spans="1:1" x14ac:dyDescent="0.25">
      <c r="A670" t="s">
        <v>1335</v>
      </c>
    </row>
    <row r="671" spans="1:1" x14ac:dyDescent="0.25">
      <c r="A671" t="s">
        <v>1773</v>
      </c>
    </row>
    <row r="672" spans="1:1" x14ac:dyDescent="0.25">
      <c r="A672" t="s">
        <v>3506</v>
      </c>
    </row>
    <row r="673" spans="1:1" x14ac:dyDescent="0.25">
      <c r="A673" t="s">
        <v>1316</v>
      </c>
    </row>
    <row r="674" spans="1:1" x14ac:dyDescent="0.25">
      <c r="A674" t="s">
        <v>10063</v>
      </c>
    </row>
    <row r="675" spans="1:1" x14ac:dyDescent="0.25">
      <c r="A675" t="s">
        <v>10595</v>
      </c>
    </row>
    <row r="676" spans="1:1" x14ac:dyDescent="0.25">
      <c r="A676" t="s">
        <v>10597</v>
      </c>
    </row>
    <row r="677" spans="1:1" x14ac:dyDescent="0.25">
      <c r="A677" t="s">
        <v>10596</v>
      </c>
    </row>
    <row r="678" spans="1:1" x14ac:dyDescent="0.25">
      <c r="A678" t="s">
        <v>10598</v>
      </c>
    </row>
    <row r="679" spans="1:1" x14ac:dyDescent="0.25">
      <c r="A679" t="s">
        <v>2982</v>
      </c>
    </row>
    <row r="680" spans="1:1" x14ac:dyDescent="0.25">
      <c r="A680" t="s">
        <v>2984</v>
      </c>
    </row>
    <row r="681" spans="1:1" x14ac:dyDescent="0.25">
      <c r="A681" t="s">
        <v>3120</v>
      </c>
    </row>
    <row r="682" spans="1:1" x14ac:dyDescent="0.25">
      <c r="A682" t="s">
        <v>3122</v>
      </c>
    </row>
    <row r="683" spans="1:1" x14ac:dyDescent="0.25">
      <c r="A683" t="s">
        <v>3312</v>
      </c>
    </row>
    <row r="684" spans="1:1" x14ac:dyDescent="0.25">
      <c r="A684" t="s">
        <v>3432</v>
      </c>
    </row>
    <row r="685" spans="1:1" x14ac:dyDescent="0.25">
      <c r="A685" t="s">
        <v>3434</v>
      </c>
    </row>
    <row r="686" spans="1:1" x14ac:dyDescent="0.25">
      <c r="A686" t="s">
        <v>3436</v>
      </c>
    </row>
    <row r="687" spans="1:1" x14ac:dyDescent="0.25">
      <c r="A687" t="s">
        <v>3438</v>
      </c>
    </row>
    <row r="688" spans="1:1" x14ac:dyDescent="0.25">
      <c r="A688" t="s">
        <v>3440</v>
      </c>
    </row>
    <row r="689" spans="1:1" x14ac:dyDescent="0.25">
      <c r="A689" t="s">
        <v>3442</v>
      </c>
    </row>
    <row r="690" spans="1:1" x14ac:dyDescent="0.25">
      <c r="A690" t="s">
        <v>3446</v>
      </c>
    </row>
    <row r="691" spans="1:1" x14ac:dyDescent="0.25">
      <c r="A691" t="s">
        <v>3448</v>
      </c>
    </row>
    <row r="692" spans="1:1" x14ac:dyDescent="0.25">
      <c r="A692" t="s">
        <v>3450</v>
      </c>
    </row>
    <row r="693" spans="1:1" x14ac:dyDescent="0.25">
      <c r="A693" t="s">
        <v>3452</v>
      </c>
    </row>
    <row r="694" spans="1:1" x14ac:dyDescent="0.25">
      <c r="A694" t="s">
        <v>3454</v>
      </c>
    </row>
    <row r="695" spans="1:1" x14ac:dyDescent="0.25">
      <c r="A695" t="s">
        <v>3444</v>
      </c>
    </row>
    <row r="696" spans="1:1" x14ac:dyDescent="0.25">
      <c r="A696" t="s">
        <v>3237</v>
      </c>
    </row>
    <row r="697" spans="1:1" x14ac:dyDescent="0.25">
      <c r="A697" t="s">
        <v>10532</v>
      </c>
    </row>
    <row r="698" spans="1:1" x14ac:dyDescent="0.25">
      <c r="A698" t="s">
        <v>2838</v>
      </c>
    </row>
    <row r="699" spans="1:1" x14ac:dyDescent="0.25">
      <c r="A699" t="s">
        <v>2840</v>
      </c>
    </row>
    <row r="700" spans="1:1" x14ac:dyDescent="0.25">
      <c r="A700" t="s">
        <v>2842</v>
      </c>
    </row>
    <row r="701" spans="1:1" x14ac:dyDescent="0.25">
      <c r="A701" t="s">
        <v>3600</v>
      </c>
    </row>
    <row r="702" spans="1:1" x14ac:dyDescent="0.25">
      <c r="A702" t="s">
        <v>669</v>
      </c>
    </row>
    <row r="703" spans="1:1" x14ac:dyDescent="0.25">
      <c r="A703" t="s">
        <v>671</v>
      </c>
    </row>
    <row r="704" spans="1:1" x14ac:dyDescent="0.25">
      <c r="A704" t="s">
        <v>3603</v>
      </c>
    </row>
    <row r="705" spans="1:1" x14ac:dyDescent="0.25">
      <c r="A705" t="s">
        <v>675</v>
      </c>
    </row>
    <row r="706" spans="1:1" x14ac:dyDescent="0.25">
      <c r="A706" t="s">
        <v>677</v>
      </c>
    </row>
    <row r="707" spans="1:1" x14ac:dyDescent="0.25">
      <c r="A707" t="s">
        <v>679</v>
      </c>
    </row>
    <row r="708" spans="1:1" x14ac:dyDescent="0.25">
      <c r="A708" t="s">
        <v>681</v>
      </c>
    </row>
    <row r="709" spans="1:1" x14ac:dyDescent="0.25">
      <c r="A709" t="s">
        <v>683</v>
      </c>
    </row>
    <row r="710" spans="1:1" x14ac:dyDescent="0.25">
      <c r="A710" t="s">
        <v>664</v>
      </c>
    </row>
    <row r="711" spans="1:1" x14ac:dyDescent="0.25">
      <c r="A711" t="s">
        <v>3601</v>
      </c>
    </row>
    <row r="712" spans="1:1" x14ac:dyDescent="0.25">
      <c r="A712" t="s">
        <v>3602</v>
      </c>
    </row>
    <row r="713" spans="1:1" x14ac:dyDescent="0.25">
      <c r="A713" t="s">
        <v>10848</v>
      </c>
    </row>
    <row r="714" spans="1:1" x14ac:dyDescent="0.25">
      <c r="A714" t="s">
        <v>10849</v>
      </c>
    </row>
    <row r="715" spans="1:1" x14ac:dyDescent="0.25">
      <c r="A715" t="s">
        <v>10850</v>
      </c>
    </row>
    <row r="716" spans="1:1" x14ac:dyDescent="0.25">
      <c r="A716" t="s">
        <v>685</v>
      </c>
    </row>
    <row r="717" spans="1:1" x14ac:dyDescent="0.25">
      <c r="A717" t="s">
        <v>3604</v>
      </c>
    </row>
    <row r="718" spans="1:1" x14ac:dyDescent="0.25">
      <c r="A718" t="s">
        <v>10646</v>
      </c>
    </row>
    <row r="719" spans="1:1" x14ac:dyDescent="0.25">
      <c r="A719" t="s">
        <v>725</v>
      </c>
    </row>
    <row r="720" spans="1:1" x14ac:dyDescent="0.25">
      <c r="A720" t="s">
        <v>4456</v>
      </c>
    </row>
    <row r="721" spans="1:1" x14ac:dyDescent="0.25">
      <c r="A721" t="s">
        <v>4457</v>
      </c>
    </row>
    <row r="722" spans="1:1" x14ac:dyDescent="0.25">
      <c r="A722" t="s">
        <v>10392</v>
      </c>
    </row>
    <row r="723" spans="1:1" x14ac:dyDescent="0.25">
      <c r="A723" t="s">
        <v>1218</v>
      </c>
    </row>
    <row r="724" spans="1:1" x14ac:dyDescent="0.25">
      <c r="A724" t="s">
        <v>1220</v>
      </c>
    </row>
    <row r="725" spans="1:1" x14ac:dyDescent="0.25">
      <c r="A725" t="s">
        <v>10565</v>
      </c>
    </row>
    <row r="726" spans="1:1" x14ac:dyDescent="0.25">
      <c r="A726" t="s">
        <v>9907</v>
      </c>
    </row>
    <row r="727" spans="1:1" x14ac:dyDescent="0.25">
      <c r="A727" t="s">
        <v>3691</v>
      </c>
    </row>
    <row r="728" spans="1:1" x14ac:dyDescent="0.25">
      <c r="A728" t="s">
        <v>6304</v>
      </c>
    </row>
    <row r="729" spans="1:1" x14ac:dyDescent="0.25">
      <c r="A729" t="s">
        <v>10585</v>
      </c>
    </row>
    <row r="730" spans="1:1" x14ac:dyDescent="0.25">
      <c r="A730" t="s">
        <v>10706</v>
      </c>
    </row>
    <row r="731" spans="1:1" x14ac:dyDescent="0.25">
      <c r="A731" t="s">
        <v>1028</v>
      </c>
    </row>
    <row r="732" spans="1:1" x14ac:dyDescent="0.25">
      <c r="A732" t="s">
        <v>2241</v>
      </c>
    </row>
    <row r="733" spans="1:1" x14ac:dyDescent="0.25">
      <c r="A733" t="s">
        <v>3794</v>
      </c>
    </row>
    <row r="734" spans="1:1" x14ac:dyDescent="0.25">
      <c r="A734" t="s">
        <v>2243</v>
      </c>
    </row>
    <row r="735" spans="1:1" x14ac:dyDescent="0.25">
      <c r="A735" t="s">
        <v>2245</v>
      </c>
    </row>
    <row r="736" spans="1:1" x14ac:dyDescent="0.25">
      <c r="A736" t="s">
        <v>2249</v>
      </c>
    </row>
    <row r="737" spans="1:1" x14ac:dyDescent="0.25">
      <c r="A737" t="s">
        <v>3795</v>
      </c>
    </row>
    <row r="738" spans="1:1" x14ac:dyDescent="0.25">
      <c r="A738" t="s">
        <v>10851</v>
      </c>
    </row>
    <row r="739" spans="1:1" x14ac:dyDescent="0.25">
      <c r="A739" t="s">
        <v>10852</v>
      </c>
    </row>
    <row r="740" spans="1:1" x14ac:dyDescent="0.25">
      <c r="A740" t="s">
        <v>10853</v>
      </c>
    </row>
    <row r="741" spans="1:1" x14ac:dyDescent="0.25">
      <c r="A741" t="s">
        <v>3797</v>
      </c>
    </row>
    <row r="742" spans="1:1" x14ac:dyDescent="0.25">
      <c r="A742" t="s">
        <v>2270</v>
      </c>
    </row>
    <row r="743" spans="1:1" x14ac:dyDescent="0.25">
      <c r="A743" t="s">
        <v>2273</v>
      </c>
    </row>
    <row r="744" spans="1:1" x14ac:dyDescent="0.25">
      <c r="A744" t="s">
        <v>10606</v>
      </c>
    </row>
    <row r="745" spans="1:1" x14ac:dyDescent="0.25">
      <c r="A745" t="s">
        <v>2372</v>
      </c>
    </row>
    <row r="746" spans="1:1" x14ac:dyDescent="0.25">
      <c r="A746" t="s">
        <v>2368</v>
      </c>
    </row>
    <row r="747" spans="1:1" x14ac:dyDescent="0.25">
      <c r="A747" t="s">
        <v>2370</v>
      </c>
    </row>
    <row r="748" spans="1:1" x14ac:dyDescent="0.25">
      <c r="A748" t="s">
        <v>3820</v>
      </c>
    </row>
    <row r="749" spans="1:1" x14ac:dyDescent="0.25">
      <c r="A749" t="s">
        <v>3866</v>
      </c>
    </row>
    <row r="750" spans="1:1" x14ac:dyDescent="0.25">
      <c r="A750" t="s">
        <v>3892</v>
      </c>
    </row>
    <row r="751" spans="1:1" x14ac:dyDescent="0.25">
      <c r="A751" t="s">
        <v>3029</v>
      </c>
    </row>
    <row r="752" spans="1:1" x14ac:dyDescent="0.25">
      <c r="A752" t="s">
        <v>10854</v>
      </c>
    </row>
    <row r="753" spans="1:1" x14ac:dyDescent="0.25">
      <c r="A753" t="s">
        <v>10855</v>
      </c>
    </row>
    <row r="754" spans="1:1" x14ac:dyDescent="0.25">
      <c r="A754" t="s">
        <v>10856</v>
      </c>
    </row>
    <row r="755" spans="1:1" x14ac:dyDescent="0.25">
      <c r="A755" t="s">
        <v>2911</v>
      </c>
    </row>
    <row r="756" spans="1:1" x14ac:dyDescent="0.25">
      <c r="A756" t="s">
        <v>4419</v>
      </c>
    </row>
    <row r="757" spans="1:1" x14ac:dyDescent="0.25">
      <c r="A757" t="s">
        <v>10081</v>
      </c>
    </row>
    <row r="758" spans="1:1" x14ac:dyDescent="0.25">
      <c r="A758" t="s">
        <v>3316</v>
      </c>
    </row>
    <row r="759" spans="1:1" x14ac:dyDescent="0.25">
      <c r="A759" t="s">
        <v>3241</v>
      </c>
    </row>
    <row r="760" spans="1:1" x14ac:dyDescent="0.25">
      <c r="A760" t="s">
        <v>3342</v>
      </c>
    </row>
    <row r="761" spans="1:1" x14ac:dyDescent="0.25">
      <c r="A761" t="s">
        <v>3372</v>
      </c>
    </row>
    <row r="762" spans="1:1" x14ac:dyDescent="0.25">
      <c r="A762" t="s">
        <v>3374</v>
      </c>
    </row>
    <row r="763" spans="1:1" x14ac:dyDescent="0.25">
      <c r="A763" t="s">
        <v>10334</v>
      </c>
    </row>
    <row r="764" spans="1:1" x14ac:dyDescent="0.25">
      <c r="A764" t="s">
        <v>10335</v>
      </c>
    </row>
    <row r="765" spans="1:1" x14ac:dyDescent="0.25">
      <c r="A765" t="s">
        <v>3485</v>
      </c>
    </row>
    <row r="766" spans="1:1" x14ac:dyDescent="0.25">
      <c r="A766" t="s">
        <v>3487</v>
      </c>
    </row>
    <row r="767" spans="1:1" x14ac:dyDescent="0.25">
      <c r="A767" t="s">
        <v>3489</v>
      </c>
    </row>
    <row r="768" spans="1:1" x14ac:dyDescent="0.25">
      <c r="A768" t="s">
        <v>3491</v>
      </c>
    </row>
    <row r="769" spans="1:1" x14ac:dyDescent="0.25">
      <c r="A769" t="s">
        <v>345</v>
      </c>
    </row>
    <row r="770" spans="1:1" x14ac:dyDescent="0.25">
      <c r="A770" t="s">
        <v>1314</v>
      </c>
    </row>
    <row r="771" spans="1:1" x14ac:dyDescent="0.25">
      <c r="A771" t="s">
        <v>1671</v>
      </c>
    </row>
    <row r="772" spans="1:1" x14ac:dyDescent="0.25">
      <c r="A772" t="s">
        <v>1699</v>
      </c>
    </row>
    <row r="773" spans="1:1" x14ac:dyDescent="0.25">
      <c r="A773" t="s">
        <v>4029</v>
      </c>
    </row>
    <row r="774" spans="1:1" x14ac:dyDescent="0.25">
      <c r="A774" t="s">
        <v>4028</v>
      </c>
    </row>
    <row r="775" spans="1:1" x14ac:dyDescent="0.25">
      <c r="A775" t="s">
        <v>3894</v>
      </c>
    </row>
    <row r="776" spans="1:1" x14ac:dyDescent="0.25">
      <c r="A776" t="s">
        <v>3318</v>
      </c>
    </row>
    <row r="777" spans="1:1" x14ac:dyDescent="0.25">
      <c r="A777" t="s">
        <v>1516</v>
      </c>
    </row>
    <row r="778" spans="1:1" x14ac:dyDescent="0.25">
      <c r="A778" t="s">
        <v>1518</v>
      </c>
    </row>
    <row r="779" spans="1:1" x14ac:dyDescent="0.25">
      <c r="A779" t="s">
        <v>825</v>
      </c>
    </row>
    <row r="780" spans="1:1" x14ac:dyDescent="0.25">
      <c r="A780" t="s">
        <v>178</v>
      </c>
    </row>
    <row r="781" spans="1:1" x14ac:dyDescent="0.25">
      <c r="A781" t="s">
        <v>829</v>
      </c>
    </row>
    <row r="782" spans="1:1" x14ac:dyDescent="0.25">
      <c r="A782" t="s">
        <v>10633</v>
      </c>
    </row>
    <row r="783" spans="1:1" x14ac:dyDescent="0.25">
      <c r="A783" t="s">
        <v>3593</v>
      </c>
    </row>
    <row r="784" spans="1:1" x14ac:dyDescent="0.25">
      <c r="A784" t="s">
        <v>1932</v>
      </c>
    </row>
    <row r="785" spans="1:1" x14ac:dyDescent="0.25">
      <c r="A785" t="s">
        <v>10631</v>
      </c>
    </row>
    <row r="786" spans="1:1" x14ac:dyDescent="0.25">
      <c r="A786" t="s">
        <v>2470</v>
      </c>
    </row>
    <row r="787" spans="1:1" x14ac:dyDescent="0.25">
      <c r="A787" t="s">
        <v>1944</v>
      </c>
    </row>
    <row r="788" spans="1:1" x14ac:dyDescent="0.25">
      <c r="A788" t="s">
        <v>1946</v>
      </c>
    </row>
    <row r="789" spans="1:1" x14ac:dyDescent="0.25">
      <c r="A789" t="s">
        <v>10571</v>
      </c>
    </row>
    <row r="790" spans="1:1" x14ac:dyDescent="0.25">
      <c r="A790" t="s">
        <v>10572</v>
      </c>
    </row>
    <row r="791" spans="1:1" x14ac:dyDescent="0.25">
      <c r="A791" t="s">
        <v>1000</v>
      </c>
    </row>
    <row r="792" spans="1:1" x14ac:dyDescent="0.25">
      <c r="A792" t="s">
        <v>9749</v>
      </c>
    </row>
    <row r="793" spans="1:1" x14ac:dyDescent="0.25">
      <c r="A793" t="s">
        <v>2104</v>
      </c>
    </row>
    <row r="794" spans="1:1" x14ac:dyDescent="0.25">
      <c r="A794" t="s">
        <v>2116</v>
      </c>
    </row>
    <row r="795" spans="1:1" x14ac:dyDescent="0.25">
      <c r="A795" t="s">
        <v>10857</v>
      </c>
    </row>
    <row r="796" spans="1:1" x14ac:dyDescent="0.25">
      <c r="A796" t="s">
        <v>10858</v>
      </c>
    </row>
    <row r="797" spans="1:1" x14ac:dyDescent="0.25">
      <c r="A797" t="s">
        <v>10859</v>
      </c>
    </row>
    <row r="798" spans="1:1" x14ac:dyDescent="0.25">
      <c r="A798" t="s">
        <v>10860</v>
      </c>
    </row>
    <row r="799" spans="1:1" x14ac:dyDescent="0.25">
      <c r="A799" t="s">
        <v>10861</v>
      </c>
    </row>
    <row r="800" spans="1:1" x14ac:dyDescent="0.25">
      <c r="A800" t="s">
        <v>10862</v>
      </c>
    </row>
    <row r="801" spans="1:1" x14ac:dyDescent="0.25">
      <c r="A801" t="s">
        <v>10863</v>
      </c>
    </row>
    <row r="802" spans="1:1" x14ac:dyDescent="0.25">
      <c r="A802" t="s">
        <v>10864</v>
      </c>
    </row>
    <row r="803" spans="1:1" x14ac:dyDescent="0.25">
      <c r="A803" t="s">
        <v>10865</v>
      </c>
    </row>
    <row r="804" spans="1:1" x14ac:dyDescent="0.25">
      <c r="A804" t="s">
        <v>10866</v>
      </c>
    </row>
    <row r="805" spans="1:1" x14ac:dyDescent="0.25">
      <c r="A805" t="s">
        <v>10867</v>
      </c>
    </row>
    <row r="806" spans="1:1" x14ac:dyDescent="0.25">
      <c r="A806" t="s">
        <v>10868</v>
      </c>
    </row>
    <row r="807" spans="1:1" x14ac:dyDescent="0.25">
      <c r="A807" t="s">
        <v>10869</v>
      </c>
    </row>
    <row r="808" spans="1:1" x14ac:dyDescent="0.25">
      <c r="A808" t="s">
        <v>10870</v>
      </c>
    </row>
    <row r="809" spans="1:1" x14ac:dyDescent="0.25">
      <c r="A809" t="s">
        <v>10871</v>
      </c>
    </row>
    <row r="810" spans="1:1" x14ac:dyDescent="0.25">
      <c r="A810" t="s">
        <v>10872</v>
      </c>
    </row>
    <row r="811" spans="1:1" x14ac:dyDescent="0.25">
      <c r="A811" t="s">
        <v>2263</v>
      </c>
    </row>
    <row r="812" spans="1:1" x14ac:dyDescent="0.25">
      <c r="A812" t="s">
        <v>10600</v>
      </c>
    </row>
    <row r="813" spans="1:1" x14ac:dyDescent="0.25">
      <c r="A813" t="s">
        <v>1030</v>
      </c>
    </row>
    <row r="814" spans="1:1" x14ac:dyDescent="0.25">
      <c r="A814" t="s">
        <v>3798</v>
      </c>
    </row>
    <row r="815" spans="1:1" x14ac:dyDescent="0.25">
      <c r="A815" t="s">
        <v>3802</v>
      </c>
    </row>
    <row r="816" spans="1:1" x14ac:dyDescent="0.25">
      <c r="A816" t="s">
        <v>1039</v>
      </c>
    </row>
    <row r="817" spans="1:1" x14ac:dyDescent="0.25">
      <c r="A817" t="s">
        <v>1041</v>
      </c>
    </row>
    <row r="818" spans="1:1" x14ac:dyDescent="0.25">
      <c r="A818" t="s">
        <v>2668</v>
      </c>
    </row>
    <row r="819" spans="1:1" x14ac:dyDescent="0.25">
      <c r="A819" t="s">
        <v>2670</v>
      </c>
    </row>
    <row r="820" spans="1:1" x14ac:dyDescent="0.25">
      <c r="A820" t="s">
        <v>1112</v>
      </c>
    </row>
    <row r="821" spans="1:1" x14ac:dyDescent="0.25">
      <c r="A821" t="s">
        <v>3873</v>
      </c>
    </row>
    <row r="822" spans="1:1" x14ac:dyDescent="0.25">
      <c r="A822" t="s">
        <v>1988</v>
      </c>
    </row>
    <row r="823" spans="1:1" x14ac:dyDescent="0.25">
      <c r="A823" t="s">
        <v>1990</v>
      </c>
    </row>
    <row r="824" spans="1:1" x14ac:dyDescent="0.25">
      <c r="A824" t="s">
        <v>10632</v>
      </c>
    </row>
    <row r="825" spans="1:1" x14ac:dyDescent="0.25">
      <c r="A825" t="s">
        <v>1126</v>
      </c>
    </row>
    <row r="826" spans="1:1" x14ac:dyDescent="0.25">
      <c r="A826" t="s">
        <v>2004</v>
      </c>
    </row>
    <row r="827" spans="1:1" x14ac:dyDescent="0.25">
      <c r="A827" t="s">
        <v>2006</v>
      </c>
    </row>
    <row r="828" spans="1:1" x14ac:dyDescent="0.25">
      <c r="A828" t="s">
        <v>1155</v>
      </c>
    </row>
    <row r="829" spans="1:1" x14ac:dyDescent="0.25">
      <c r="A829" t="s">
        <v>3272</v>
      </c>
    </row>
    <row r="830" spans="1:1" x14ac:dyDescent="0.25">
      <c r="A830" t="s">
        <v>3274</v>
      </c>
    </row>
    <row r="831" spans="1:1" x14ac:dyDescent="0.25">
      <c r="A831" t="s">
        <v>10873</v>
      </c>
    </row>
    <row r="832" spans="1:1" x14ac:dyDescent="0.25">
      <c r="A832" t="s">
        <v>10874</v>
      </c>
    </row>
    <row r="833" spans="1:1" x14ac:dyDescent="0.25">
      <c r="A833" t="s">
        <v>3924</v>
      </c>
    </row>
    <row r="834" spans="1:1" x14ac:dyDescent="0.25">
      <c r="A834" t="s">
        <v>10875</v>
      </c>
    </row>
    <row r="835" spans="1:1" x14ac:dyDescent="0.25">
      <c r="A835" t="s">
        <v>10876</v>
      </c>
    </row>
    <row r="836" spans="1:1" x14ac:dyDescent="0.25">
      <c r="A836" t="s">
        <v>10877</v>
      </c>
    </row>
    <row r="837" spans="1:1" x14ac:dyDescent="0.25">
      <c r="A837" t="s">
        <v>10878</v>
      </c>
    </row>
    <row r="838" spans="1:1" x14ac:dyDescent="0.25">
      <c r="A838" t="s">
        <v>10879</v>
      </c>
    </row>
    <row r="839" spans="1:1" x14ac:dyDescent="0.25">
      <c r="A839" t="s">
        <v>10880</v>
      </c>
    </row>
    <row r="840" spans="1:1" x14ac:dyDescent="0.25">
      <c r="A840" t="s">
        <v>10881</v>
      </c>
    </row>
    <row r="841" spans="1:1" x14ac:dyDescent="0.25">
      <c r="A841" t="s">
        <v>10882</v>
      </c>
    </row>
    <row r="842" spans="1:1" x14ac:dyDescent="0.25">
      <c r="A842" t="s">
        <v>10883</v>
      </c>
    </row>
    <row r="843" spans="1:1" x14ac:dyDescent="0.25">
      <c r="A843" t="s">
        <v>9881</v>
      </c>
    </row>
    <row r="844" spans="1:1" x14ac:dyDescent="0.25">
      <c r="A844" t="s">
        <v>9882</v>
      </c>
    </row>
    <row r="845" spans="1:1" x14ac:dyDescent="0.25">
      <c r="A845" t="s">
        <v>1384</v>
      </c>
    </row>
    <row r="846" spans="1:1" x14ac:dyDescent="0.25">
      <c r="A846" t="s">
        <v>1935</v>
      </c>
    </row>
    <row r="847" spans="1:1" x14ac:dyDescent="0.25">
      <c r="A847" t="s">
        <v>988</v>
      </c>
    </row>
    <row r="848" spans="1:1" x14ac:dyDescent="0.25">
      <c r="A848" t="s">
        <v>3745</v>
      </c>
    </row>
    <row r="849" spans="1:1" x14ac:dyDescent="0.25">
      <c r="A849" t="s">
        <v>3746</v>
      </c>
    </row>
    <row r="850" spans="1:1" x14ac:dyDescent="0.25">
      <c r="A850" t="s">
        <v>10736</v>
      </c>
    </row>
    <row r="851" spans="1:1" x14ac:dyDescent="0.25">
      <c r="A851" t="s">
        <v>4566</v>
      </c>
    </row>
    <row r="852" spans="1:1" x14ac:dyDescent="0.25">
      <c r="A852" t="s">
        <v>10737</v>
      </c>
    </row>
    <row r="853" spans="1:1" x14ac:dyDescent="0.25">
      <c r="A853" t="s">
        <v>1835</v>
      </c>
    </row>
    <row r="854" spans="1:1" x14ac:dyDescent="0.25">
      <c r="A854" t="s">
        <v>3749</v>
      </c>
    </row>
    <row r="855" spans="1:1" x14ac:dyDescent="0.25">
      <c r="A855" t="s">
        <v>3750</v>
      </c>
    </row>
    <row r="856" spans="1:1" x14ac:dyDescent="0.25">
      <c r="A856" t="s">
        <v>1022</v>
      </c>
    </row>
    <row r="857" spans="1:1" x14ac:dyDescent="0.25">
      <c r="A857" t="s">
        <v>3789</v>
      </c>
    </row>
    <row r="858" spans="1:1" x14ac:dyDescent="0.25">
      <c r="A858" t="s">
        <v>3790</v>
      </c>
    </row>
    <row r="859" spans="1:1" x14ac:dyDescent="0.25">
      <c r="A859" t="s">
        <v>10684</v>
      </c>
    </row>
    <row r="860" spans="1:1" x14ac:dyDescent="0.25">
      <c r="A860" t="s">
        <v>3821</v>
      </c>
    </row>
    <row r="861" spans="1:1" x14ac:dyDescent="0.25">
      <c r="A861" t="s">
        <v>3822</v>
      </c>
    </row>
    <row r="862" spans="1:1" x14ac:dyDescent="0.25">
      <c r="A862" t="s">
        <v>10734</v>
      </c>
    </row>
    <row r="863" spans="1:1" x14ac:dyDescent="0.25">
      <c r="A863" t="s">
        <v>10735</v>
      </c>
    </row>
    <row r="864" spans="1:1" x14ac:dyDescent="0.25">
      <c r="A864" t="s">
        <v>3823</v>
      </c>
    </row>
    <row r="865" spans="1:1" x14ac:dyDescent="0.25">
      <c r="A865" t="s">
        <v>2144</v>
      </c>
    </row>
    <row r="866" spans="1:1" x14ac:dyDescent="0.25">
      <c r="A866" t="s">
        <v>3824</v>
      </c>
    </row>
    <row r="867" spans="1:1" x14ac:dyDescent="0.25">
      <c r="A867" t="s">
        <v>4551</v>
      </c>
    </row>
    <row r="868" spans="1:1" x14ac:dyDescent="0.25">
      <c r="A868" t="s">
        <v>4551</v>
      </c>
    </row>
    <row r="869" spans="1:1" x14ac:dyDescent="0.25">
      <c r="A869" t="s">
        <v>4552</v>
      </c>
    </row>
    <row r="870" spans="1:1" x14ac:dyDescent="0.25">
      <c r="A870" t="s">
        <v>10719</v>
      </c>
    </row>
    <row r="871" spans="1:1" x14ac:dyDescent="0.25">
      <c r="A871" t="s">
        <v>10720</v>
      </c>
    </row>
    <row r="872" spans="1:1" x14ac:dyDescent="0.25">
      <c r="A872" t="s">
        <v>2146</v>
      </c>
    </row>
    <row r="873" spans="1:1" x14ac:dyDescent="0.25">
      <c r="A873" t="s">
        <v>4550</v>
      </c>
    </row>
    <row r="874" spans="1:1" x14ac:dyDescent="0.25">
      <c r="A874" t="s">
        <v>2585</v>
      </c>
    </row>
    <row r="875" spans="1:1" x14ac:dyDescent="0.25">
      <c r="A875" t="s">
        <v>2587</v>
      </c>
    </row>
    <row r="876" spans="1:1" x14ac:dyDescent="0.25">
      <c r="A876" t="s">
        <v>10884</v>
      </c>
    </row>
    <row r="877" spans="1:1" x14ac:dyDescent="0.25">
      <c r="A877" t="s">
        <v>10398</v>
      </c>
    </row>
    <row r="878" spans="1:1" x14ac:dyDescent="0.25">
      <c r="A878" t="s">
        <v>1108</v>
      </c>
    </row>
    <row r="879" spans="1:1" x14ac:dyDescent="0.25">
      <c r="A879" t="s">
        <v>1143</v>
      </c>
    </row>
    <row r="880" spans="1:1" x14ac:dyDescent="0.25">
      <c r="A880" t="s">
        <v>1145</v>
      </c>
    </row>
    <row r="881" spans="1:1" x14ac:dyDescent="0.25">
      <c r="A881" t="s">
        <v>4628</v>
      </c>
    </row>
    <row r="882" spans="1:1" x14ac:dyDescent="0.25">
      <c r="A882" t="s">
        <v>4629</v>
      </c>
    </row>
    <row r="883" spans="1:1" x14ac:dyDescent="0.25">
      <c r="A883" t="s">
        <v>4633</v>
      </c>
    </row>
    <row r="884" spans="1:1" x14ac:dyDescent="0.25">
      <c r="A884" t="s">
        <v>4630</v>
      </c>
    </row>
    <row r="885" spans="1:1" x14ac:dyDescent="0.25">
      <c r="A885" t="s">
        <v>4631</v>
      </c>
    </row>
    <row r="886" spans="1:1" x14ac:dyDescent="0.25">
      <c r="A886" t="s">
        <v>4632</v>
      </c>
    </row>
    <row r="887" spans="1:1" x14ac:dyDescent="0.25">
      <c r="A887" t="s">
        <v>3546</v>
      </c>
    </row>
    <row r="888" spans="1:1" x14ac:dyDescent="0.25">
      <c r="A888" t="s">
        <v>558</v>
      </c>
    </row>
    <row r="889" spans="1:1" x14ac:dyDescent="0.25">
      <c r="A889" t="s">
        <v>560</v>
      </c>
    </row>
    <row r="890" spans="1:1" x14ac:dyDescent="0.25">
      <c r="A890" t="s">
        <v>562</v>
      </c>
    </row>
    <row r="891" spans="1:1" x14ac:dyDescent="0.25">
      <c r="A891" t="s">
        <v>564</v>
      </c>
    </row>
    <row r="892" spans="1:1" x14ac:dyDescent="0.25">
      <c r="A892" t="s">
        <v>566</v>
      </c>
    </row>
    <row r="893" spans="1:1" x14ac:dyDescent="0.25">
      <c r="A893" t="s">
        <v>3547</v>
      </c>
    </row>
    <row r="894" spans="1:1" x14ac:dyDescent="0.25">
      <c r="A894" t="s">
        <v>4678</v>
      </c>
    </row>
    <row r="895" spans="1:1" x14ac:dyDescent="0.25">
      <c r="A895" t="s">
        <v>4679</v>
      </c>
    </row>
    <row r="896" spans="1:1" x14ac:dyDescent="0.25">
      <c r="A896" t="s">
        <v>3596</v>
      </c>
    </row>
    <row r="897" spans="1:1" x14ac:dyDescent="0.25">
      <c r="A897" t="s">
        <v>3597</v>
      </c>
    </row>
    <row r="898" spans="1:1" x14ac:dyDescent="0.25">
      <c r="A898" t="s">
        <v>744</v>
      </c>
    </row>
    <row r="899" spans="1:1" x14ac:dyDescent="0.25">
      <c r="A899" t="s">
        <v>746</v>
      </c>
    </row>
    <row r="900" spans="1:1" x14ac:dyDescent="0.25">
      <c r="A900" t="s">
        <v>748</v>
      </c>
    </row>
    <row r="901" spans="1:1" x14ac:dyDescent="0.25">
      <c r="A901" t="s">
        <v>3616</v>
      </c>
    </row>
    <row r="902" spans="1:1" x14ac:dyDescent="0.25">
      <c r="A902" t="s">
        <v>3617</v>
      </c>
    </row>
    <row r="903" spans="1:1" x14ac:dyDescent="0.25">
      <c r="A903" t="s">
        <v>3618</v>
      </c>
    </row>
    <row r="904" spans="1:1" x14ac:dyDescent="0.25">
      <c r="A904" t="s">
        <v>3619</v>
      </c>
    </row>
    <row r="905" spans="1:1" x14ac:dyDescent="0.25">
      <c r="A905" t="s">
        <v>4641</v>
      </c>
    </row>
    <row r="906" spans="1:1" x14ac:dyDescent="0.25">
      <c r="A906" t="s">
        <v>4642</v>
      </c>
    </row>
    <row r="907" spans="1:1" x14ac:dyDescent="0.25">
      <c r="A907" t="s">
        <v>4643</v>
      </c>
    </row>
    <row r="908" spans="1:1" x14ac:dyDescent="0.25">
      <c r="A908" t="s">
        <v>10885</v>
      </c>
    </row>
    <row r="909" spans="1:1" x14ac:dyDescent="0.25">
      <c r="A909" t="s">
        <v>10886</v>
      </c>
    </row>
    <row r="910" spans="1:1" x14ac:dyDescent="0.25">
      <c r="A910" t="s">
        <v>10887</v>
      </c>
    </row>
    <row r="911" spans="1:1" x14ac:dyDescent="0.25">
      <c r="A911" t="s">
        <v>10575</v>
      </c>
    </row>
    <row r="912" spans="1:1" x14ac:dyDescent="0.25">
      <c r="A912" t="s">
        <v>3621</v>
      </c>
    </row>
    <row r="913" spans="1:1" x14ac:dyDescent="0.25">
      <c r="A913" t="s">
        <v>2448</v>
      </c>
    </row>
    <row r="914" spans="1:1" x14ac:dyDescent="0.25">
      <c r="A914" t="s">
        <v>2450</v>
      </c>
    </row>
    <row r="915" spans="1:1" x14ac:dyDescent="0.25">
      <c r="A915" t="s">
        <v>3620</v>
      </c>
    </row>
    <row r="916" spans="1:1" x14ac:dyDescent="0.25">
      <c r="A916" t="s">
        <v>753</v>
      </c>
    </row>
    <row r="917" spans="1:1" x14ac:dyDescent="0.25">
      <c r="A917" t="s">
        <v>3622</v>
      </c>
    </row>
    <row r="918" spans="1:1" x14ac:dyDescent="0.25">
      <c r="A918" t="s">
        <v>3623</v>
      </c>
    </row>
    <row r="919" spans="1:1" x14ac:dyDescent="0.25">
      <c r="A919" t="s">
        <v>4653</v>
      </c>
    </row>
    <row r="920" spans="1:1" x14ac:dyDescent="0.25">
      <c r="A920" t="s">
        <v>4654</v>
      </c>
    </row>
    <row r="921" spans="1:1" x14ac:dyDescent="0.25">
      <c r="A921" t="s">
        <v>4655</v>
      </c>
    </row>
    <row r="922" spans="1:1" x14ac:dyDescent="0.25">
      <c r="A922" t="s">
        <v>10069</v>
      </c>
    </row>
    <row r="923" spans="1:1" x14ac:dyDescent="0.25">
      <c r="A923" t="s">
        <v>767</v>
      </c>
    </row>
    <row r="924" spans="1:1" x14ac:dyDescent="0.25">
      <c r="A924" t="s">
        <v>761</v>
      </c>
    </row>
    <row r="925" spans="1:1" x14ac:dyDescent="0.25">
      <c r="A925" t="s">
        <v>759</v>
      </c>
    </row>
    <row r="926" spans="1:1" x14ac:dyDescent="0.25">
      <c r="A926" t="s">
        <v>755</v>
      </c>
    </row>
    <row r="927" spans="1:1" x14ac:dyDescent="0.25">
      <c r="A927" t="s">
        <v>2823</v>
      </c>
    </row>
    <row r="928" spans="1:1" x14ac:dyDescent="0.25">
      <c r="A928" t="s">
        <v>2825</v>
      </c>
    </row>
    <row r="929" spans="1:1" x14ac:dyDescent="0.25">
      <c r="A929" t="s">
        <v>2827</v>
      </c>
    </row>
    <row r="930" spans="1:1" x14ac:dyDescent="0.25">
      <c r="A930" t="s">
        <v>2829</v>
      </c>
    </row>
    <row r="931" spans="1:1" x14ac:dyDescent="0.25">
      <c r="A931" t="s">
        <v>3624</v>
      </c>
    </row>
    <row r="932" spans="1:1" x14ac:dyDescent="0.25">
      <c r="A932" t="s">
        <v>3625</v>
      </c>
    </row>
    <row r="933" spans="1:1" x14ac:dyDescent="0.25">
      <c r="A933" t="s">
        <v>4599</v>
      </c>
    </row>
    <row r="934" spans="1:1" x14ac:dyDescent="0.25">
      <c r="A934" t="s">
        <v>3700</v>
      </c>
    </row>
    <row r="935" spans="1:1" x14ac:dyDescent="0.25">
      <c r="A935" t="s">
        <v>3701</v>
      </c>
    </row>
    <row r="936" spans="1:1" x14ac:dyDescent="0.25">
      <c r="A936" t="s">
        <v>4573</v>
      </c>
    </row>
    <row r="937" spans="1:1" x14ac:dyDescent="0.25">
      <c r="A937" t="s">
        <v>4574</v>
      </c>
    </row>
    <row r="938" spans="1:1" x14ac:dyDescent="0.25">
      <c r="A938" t="s">
        <v>3130</v>
      </c>
    </row>
    <row r="939" spans="1:1" x14ac:dyDescent="0.25">
      <c r="A939" t="s">
        <v>10729</v>
      </c>
    </row>
    <row r="940" spans="1:1" x14ac:dyDescent="0.25">
      <c r="A940" t="s">
        <v>10730</v>
      </c>
    </row>
    <row r="941" spans="1:1" x14ac:dyDescent="0.25">
      <c r="A941" t="s">
        <v>1958</v>
      </c>
    </row>
    <row r="942" spans="1:1" x14ac:dyDescent="0.25">
      <c r="A942" t="s">
        <v>2446</v>
      </c>
    </row>
    <row r="943" spans="1:1" x14ac:dyDescent="0.25">
      <c r="A943" t="s">
        <v>2909</v>
      </c>
    </row>
    <row r="944" spans="1:1" x14ac:dyDescent="0.25">
      <c r="A944" t="s">
        <v>4516</v>
      </c>
    </row>
    <row r="945" spans="1:1" x14ac:dyDescent="0.25">
      <c r="A945" t="s">
        <v>4514</v>
      </c>
    </row>
    <row r="946" spans="1:1" x14ac:dyDescent="0.25">
      <c r="A946" t="s">
        <v>4515</v>
      </c>
    </row>
    <row r="947" spans="1:1" x14ac:dyDescent="0.25">
      <c r="A947" t="s">
        <v>10888</v>
      </c>
    </row>
    <row r="948" spans="1:1" x14ac:dyDescent="0.25">
      <c r="A948" t="s">
        <v>10889</v>
      </c>
    </row>
    <row r="949" spans="1:1" x14ac:dyDescent="0.25">
      <c r="A949" t="s">
        <v>10890</v>
      </c>
    </row>
    <row r="950" spans="1:1" x14ac:dyDescent="0.25">
      <c r="A950" t="s">
        <v>10891</v>
      </c>
    </row>
    <row r="951" spans="1:1" x14ac:dyDescent="0.25">
      <c r="A951" t="s">
        <v>10006</v>
      </c>
    </row>
    <row r="952" spans="1:1" x14ac:dyDescent="0.25">
      <c r="A952" t="s">
        <v>10007</v>
      </c>
    </row>
    <row r="953" spans="1:1" x14ac:dyDescent="0.25">
      <c r="A953" t="s">
        <v>10008</v>
      </c>
    </row>
    <row r="954" spans="1:1" x14ac:dyDescent="0.25">
      <c r="A954" t="s">
        <v>10009</v>
      </c>
    </row>
    <row r="955" spans="1:1" x14ac:dyDescent="0.25">
      <c r="A955" t="s">
        <v>10010</v>
      </c>
    </row>
    <row r="956" spans="1:1" x14ac:dyDescent="0.25">
      <c r="A956" t="s">
        <v>9875</v>
      </c>
    </row>
    <row r="957" spans="1:1" x14ac:dyDescent="0.25">
      <c r="A957" t="s">
        <v>2552</v>
      </c>
    </row>
    <row r="958" spans="1:1" x14ac:dyDescent="0.25">
      <c r="A958" t="s">
        <v>4507</v>
      </c>
    </row>
    <row r="959" spans="1:1" x14ac:dyDescent="0.25">
      <c r="A959" t="s">
        <v>10171</v>
      </c>
    </row>
    <row r="960" spans="1:1" x14ac:dyDescent="0.25">
      <c r="A960" t="s">
        <v>2761</v>
      </c>
    </row>
    <row r="961" spans="1:1" x14ac:dyDescent="0.25">
      <c r="A961" t="s">
        <v>2763</v>
      </c>
    </row>
    <row r="962" spans="1:1" x14ac:dyDescent="0.25">
      <c r="A962" t="s">
        <v>3879</v>
      </c>
    </row>
    <row r="963" spans="1:1" x14ac:dyDescent="0.25">
      <c r="A963" t="s">
        <v>10322</v>
      </c>
    </row>
    <row r="964" spans="1:1" x14ac:dyDescent="0.25">
      <c r="A964" t="s">
        <v>10323</v>
      </c>
    </row>
    <row r="965" spans="1:1" x14ac:dyDescent="0.25">
      <c r="A965" t="s">
        <v>4555</v>
      </c>
    </row>
    <row r="966" spans="1:1" x14ac:dyDescent="0.25">
      <c r="A966" t="s">
        <v>10345</v>
      </c>
    </row>
    <row r="967" spans="1:1" x14ac:dyDescent="0.25">
      <c r="A967" t="s">
        <v>10344</v>
      </c>
    </row>
    <row r="968" spans="1:1" x14ac:dyDescent="0.25">
      <c r="A968" t="s">
        <v>10484</v>
      </c>
    </row>
    <row r="969" spans="1:1" x14ac:dyDescent="0.25">
      <c r="A969" t="s">
        <v>10485</v>
      </c>
    </row>
    <row r="970" spans="1:1" x14ac:dyDescent="0.25">
      <c r="A970" t="s">
        <v>10486</v>
      </c>
    </row>
    <row r="971" spans="1:1" x14ac:dyDescent="0.25">
      <c r="A971" t="s">
        <v>4390</v>
      </c>
    </row>
    <row r="972" spans="1:1" x14ac:dyDescent="0.25">
      <c r="A972" t="s">
        <v>3388</v>
      </c>
    </row>
    <row r="973" spans="1:1" x14ac:dyDescent="0.25">
      <c r="A973" t="s">
        <v>10487</v>
      </c>
    </row>
    <row r="974" spans="1:1" x14ac:dyDescent="0.25">
      <c r="A974" t="s">
        <v>1036</v>
      </c>
    </row>
    <row r="975" spans="1:1" x14ac:dyDescent="0.25">
      <c r="A975" t="s">
        <v>4373</v>
      </c>
    </row>
    <row r="976" spans="1:1" x14ac:dyDescent="0.25">
      <c r="A976" t="s">
        <v>4375</v>
      </c>
    </row>
    <row r="977" spans="1:1" x14ac:dyDescent="0.25">
      <c r="A977" t="s">
        <v>4376</v>
      </c>
    </row>
    <row r="978" spans="1:1" x14ac:dyDescent="0.25">
      <c r="A978" t="s">
        <v>4377</v>
      </c>
    </row>
    <row r="979" spans="1:1" x14ac:dyDescent="0.25">
      <c r="A979" t="s">
        <v>4378</v>
      </c>
    </row>
    <row r="980" spans="1:1" x14ac:dyDescent="0.25">
      <c r="A980" t="s">
        <v>10497</v>
      </c>
    </row>
    <row r="981" spans="1:1" x14ac:dyDescent="0.25">
      <c r="A981" t="s">
        <v>4374</v>
      </c>
    </row>
    <row r="982" spans="1:1" x14ac:dyDescent="0.25">
      <c r="A982" t="s">
        <v>4379</v>
      </c>
    </row>
    <row r="983" spans="1:1" x14ac:dyDescent="0.25">
      <c r="A983" t="s">
        <v>4380</v>
      </c>
    </row>
    <row r="984" spans="1:1" x14ac:dyDescent="0.25">
      <c r="A984" t="s">
        <v>4381</v>
      </c>
    </row>
    <row r="985" spans="1:1" x14ac:dyDescent="0.25">
      <c r="A985" t="s">
        <v>4382</v>
      </c>
    </row>
    <row r="986" spans="1:1" x14ac:dyDescent="0.25">
      <c r="A986" t="s">
        <v>4383</v>
      </c>
    </row>
    <row r="987" spans="1:1" x14ac:dyDescent="0.25">
      <c r="A987" t="s">
        <v>4384</v>
      </c>
    </row>
    <row r="988" spans="1:1" x14ac:dyDescent="0.25">
      <c r="A988" t="s">
        <v>4385</v>
      </c>
    </row>
    <row r="989" spans="1:1" x14ac:dyDescent="0.25">
      <c r="A989" t="s">
        <v>329</v>
      </c>
    </row>
    <row r="990" spans="1:1" x14ac:dyDescent="0.25">
      <c r="A990" t="s">
        <v>331</v>
      </c>
    </row>
    <row r="991" spans="1:1" x14ac:dyDescent="0.25">
      <c r="A991" t="s">
        <v>156</v>
      </c>
    </row>
    <row r="992" spans="1:1" x14ac:dyDescent="0.25">
      <c r="A992" t="s">
        <v>158</v>
      </c>
    </row>
    <row r="993" spans="1:1" x14ac:dyDescent="0.25">
      <c r="A993" t="s">
        <v>160</v>
      </c>
    </row>
    <row r="994" spans="1:1" x14ac:dyDescent="0.25">
      <c r="A994" t="s">
        <v>162</v>
      </c>
    </row>
    <row r="995" spans="1:1" x14ac:dyDescent="0.25">
      <c r="A995" t="s">
        <v>8</v>
      </c>
    </row>
    <row r="996" spans="1:1" x14ac:dyDescent="0.25">
      <c r="A996" t="s">
        <v>333</v>
      </c>
    </row>
    <row r="997" spans="1:1" x14ac:dyDescent="0.25">
      <c r="A997" t="s">
        <v>335</v>
      </c>
    </row>
    <row r="998" spans="1:1" x14ac:dyDescent="0.25">
      <c r="A998" t="s">
        <v>4565</v>
      </c>
    </row>
    <row r="999" spans="1:1" x14ac:dyDescent="0.25">
      <c r="A999" t="s">
        <v>1865</v>
      </c>
    </row>
    <row r="1000" spans="1:1" x14ac:dyDescent="0.25">
      <c r="A1000" t="s">
        <v>189</v>
      </c>
    </row>
    <row r="1001" spans="1:1" x14ac:dyDescent="0.25">
      <c r="A1001" t="s">
        <v>191</v>
      </c>
    </row>
    <row r="1002" spans="1:1" x14ac:dyDescent="0.25">
      <c r="A1002" t="s">
        <v>223</v>
      </c>
    </row>
    <row r="1003" spans="1:1" x14ac:dyDescent="0.25">
      <c r="A1003" t="s">
        <v>225</v>
      </c>
    </row>
    <row r="1004" spans="1:1" x14ac:dyDescent="0.25">
      <c r="A1004" t="s">
        <v>365</v>
      </c>
    </row>
    <row r="1005" spans="1:1" x14ac:dyDescent="0.25">
      <c r="A1005" t="s">
        <v>623</v>
      </c>
    </row>
    <row r="1006" spans="1:1" x14ac:dyDescent="0.25">
      <c r="A1006" t="s">
        <v>625</v>
      </c>
    </row>
    <row r="1007" spans="1:1" x14ac:dyDescent="0.25">
      <c r="A1007" t="s">
        <v>3611</v>
      </c>
    </row>
    <row r="1008" spans="1:1" x14ac:dyDescent="0.25">
      <c r="A1008" t="s">
        <v>3612</v>
      </c>
    </row>
    <row r="1009" spans="1:1" x14ac:dyDescent="0.25">
      <c r="A1009" t="s">
        <v>3599</v>
      </c>
    </row>
    <row r="1010" spans="1:1" x14ac:dyDescent="0.25">
      <c r="A1010" t="s">
        <v>638</v>
      </c>
    </row>
    <row r="1011" spans="1:1" x14ac:dyDescent="0.25">
      <c r="A1011" t="s">
        <v>640</v>
      </c>
    </row>
    <row r="1012" spans="1:1" x14ac:dyDescent="0.25">
      <c r="A1012" t="s">
        <v>642</v>
      </c>
    </row>
    <row r="1013" spans="1:1" x14ac:dyDescent="0.25">
      <c r="A1013" t="s">
        <v>644</v>
      </c>
    </row>
    <row r="1014" spans="1:1" x14ac:dyDescent="0.25">
      <c r="A1014" t="s">
        <v>646</v>
      </c>
    </row>
    <row r="1015" spans="1:1" x14ac:dyDescent="0.25">
      <c r="A1015" t="s">
        <v>648</v>
      </c>
    </row>
    <row r="1016" spans="1:1" x14ac:dyDescent="0.25">
      <c r="A1016" t="s">
        <v>650</v>
      </c>
    </row>
    <row r="1017" spans="1:1" x14ac:dyDescent="0.25">
      <c r="A1017" t="s">
        <v>652</v>
      </c>
    </row>
    <row r="1018" spans="1:1" x14ac:dyDescent="0.25">
      <c r="A1018" t="s">
        <v>654</v>
      </c>
    </row>
    <row r="1019" spans="1:1" x14ac:dyDescent="0.25">
      <c r="A1019" t="s">
        <v>656</v>
      </c>
    </row>
    <row r="1020" spans="1:1" x14ac:dyDescent="0.25">
      <c r="A1020" t="s">
        <v>658</v>
      </c>
    </row>
    <row r="1021" spans="1:1" x14ac:dyDescent="0.25">
      <c r="A1021" t="s">
        <v>660</v>
      </c>
    </row>
    <row r="1022" spans="1:1" x14ac:dyDescent="0.25">
      <c r="A1022" t="s">
        <v>10892</v>
      </c>
    </row>
    <row r="1023" spans="1:1" x14ac:dyDescent="0.25">
      <c r="A1023" t="s">
        <v>740</v>
      </c>
    </row>
    <row r="1024" spans="1:1" x14ac:dyDescent="0.25">
      <c r="A1024" t="s">
        <v>742</v>
      </c>
    </row>
    <row r="1025" spans="1:1" x14ac:dyDescent="0.25">
      <c r="A1025" t="s">
        <v>791</v>
      </c>
    </row>
    <row r="1026" spans="1:1" x14ac:dyDescent="0.25">
      <c r="A1026" t="s">
        <v>1179</v>
      </c>
    </row>
    <row r="1027" spans="1:1" x14ac:dyDescent="0.25">
      <c r="A1027" t="s">
        <v>1181</v>
      </c>
    </row>
    <row r="1028" spans="1:1" x14ac:dyDescent="0.25">
      <c r="A1028" t="s">
        <v>1183</v>
      </c>
    </row>
    <row r="1029" spans="1:1" x14ac:dyDescent="0.25">
      <c r="A1029" t="s">
        <v>1185</v>
      </c>
    </row>
    <row r="1030" spans="1:1" x14ac:dyDescent="0.25">
      <c r="A1030" t="s">
        <v>1187</v>
      </c>
    </row>
    <row r="1031" spans="1:1" x14ac:dyDescent="0.25">
      <c r="A1031" t="s">
        <v>1200</v>
      </c>
    </row>
    <row r="1032" spans="1:1" x14ac:dyDescent="0.25">
      <c r="A1032" t="s">
        <v>1258</v>
      </c>
    </row>
    <row r="1033" spans="1:1" x14ac:dyDescent="0.25">
      <c r="A1033" t="s">
        <v>1260</v>
      </c>
    </row>
    <row r="1034" spans="1:1" x14ac:dyDescent="0.25">
      <c r="A1034" t="s">
        <v>1262</v>
      </c>
    </row>
    <row r="1035" spans="1:1" x14ac:dyDescent="0.25">
      <c r="A1035" t="s">
        <v>1287</v>
      </c>
    </row>
    <row r="1036" spans="1:1" x14ac:dyDescent="0.25">
      <c r="A1036" t="s">
        <v>1289</v>
      </c>
    </row>
    <row r="1037" spans="1:1" x14ac:dyDescent="0.25">
      <c r="A1037" t="s">
        <v>1291</v>
      </c>
    </row>
    <row r="1038" spans="1:1" x14ac:dyDescent="0.25">
      <c r="A1038" t="s">
        <v>7515</v>
      </c>
    </row>
    <row r="1039" spans="1:1" x14ac:dyDescent="0.25">
      <c r="A1039" t="s">
        <v>7514</v>
      </c>
    </row>
    <row r="1040" spans="1:1" x14ac:dyDescent="0.25">
      <c r="A1040" t="s">
        <v>1337</v>
      </c>
    </row>
    <row r="1041" spans="1:1" x14ac:dyDescent="0.25">
      <c r="A1041" t="s">
        <v>1339</v>
      </c>
    </row>
    <row r="1042" spans="1:1" x14ac:dyDescent="0.25">
      <c r="A1042" t="s">
        <v>1520</v>
      </c>
    </row>
    <row r="1043" spans="1:1" x14ac:dyDescent="0.25">
      <c r="A1043" t="s">
        <v>3695</v>
      </c>
    </row>
    <row r="1044" spans="1:1" x14ac:dyDescent="0.25">
      <c r="A1044" t="s">
        <v>3696</v>
      </c>
    </row>
    <row r="1045" spans="1:1" x14ac:dyDescent="0.25">
      <c r="A1045" t="s">
        <v>3697</v>
      </c>
    </row>
    <row r="1046" spans="1:1" x14ac:dyDescent="0.25">
      <c r="A1046" t="s">
        <v>1522</v>
      </c>
    </row>
    <row r="1047" spans="1:1" x14ac:dyDescent="0.25">
      <c r="A1047" t="s">
        <v>1524</v>
      </c>
    </row>
    <row r="1048" spans="1:1" x14ac:dyDescent="0.25">
      <c r="A1048" t="s">
        <v>1527</v>
      </c>
    </row>
    <row r="1049" spans="1:1" x14ac:dyDescent="0.25">
      <c r="A1049" t="s">
        <v>1529</v>
      </c>
    </row>
    <row r="1050" spans="1:1" x14ac:dyDescent="0.25">
      <c r="A1050" t="s">
        <v>3698</v>
      </c>
    </row>
    <row r="1051" spans="1:1" x14ac:dyDescent="0.25">
      <c r="A1051" t="s">
        <v>1534</v>
      </c>
    </row>
    <row r="1052" spans="1:1" x14ac:dyDescent="0.25">
      <c r="A1052" t="s">
        <v>1565</v>
      </c>
    </row>
    <row r="1053" spans="1:1" x14ac:dyDescent="0.25">
      <c r="A1053" t="s">
        <v>3656</v>
      </c>
    </row>
    <row r="1054" spans="1:1" x14ac:dyDescent="0.25">
      <c r="A1054" t="s">
        <v>1612</v>
      </c>
    </row>
    <row r="1055" spans="1:1" x14ac:dyDescent="0.25">
      <c r="A1055" t="s">
        <v>1614</v>
      </c>
    </row>
    <row r="1056" spans="1:1" x14ac:dyDescent="0.25">
      <c r="A1056" t="s">
        <v>1626</v>
      </c>
    </row>
    <row r="1057" spans="1:1" x14ac:dyDescent="0.25">
      <c r="A1057" t="s">
        <v>1665</v>
      </c>
    </row>
    <row r="1058" spans="1:1" x14ac:dyDescent="0.25">
      <c r="A1058" t="s">
        <v>1667</v>
      </c>
    </row>
    <row r="1059" spans="1:1" x14ac:dyDescent="0.25">
      <c r="A1059" t="s">
        <v>1669</v>
      </c>
    </row>
    <row r="1060" spans="1:1" x14ac:dyDescent="0.25">
      <c r="A1060" t="s">
        <v>339</v>
      </c>
    </row>
    <row r="1061" spans="1:1" x14ac:dyDescent="0.25">
      <c r="A1061" t="s">
        <v>341</v>
      </c>
    </row>
    <row r="1062" spans="1:1" x14ac:dyDescent="0.25">
      <c r="A1062" t="s">
        <v>3723</v>
      </c>
    </row>
    <row r="1063" spans="1:1" x14ac:dyDescent="0.25">
      <c r="A1063" t="s">
        <v>1681</v>
      </c>
    </row>
    <row r="1064" spans="1:1" x14ac:dyDescent="0.25">
      <c r="A1064" t="s">
        <v>1683</v>
      </c>
    </row>
    <row r="1065" spans="1:1" x14ac:dyDescent="0.25">
      <c r="A1065" t="s">
        <v>1685</v>
      </c>
    </row>
    <row r="1066" spans="1:1" x14ac:dyDescent="0.25">
      <c r="A1066" t="s">
        <v>1693</v>
      </c>
    </row>
    <row r="1067" spans="1:1" x14ac:dyDescent="0.25">
      <c r="A1067" t="s">
        <v>1695</v>
      </c>
    </row>
    <row r="1068" spans="1:1" x14ac:dyDescent="0.25">
      <c r="A1068" t="s">
        <v>1697</v>
      </c>
    </row>
    <row r="1069" spans="1:1" x14ac:dyDescent="0.25">
      <c r="A1069" t="s">
        <v>1711</v>
      </c>
    </row>
    <row r="1070" spans="1:1" x14ac:dyDescent="0.25">
      <c r="A1070" t="s">
        <v>1713</v>
      </c>
    </row>
    <row r="1071" spans="1:1" x14ac:dyDescent="0.25">
      <c r="A1071" t="s">
        <v>1942</v>
      </c>
    </row>
    <row r="1072" spans="1:1" x14ac:dyDescent="0.25">
      <c r="A1072" t="s">
        <v>1824</v>
      </c>
    </row>
    <row r="1073" spans="1:1" x14ac:dyDescent="0.25">
      <c r="A1073" t="s">
        <v>1826</v>
      </c>
    </row>
    <row r="1074" spans="1:1" x14ac:dyDescent="0.25">
      <c r="A1074" t="s">
        <v>1828</v>
      </c>
    </row>
    <row r="1075" spans="1:1" x14ac:dyDescent="0.25">
      <c r="A1075" t="s">
        <v>1830</v>
      </c>
    </row>
    <row r="1076" spans="1:1" x14ac:dyDescent="0.25">
      <c r="A1076" t="s">
        <v>7513</v>
      </c>
    </row>
    <row r="1077" spans="1:1" x14ac:dyDescent="0.25">
      <c r="A1077" t="s">
        <v>1349</v>
      </c>
    </row>
    <row r="1078" spans="1:1" x14ac:dyDescent="0.25">
      <c r="A1078" t="s">
        <v>1351</v>
      </c>
    </row>
    <row r="1079" spans="1:1" x14ac:dyDescent="0.25">
      <c r="A1079" t="s">
        <v>2079</v>
      </c>
    </row>
    <row r="1080" spans="1:1" x14ac:dyDescent="0.25">
      <c r="A1080" t="s">
        <v>3768</v>
      </c>
    </row>
    <row r="1081" spans="1:1" x14ac:dyDescent="0.25">
      <c r="A1081" t="s">
        <v>2778</v>
      </c>
    </row>
    <row r="1082" spans="1:1" x14ac:dyDescent="0.25">
      <c r="A1082" t="s">
        <v>2118</v>
      </c>
    </row>
    <row r="1083" spans="1:1" x14ac:dyDescent="0.25">
      <c r="A1083" t="s">
        <v>4553</v>
      </c>
    </row>
    <row r="1084" spans="1:1" x14ac:dyDescent="0.25">
      <c r="A1084" t="s">
        <v>10651</v>
      </c>
    </row>
    <row r="1085" spans="1:1" x14ac:dyDescent="0.25">
      <c r="A1085" t="s">
        <v>10652</v>
      </c>
    </row>
    <row r="1086" spans="1:1" x14ac:dyDescent="0.25">
      <c r="A1086" t="s">
        <v>3788</v>
      </c>
    </row>
    <row r="1087" spans="1:1" x14ac:dyDescent="0.25">
      <c r="A1087" t="s">
        <v>321</v>
      </c>
    </row>
    <row r="1088" spans="1:1" x14ac:dyDescent="0.25">
      <c r="A1088" t="s">
        <v>323</v>
      </c>
    </row>
    <row r="1089" spans="1:1" x14ac:dyDescent="0.25">
      <c r="A1089" t="s">
        <v>6207</v>
      </c>
    </row>
    <row r="1090" spans="1:1" x14ac:dyDescent="0.25">
      <c r="A1090" t="s">
        <v>7463</v>
      </c>
    </row>
    <row r="1091" spans="1:1" x14ac:dyDescent="0.25">
      <c r="A1091" t="s">
        <v>7462</v>
      </c>
    </row>
    <row r="1092" spans="1:1" x14ac:dyDescent="0.25">
      <c r="A1092" t="s">
        <v>7461</v>
      </c>
    </row>
    <row r="1093" spans="1:1" x14ac:dyDescent="0.25">
      <c r="A1093" t="s">
        <v>2377</v>
      </c>
    </row>
    <row r="1094" spans="1:1" x14ac:dyDescent="0.25">
      <c r="A1094" t="s">
        <v>2379</v>
      </c>
    </row>
    <row r="1095" spans="1:1" x14ac:dyDescent="0.25">
      <c r="A1095" t="s">
        <v>1956</v>
      </c>
    </row>
    <row r="1096" spans="1:1" x14ac:dyDescent="0.25">
      <c r="A1096" t="s">
        <v>2479</v>
      </c>
    </row>
    <row r="1097" spans="1:1" x14ac:dyDescent="0.25">
      <c r="A1097" t="s">
        <v>2481</v>
      </c>
    </row>
    <row r="1098" spans="1:1" x14ac:dyDescent="0.25">
      <c r="A1098" t="s">
        <v>2483</v>
      </c>
    </row>
    <row r="1099" spans="1:1" x14ac:dyDescent="0.25">
      <c r="A1099" t="s">
        <v>2485</v>
      </c>
    </row>
    <row r="1100" spans="1:1" x14ac:dyDescent="0.25">
      <c r="A1100" t="s">
        <v>7471</v>
      </c>
    </row>
    <row r="1101" spans="1:1" x14ac:dyDescent="0.25">
      <c r="A1101" t="s">
        <v>7470</v>
      </c>
    </row>
    <row r="1102" spans="1:1" x14ac:dyDescent="0.25">
      <c r="A1102" t="s">
        <v>2593</v>
      </c>
    </row>
    <row r="1103" spans="1:1" x14ac:dyDescent="0.25">
      <c r="A1103" t="s">
        <v>2595</v>
      </c>
    </row>
    <row r="1104" spans="1:1" x14ac:dyDescent="0.25">
      <c r="A1104" t="s">
        <v>2597</v>
      </c>
    </row>
    <row r="1105" spans="1:1" x14ac:dyDescent="0.25">
      <c r="A1105" t="s">
        <v>2599</v>
      </c>
    </row>
    <row r="1106" spans="1:1" x14ac:dyDescent="0.25">
      <c r="A1106" t="s">
        <v>3853</v>
      </c>
    </row>
    <row r="1107" spans="1:1" x14ac:dyDescent="0.25">
      <c r="A1107" t="s">
        <v>2649</v>
      </c>
    </row>
    <row r="1108" spans="1:1" x14ac:dyDescent="0.25">
      <c r="A1108" t="s">
        <v>2651</v>
      </c>
    </row>
    <row r="1109" spans="1:1" x14ac:dyDescent="0.25">
      <c r="A1109" t="s">
        <v>2653</v>
      </c>
    </row>
    <row r="1110" spans="1:1" x14ac:dyDescent="0.25">
      <c r="A1110" t="s">
        <v>2614</v>
      </c>
    </row>
    <row r="1111" spans="1:1" x14ac:dyDescent="0.25">
      <c r="A1111" t="s">
        <v>2678</v>
      </c>
    </row>
    <row r="1112" spans="1:1" x14ac:dyDescent="0.25">
      <c r="A1112" t="s">
        <v>10613</v>
      </c>
    </row>
    <row r="1113" spans="1:1" x14ac:dyDescent="0.25">
      <c r="A1113" t="s">
        <v>2757</v>
      </c>
    </row>
    <row r="1114" spans="1:1" x14ac:dyDescent="0.25">
      <c r="A1114" t="s">
        <v>2759</v>
      </c>
    </row>
    <row r="1115" spans="1:1" x14ac:dyDescent="0.25">
      <c r="A1115" t="s">
        <v>4443</v>
      </c>
    </row>
    <row r="1116" spans="1:1" x14ac:dyDescent="0.25">
      <c r="A1116" t="s">
        <v>2805</v>
      </c>
    </row>
    <row r="1117" spans="1:1" x14ac:dyDescent="0.25">
      <c r="A1117" t="s">
        <v>2807</v>
      </c>
    </row>
    <row r="1118" spans="1:1" x14ac:dyDescent="0.25">
      <c r="A1118" t="s">
        <v>10590</v>
      </c>
    </row>
    <row r="1119" spans="1:1" x14ac:dyDescent="0.25">
      <c r="A1119" t="s">
        <v>2816</v>
      </c>
    </row>
    <row r="1120" spans="1:1" x14ac:dyDescent="0.25">
      <c r="A1120" t="s">
        <v>2818</v>
      </c>
    </row>
    <row r="1121" spans="1:1" x14ac:dyDescent="0.25">
      <c r="A1121" t="s">
        <v>24</v>
      </c>
    </row>
    <row r="1122" spans="1:1" x14ac:dyDescent="0.25">
      <c r="A1122" t="s">
        <v>7458</v>
      </c>
    </row>
    <row r="1123" spans="1:1" x14ac:dyDescent="0.25">
      <c r="A1123" t="s">
        <v>7457</v>
      </c>
    </row>
    <row r="1124" spans="1:1" x14ac:dyDescent="0.25">
      <c r="A1124" t="s">
        <v>2886</v>
      </c>
    </row>
    <row r="1125" spans="1:1" x14ac:dyDescent="0.25">
      <c r="A1125" t="s">
        <v>2888</v>
      </c>
    </row>
    <row r="1126" spans="1:1" x14ac:dyDescent="0.25">
      <c r="A1126" t="s">
        <v>2890</v>
      </c>
    </row>
    <row r="1127" spans="1:1" x14ac:dyDescent="0.25">
      <c r="A1127" t="s">
        <v>2870</v>
      </c>
    </row>
    <row r="1128" spans="1:1" x14ac:dyDescent="0.25">
      <c r="A1128" t="s">
        <v>2872</v>
      </c>
    </row>
    <row r="1129" spans="1:1" x14ac:dyDescent="0.25">
      <c r="A1129" t="s">
        <v>2875</v>
      </c>
    </row>
    <row r="1130" spans="1:1" x14ac:dyDescent="0.25">
      <c r="A1130" t="s">
        <v>2884</v>
      </c>
    </row>
    <row r="1131" spans="1:1" x14ac:dyDescent="0.25">
      <c r="A1131" t="s">
        <v>2948</v>
      </c>
    </row>
    <row r="1132" spans="1:1" x14ac:dyDescent="0.25">
      <c r="A1132" t="s">
        <v>2950</v>
      </c>
    </row>
    <row r="1133" spans="1:1" x14ac:dyDescent="0.25">
      <c r="A1133" t="s">
        <v>2952</v>
      </c>
    </row>
    <row r="1134" spans="1:1" x14ac:dyDescent="0.25">
      <c r="A1134" t="s">
        <v>2954</v>
      </c>
    </row>
    <row r="1135" spans="1:1" x14ac:dyDescent="0.25">
      <c r="A1135" t="s">
        <v>2956</v>
      </c>
    </row>
    <row r="1136" spans="1:1" x14ac:dyDescent="0.25">
      <c r="A1136" t="s">
        <v>2958</v>
      </c>
    </row>
    <row r="1137" spans="1:1" x14ac:dyDescent="0.25">
      <c r="A1137" t="s">
        <v>2960</v>
      </c>
    </row>
    <row r="1138" spans="1:1" x14ac:dyDescent="0.25">
      <c r="A1138" t="s">
        <v>2962</v>
      </c>
    </row>
    <row r="1139" spans="1:1" x14ac:dyDescent="0.25">
      <c r="A1139" t="s">
        <v>2964</v>
      </c>
    </row>
    <row r="1140" spans="1:1" x14ac:dyDescent="0.25">
      <c r="A1140" t="s">
        <v>2966</v>
      </c>
    </row>
    <row r="1141" spans="1:1" x14ac:dyDescent="0.25">
      <c r="A1141" t="s">
        <v>4027</v>
      </c>
    </row>
    <row r="1142" spans="1:1" x14ac:dyDescent="0.25">
      <c r="A1142" t="s">
        <v>2987</v>
      </c>
    </row>
    <row r="1143" spans="1:1" x14ac:dyDescent="0.25">
      <c r="A1143" t="s">
        <v>2774</v>
      </c>
    </row>
    <row r="1144" spans="1:1" x14ac:dyDescent="0.25">
      <c r="A1144" t="s">
        <v>2776</v>
      </c>
    </row>
    <row r="1145" spans="1:1" x14ac:dyDescent="0.25">
      <c r="A1145" t="s">
        <v>3325</v>
      </c>
    </row>
    <row r="1146" spans="1:1" x14ac:dyDescent="0.25">
      <c r="A1146" t="s">
        <v>9014</v>
      </c>
    </row>
    <row r="1147" spans="1:1" x14ac:dyDescent="0.25">
      <c r="A1147" t="s">
        <v>2008</v>
      </c>
    </row>
    <row r="1148" spans="1:1" x14ac:dyDescent="0.25">
      <c r="A1148" t="s">
        <v>2008</v>
      </c>
    </row>
    <row r="1149" spans="1:1" x14ac:dyDescent="0.25">
      <c r="A1149" t="s">
        <v>3336</v>
      </c>
    </row>
    <row r="1150" spans="1:1" x14ac:dyDescent="0.25">
      <c r="A1150" t="s">
        <v>7473</v>
      </c>
    </row>
    <row r="1151" spans="1:1" x14ac:dyDescent="0.25">
      <c r="A1151" t="s">
        <v>7472</v>
      </c>
    </row>
    <row r="1152" spans="1:1" x14ac:dyDescent="0.25">
      <c r="A1152" t="s">
        <v>3939</v>
      </c>
    </row>
    <row r="1153" spans="1:1" x14ac:dyDescent="0.25">
      <c r="A1153" t="s">
        <v>325</v>
      </c>
    </row>
    <row r="1154" spans="1:1" x14ac:dyDescent="0.25">
      <c r="A1154" t="s">
        <v>327</v>
      </c>
    </row>
    <row r="1155" spans="1:1" x14ac:dyDescent="0.25">
      <c r="A1155" t="s">
        <v>1922</v>
      </c>
    </row>
    <row r="1156" spans="1:1" x14ac:dyDescent="0.25">
      <c r="A1156" t="s">
        <v>835</v>
      </c>
    </row>
    <row r="1157" spans="1:1" x14ac:dyDescent="0.25">
      <c r="A1157" t="s">
        <v>838</v>
      </c>
    </row>
    <row r="1158" spans="1:1" x14ac:dyDescent="0.25">
      <c r="A1158" t="s">
        <v>840</v>
      </c>
    </row>
    <row r="1159" spans="1:1" x14ac:dyDescent="0.25">
      <c r="A1159" t="s">
        <v>2792</v>
      </c>
    </row>
    <row r="1160" spans="1:1" x14ac:dyDescent="0.25">
      <c r="A1160" t="s">
        <v>3589</v>
      </c>
    </row>
    <row r="1161" spans="1:1" x14ac:dyDescent="0.25">
      <c r="A1161" t="s">
        <v>3615</v>
      </c>
    </row>
    <row r="1162" spans="1:1" x14ac:dyDescent="0.25">
      <c r="A1162" t="s">
        <v>736</v>
      </c>
    </row>
    <row r="1163" spans="1:1" x14ac:dyDescent="0.25">
      <c r="A1163" t="s">
        <v>738</v>
      </c>
    </row>
    <row r="1164" spans="1:1" x14ac:dyDescent="0.25">
      <c r="A1164" t="s">
        <v>893</v>
      </c>
    </row>
    <row r="1165" spans="1:1" x14ac:dyDescent="0.25">
      <c r="A1165" t="s">
        <v>897</v>
      </c>
    </row>
    <row r="1166" spans="1:1" x14ac:dyDescent="0.25">
      <c r="A1166" t="s">
        <v>1282</v>
      </c>
    </row>
    <row r="1167" spans="1:1" x14ac:dyDescent="0.25">
      <c r="A1167" t="s">
        <v>2226</v>
      </c>
    </row>
    <row r="1168" spans="1:1" x14ac:dyDescent="0.25">
      <c r="A1168" t="s">
        <v>3658</v>
      </c>
    </row>
    <row r="1169" spans="1:1" x14ac:dyDescent="0.25">
      <c r="A1169" t="s">
        <v>1285</v>
      </c>
    </row>
    <row r="1170" spans="1:1" x14ac:dyDescent="0.25">
      <c r="A1170" t="s">
        <v>2173</v>
      </c>
    </row>
    <row r="1171" spans="1:1" x14ac:dyDescent="0.25">
      <c r="A1171" t="s">
        <v>2175</v>
      </c>
    </row>
    <row r="1172" spans="1:1" x14ac:dyDescent="0.25">
      <c r="A1172" t="s">
        <v>2177</v>
      </c>
    </row>
    <row r="1173" spans="1:1" x14ac:dyDescent="0.25">
      <c r="A1173" t="s">
        <v>3739</v>
      </c>
    </row>
    <row r="1174" spans="1:1" x14ac:dyDescent="0.25">
      <c r="A1174" t="s">
        <v>2113</v>
      </c>
    </row>
    <row r="1175" spans="1:1" x14ac:dyDescent="0.25">
      <c r="A1175" t="s">
        <v>1014</v>
      </c>
    </row>
    <row r="1176" spans="1:1" x14ac:dyDescent="0.25">
      <c r="A1176" t="s">
        <v>3911</v>
      </c>
    </row>
    <row r="1177" spans="1:1" x14ac:dyDescent="0.25">
      <c r="A1177" t="s">
        <v>3940</v>
      </c>
    </row>
    <row r="1178" spans="1:1" x14ac:dyDescent="0.25">
      <c r="A1178" t="s">
        <v>3405</v>
      </c>
    </row>
    <row r="1179" spans="1:1" x14ac:dyDescent="0.25">
      <c r="A1179" t="s">
        <v>3407</v>
      </c>
    </row>
    <row r="1180" spans="1:1" x14ac:dyDescent="0.25">
      <c r="A1180" t="s">
        <v>3400</v>
      </c>
    </row>
    <row r="1181" spans="1:1" x14ac:dyDescent="0.25">
      <c r="A1181" t="s">
        <v>3402</v>
      </c>
    </row>
    <row r="1182" spans="1:1" x14ac:dyDescent="0.25">
      <c r="A1182" t="s">
        <v>3409</v>
      </c>
    </row>
    <row r="1183" spans="1:1" x14ac:dyDescent="0.25">
      <c r="A1183" t="s">
        <v>3411</v>
      </c>
    </row>
    <row r="1184" spans="1:1" x14ac:dyDescent="0.25">
      <c r="A1184" t="s">
        <v>3591</v>
      </c>
    </row>
    <row r="1185" spans="1:1" x14ac:dyDescent="0.25">
      <c r="A1185" t="s">
        <v>10535</v>
      </c>
    </row>
    <row r="1186" spans="1:1" x14ac:dyDescent="0.25">
      <c r="A1186" t="s">
        <v>10536</v>
      </c>
    </row>
    <row r="1187" spans="1:1" x14ac:dyDescent="0.25">
      <c r="A1187" t="s">
        <v>10537</v>
      </c>
    </row>
    <row r="1188" spans="1:1" x14ac:dyDescent="0.25">
      <c r="A1188" t="s">
        <v>1194</v>
      </c>
    </row>
    <row r="1189" spans="1:1" x14ac:dyDescent="0.25">
      <c r="A1189" t="s">
        <v>1916</v>
      </c>
    </row>
    <row r="1190" spans="1:1" x14ac:dyDescent="0.25">
      <c r="A1190" t="s">
        <v>1400</v>
      </c>
    </row>
    <row r="1191" spans="1:1" x14ac:dyDescent="0.25">
      <c r="A1191" t="s">
        <v>2674</v>
      </c>
    </row>
    <row r="1192" spans="1:1" x14ac:dyDescent="0.25">
      <c r="A1192" t="s">
        <v>2676</v>
      </c>
    </row>
    <row r="1193" spans="1:1" x14ac:dyDescent="0.25">
      <c r="A1193" t="s">
        <v>10014</v>
      </c>
    </row>
    <row r="1194" spans="1:1" x14ac:dyDescent="0.25">
      <c r="A1194" t="s">
        <v>4564</v>
      </c>
    </row>
    <row r="1195" spans="1:1" x14ac:dyDescent="0.25">
      <c r="A1195" t="s">
        <v>9929</v>
      </c>
    </row>
    <row r="1196" spans="1:1" x14ac:dyDescent="0.25">
      <c r="A1196" t="s">
        <v>9930</v>
      </c>
    </row>
    <row r="1197" spans="1:1" x14ac:dyDescent="0.25">
      <c r="A1197" t="s">
        <v>9931</v>
      </c>
    </row>
    <row r="1198" spans="1:1" x14ac:dyDescent="0.25">
      <c r="A1198" t="s">
        <v>1867</v>
      </c>
    </row>
    <row r="1199" spans="1:1" x14ac:dyDescent="0.25">
      <c r="A1199" t="s">
        <v>6129</v>
      </c>
    </row>
    <row r="1200" spans="1:1" x14ac:dyDescent="0.25">
      <c r="A1200" t="s">
        <v>6128</v>
      </c>
    </row>
    <row r="1201" spans="1:1" x14ac:dyDescent="0.25">
      <c r="A1201" t="s">
        <v>4696</v>
      </c>
    </row>
    <row r="1202" spans="1:1" x14ac:dyDescent="0.25">
      <c r="A1202" t="s">
        <v>4695</v>
      </c>
    </row>
    <row r="1203" spans="1:1" x14ac:dyDescent="0.25">
      <c r="A1203" t="s">
        <v>4709</v>
      </c>
    </row>
    <row r="1204" spans="1:1" x14ac:dyDescent="0.25">
      <c r="A1204" t="s">
        <v>4710</v>
      </c>
    </row>
    <row r="1205" spans="1:1" x14ac:dyDescent="0.25">
      <c r="A1205" t="s">
        <v>4712</v>
      </c>
    </row>
    <row r="1206" spans="1:1" x14ac:dyDescent="0.25">
      <c r="A1206" t="s">
        <v>4713</v>
      </c>
    </row>
    <row r="1207" spans="1:1" x14ac:dyDescent="0.25">
      <c r="A1207" t="s">
        <v>4714</v>
      </c>
    </row>
    <row r="1208" spans="1:1" x14ac:dyDescent="0.25">
      <c r="A1208" t="s">
        <v>4715</v>
      </c>
    </row>
    <row r="1209" spans="1:1" x14ac:dyDescent="0.25">
      <c r="A1209" t="s">
        <v>10893</v>
      </c>
    </row>
    <row r="1210" spans="1:1" x14ac:dyDescent="0.25">
      <c r="A1210" t="s">
        <v>10894</v>
      </c>
    </row>
    <row r="1211" spans="1:1" x14ac:dyDescent="0.25">
      <c r="A1211" t="s">
        <v>10895</v>
      </c>
    </row>
    <row r="1212" spans="1:1" x14ac:dyDescent="0.25">
      <c r="A1212" t="s">
        <v>10896</v>
      </c>
    </row>
    <row r="1213" spans="1:1" x14ac:dyDescent="0.25">
      <c r="A1213" t="s">
        <v>10897</v>
      </c>
    </row>
    <row r="1214" spans="1:1" x14ac:dyDescent="0.25">
      <c r="A1214" t="s">
        <v>10898</v>
      </c>
    </row>
    <row r="1215" spans="1:1" x14ac:dyDescent="0.25">
      <c r="A1215" t="s">
        <v>10899</v>
      </c>
    </row>
    <row r="1216" spans="1:1" x14ac:dyDescent="0.25">
      <c r="A1216" t="s">
        <v>10900</v>
      </c>
    </row>
    <row r="1217" spans="1:1" x14ac:dyDescent="0.25">
      <c r="A1217" t="s">
        <v>10901</v>
      </c>
    </row>
    <row r="1218" spans="1:1" x14ac:dyDescent="0.25">
      <c r="A1218" t="s">
        <v>10902</v>
      </c>
    </row>
    <row r="1219" spans="1:1" x14ac:dyDescent="0.25">
      <c r="A1219" t="s">
        <v>10903</v>
      </c>
    </row>
    <row r="1220" spans="1:1" x14ac:dyDescent="0.25">
      <c r="A1220" t="s">
        <v>10904</v>
      </c>
    </row>
    <row r="1221" spans="1:1" x14ac:dyDescent="0.25">
      <c r="A1221" t="s">
        <v>10905</v>
      </c>
    </row>
    <row r="1222" spans="1:1" x14ac:dyDescent="0.25">
      <c r="A1222" t="s">
        <v>10906</v>
      </c>
    </row>
    <row r="1223" spans="1:1" x14ac:dyDescent="0.25">
      <c r="A1223" t="s">
        <v>10907</v>
      </c>
    </row>
    <row r="1224" spans="1:1" x14ac:dyDescent="0.25">
      <c r="A1224" t="s">
        <v>10908</v>
      </c>
    </row>
    <row r="1225" spans="1:1" x14ac:dyDescent="0.25">
      <c r="A1225" t="s">
        <v>10909</v>
      </c>
    </row>
    <row r="1226" spans="1:1" x14ac:dyDescent="0.25">
      <c r="A1226" t="s">
        <v>10910</v>
      </c>
    </row>
    <row r="1227" spans="1:1" x14ac:dyDescent="0.25">
      <c r="A1227" t="s">
        <v>10911</v>
      </c>
    </row>
    <row r="1228" spans="1:1" x14ac:dyDescent="0.25">
      <c r="A1228" t="s">
        <v>10912</v>
      </c>
    </row>
    <row r="1229" spans="1:1" x14ac:dyDescent="0.25">
      <c r="A1229" t="s">
        <v>10913</v>
      </c>
    </row>
    <row r="1230" spans="1:1" x14ac:dyDescent="0.25">
      <c r="A1230" t="s">
        <v>10914</v>
      </c>
    </row>
    <row r="1231" spans="1:1" x14ac:dyDescent="0.25">
      <c r="A1231" t="s">
        <v>10915</v>
      </c>
    </row>
    <row r="1232" spans="1:1" x14ac:dyDescent="0.25">
      <c r="A1232" t="s">
        <v>10916</v>
      </c>
    </row>
    <row r="1233" spans="1:1" x14ac:dyDescent="0.25">
      <c r="A1233" t="s">
        <v>10917</v>
      </c>
    </row>
    <row r="1234" spans="1:1" x14ac:dyDescent="0.25">
      <c r="A1234" t="s">
        <v>10918</v>
      </c>
    </row>
    <row r="1235" spans="1:1" x14ac:dyDescent="0.25">
      <c r="A1235" t="s">
        <v>10919</v>
      </c>
    </row>
    <row r="1236" spans="1:1" x14ac:dyDescent="0.25">
      <c r="A1236" t="s">
        <v>10920</v>
      </c>
    </row>
    <row r="1237" spans="1:1" x14ac:dyDescent="0.25">
      <c r="A1237" t="s">
        <v>10921</v>
      </c>
    </row>
    <row r="1238" spans="1:1" x14ac:dyDescent="0.25">
      <c r="A1238" t="s">
        <v>10922</v>
      </c>
    </row>
    <row r="1239" spans="1:1" x14ac:dyDescent="0.25">
      <c r="A1239" t="s">
        <v>10923</v>
      </c>
    </row>
    <row r="1240" spans="1:1" x14ac:dyDescent="0.25">
      <c r="A1240" t="s">
        <v>10924</v>
      </c>
    </row>
    <row r="1241" spans="1:1" x14ac:dyDescent="0.25">
      <c r="A1241" t="s">
        <v>10925</v>
      </c>
    </row>
    <row r="1242" spans="1:1" x14ac:dyDescent="0.25">
      <c r="A1242" t="s">
        <v>10926</v>
      </c>
    </row>
    <row r="1243" spans="1:1" x14ac:dyDescent="0.25">
      <c r="A1243" t="s">
        <v>10927</v>
      </c>
    </row>
    <row r="1244" spans="1:1" x14ac:dyDescent="0.25">
      <c r="A1244" t="s">
        <v>10928</v>
      </c>
    </row>
    <row r="1245" spans="1:1" x14ac:dyDescent="0.25">
      <c r="A1245" t="s">
        <v>10929</v>
      </c>
    </row>
    <row r="1246" spans="1:1" x14ac:dyDescent="0.25">
      <c r="A1246" t="s">
        <v>10930</v>
      </c>
    </row>
    <row r="1247" spans="1:1" x14ac:dyDescent="0.25">
      <c r="A1247" t="s">
        <v>10931</v>
      </c>
    </row>
    <row r="1248" spans="1:1" x14ac:dyDescent="0.25">
      <c r="A1248" t="s">
        <v>10932</v>
      </c>
    </row>
    <row r="1249" spans="1:1" x14ac:dyDescent="0.25">
      <c r="A1249" t="s">
        <v>10933</v>
      </c>
    </row>
    <row r="1250" spans="1:1" x14ac:dyDescent="0.25">
      <c r="A1250" t="s">
        <v>10934</v>
      </c>
    </row>
    <row r="1251" spans="1:1" x14ac:dyDescent="0.25">
      <c r="A1251" t="s">
        <v>10935</v>
      </c>
    </row>
    <row r="1252" spans="1:1" x14ac:dyDescent="0.25">
      <c r="A1252" t="s">
        <v>10936</v>
      </c>
    </row>
    <row r="1253" spans="1:1" x14ac:dyDescent="0.25">
      <c r="A1253" t="s">
        <v>10937</v>
      </c>
    </row>
    <row r="1254" spans="1:1" x14ac:dyDescent="0.25">
      <c r="A1254" t="s">
        <v>10938</v>
      </c>
    </row>
    <row r="1255" spans="1:1" x14ac:dyDescent="0.25">
      <c r="A1255" t="s">
        <v>10939</v>
      </c>
    </row>
    <row r="1256" spans="1:1" x14ac:dyDescent="0.25">
      <c r="A1256" t="s">
        <v>10940</v>
      </c>
    </row>
    <row r="1257" spans="1:1" x14ac:dyDescent="0.25">
      <c r="A1257" t="s">
        <v>10941</v>
      </c>
    </row>
    <row r="1258" spans="1:1" x14ac:dyDescent="0.25">
      <c r="A1258" t="s">
        <v>10942</v>
      </c>
    </row>
    <row r="1259" spans="1:1" x14ac:dyDescent="0.25">
      <c r="A1259" t="s">
        <v>10943</v>
      </c>
    </row>
    <row r="1260" spans="1:1" x14ac:dyDescent="0.25">
      <c r="A1260" t="s">
        <v>10944</v>
      </c>
    </row>
    <row r="1261" spans="1:1" x14ac:dyDescent="0.25">
      <c r="A1261" t="s">
        <v>10945</v>
      </c>
    </row>
    <row r="1262" spans="1:1" x14ac:dyDescent="0.25">
      <c r="A1262" t="s">
        <v>10946</v>
      </c>
    </row>
    <row r="1263" spans="1:1" x14ac:dyDescent="0.25">
      <c r="A1263" t="s">
        <v>10947</v>
      </c>
    </row>
    <row r="1264" spans="1:1" x14ac:dyDescent="0.25">
      <c r="A1264" t="s">
        <v>10948</v>
      </c>
    </row>
    <row r="1265" spans="1:1" x14ac:dyDescent="0.25">
      <c r="A1265" t="s">
        <v>10949</v>
      </c>
    </row>
    <row r="1266" spans="1:1" x14ac:dyDescent="0.25">
      <c r="A1266" t="s">
        <v>9939</v>
      </c>
    </row>
    <row r="1267" spans="1:1" x14ac:dyDescent="0.25">
      <c r="A1267" t="s">
        <v>9940</v>
      </c>
    </row>
    <row r="1268" spans="1:1" x14ac:dyDescent="0.25">
      <c r="A1268" t="s">
        <v>9937</v>
      </c>
    </row>
    <row r="1269" spans="1:1" x14ac:dyDescent="0.25">
      <c r="A1269" t="s">
        <v>4694</v>
      </c>
    </row>
    <row r="1270" spans="1:1" x14ac:dyDescent="0.25">
      <c r="A1270" t="s">
        <v>4697</v>
      </c>
    </row>
    <row r="1271" spans="1:1" x14ac:dyDescent="0.25">
      <c r="A1271" t="s">
        <v>9935</v>
      </c>
    </row>
    <row r="1272" spans="1:1" x14ac:dyDescent="0.25">
      <c r="A1272" t="s">
        <v>9936</v>
      </c>
    </row>
    <row r="1273" spans="1:1" x14ac:dyDescent="0.25">
      <c r="A1273" t="s">
        <v>10508</v>
      </c>
    </row>
    <row r="1274" spans="1:1" x14ac:dyDescent="0.25">
      <c r="A1274" t="s">
        <v>4686</v>
      </c>
    </row>
    <row r="1275" spans="1:1" x14ac:dyDescent="0.25">
      <c r="A1275" t="s">
        <v>4687</v>
      </c>
    </row>
    <row r="1276" spans="1:1" x14ac:dyDescent="0.25">
      <c r="A1276" t="s">
        <v>4688</v>
      </c>
    </row>
    <row r="1277" spans="1:1" x14ac:dyDescent="0.25">
      <c r="A1277" t="s">
        <v>4689</v>
      </c>
    </row>
    <row r="1278" spans="1:1" x14ac:dyDescent="0.25">
      <c r="A1278" t="s">
        <v>4690</v>
      </c>
    </row>
    <row r="1279" spans="1:1" x14ac:dyDescent="0.25">
      <c r="A1279" t="s">
        <v>4691</v>
      </c>
    </row>
    <row r="1280" spans="1:1" x14ac:dyDescent="0.25">
      <c r="A1280" t="s">
        <v>4692</v>
      </c>
    </row>
    <row r="1281" spans="1:1" x14ac:dyDescent="0.25">
      <c r="A1281" t="s">
        <v>4693</v>
      </c>
    </row>
    <row r="1282" spans="1:1" x14ac:dyDescent="0.25">
      <c r="A1282" t="s">
        <v>10950</v>
      </c>
    </row>
    <row r="1283" spans="1:1" x14ac:dyDescent="0.25">
      <c r="A1283" t="s">
        <v>10951</v>
      </c>
    </row>
    <row r="1284" spans="1:1" x14ac:dyDescent="0.25">
      <c r="A1284" t="s">
        <v>10952</v>
      </c>
    </row>
    <row r="1285" spans="1:1" x14ac:dyDescent="0.25">
      <c r="A1285" t="s">
        <v>10953</v>
      </c>
    </row>
    <row r="1286" spans="1:1" x14ac:dyDescent="0.25">
      <c r="A1286" t="s">
        <v>9933</v>
      </c>
    </row>
    <row r="1287" spans="1:1" x14ac:dyDescent="0.25">
      <c r="A1287" t="s">
        <v>4660</v>
      </c>
    </row>
    <row r="1288" spans="1:1" x14ac:dyDescent="0.25">
      <c r="A1288" t="s">
        <v>4661</v>
      </c>
    </row>
    <row r="1289" spans="1:1" x14ac:dyDescent="0.25">
      <c r="A1289" t="s">
        <v>4662</v>
      </c>
    </row>
    <row r="1290" spans="1:1" x14ac:dyDescent="0.25">
      <c r="A1290" t="s">
        <v>4663</v>
      </c>
    </row>
    <row r="1291" spans="1:1" x14ac:dyDescent="0.25">
      <c r="A1291" t="s">
        <v>4664</v>
      </c>
    </row>
    <row r="1292" spans="1:1" x14ac:dyDescent="0.25">
      <c r="A1292" t="s">
        <v>10954</v>
      </c>
    </row>
    <row r="1293" spans="1:1" x14ac:dyDescent="0.25">
      <c r="A1293" t="s">
        <v>6211</v>
      </c>
    </row>
    <row r="1294" spans="1:1" x14ac:dyDescent="0.25">
      <c r="A1294" t="s">
        <v>6210</v>
      </c>
    </row>
    <row r="1295" spans="1:1" x14ac:dyDescent="0.25">
      <c r="A1295" t="s">
        <v>6223</v>
      </c>
    </row>
    <row r="1296" spans="1:1" x14ac:dyDescent="0.25">
      <c r="A1296" t="s">
        <v>6124</v>
      </c>
    </row>
    <row r="1297" spans="1:1" x14ac:dyDescent="0.25">
      <c r="A1297" t="s">
        <v>6123</v>
      </c>
    </row>
    <row r="1298" spans="1:1" x14ac:dyDescent="0.25">
      <c r="A1298" t="s">
        <v>6122</v>
      </c>
    </row>
    <row r="1299" spans="1:1" x14ac:dyDescent="0.25">
      <c r="A1299" t="s">
        <v>9941</v>
      </c>
    </row>
    <row r="1300" spans="1:1" x14ac:dyDescent="0.25">
      <c r="A1300" t="s">
        <v>9942</v>
      </c>
    </row>
    <row r="1301" spans="1:1" x14ac:dyDescent="0.25">
      <c r="A1301" t="s">
        <v>9943</v>
      </c>
    </row>
    <row r="1302" spans="1:1" x14ac:dyDescent="0.25">
      <c r="A1302" t="s">
        <v>9944</v>
      </c>
    </row>
    <row r="1303" spans="1:1" x14ac:dyDescent="0.25">
      <c r="A1303" t="s">
        <v>2581</v>
      </c>
    </row>
    <row r="1304" spans="1:1" x14ac:dyDescent="0.25">
      <c r="A1304" t="s">
        <v>2583</v>
      </c>
    </row>
    <row r="1305" spans="1:1" x14ac:dyDescent="0.25">
      <c r="A1305" t="s">
        <v>9926</v>
      </c>
    </row>
    <row r="1306" spans="1:1" x14ac:dyDescent="0.25">
      <c r="A1306" t="s">
        <v>9927</v>
      </c>
    </row>
    <row r="1307" spans="1:1" x14ac:dyDescent="0.25">
      <c r="A1307" t="s">
        <v>9928</v>
      </c>
    </row>
    <row r="1308" spans="1:1" x14ac:dyDescent="0.25">
      <c r="A1308" t="s">
        <v>6209</v>
      </c>
    </row>
    <row r="1309" spans="1:1" x14ac:dyDescent="0.25">
      <c r="A1309" t="s">
        <v>1462</v>
      </c>
    </row>
    <row r="1310" spans="1:1" x14ac:dyDescent="0.25">
      <c r="A1310" t="s">
        <v>9945</v>
      </c>
    </row>
    <row r="1311" spans="1:1" x14ac:dyDescent="0.25">
      <c r="A1311" t="s">
        <v>9946</v>
      </c>
    </row>
    <row r="1312" spans="1:1" x14ac:dyDescent="0.25">
      <c r="A1312" t="s">
        <v>9947</v>
      </c>
    </row>
    <row r="1313" spans="1:1" x14ac:dyDescent="0.25">
      <c r="A1313" t="s">
        <v>9948</v>
      </c>
    </row>
    <row r="1314" spans="1:1" x14ac:dyDescent="0.25">
      <c r="A1314" t="s">
        <v>10083</v>
      </c>
    </row>
    <row r="1315" spans="1:1" x14ac:dyDescent="0.25">
      <c r="A1315" t="s">
        <v>10955</v>
      </c>
    </row>
    <row r="1316" spans="1:1" x14ac:dyDescent="0.25">
      <c r="A1316" t="s">
        <v>10956</v>
      </c>
    </row>
    <row r="1317" spans="1:1" x14ac:dyDescent="0.25">
      <c r="A1317" t="s">
        <v>10957</v>
      </c>
    </row>
    <row r="1318" spans="1:1" x14ac:dyDescent="0.25">
      <c r="A1318" t="s">
        <v>10958</v>
      </c>
    </row>
    <row r="1319" spans="1:1" x14ac:dyDescent="0.25">
      <c r="A1319" t="s">
        <v>10959</v>
      </c>
    </row>
    <row r="1320" spans="1:1" x14ac:dyDescent="0.25">
      <c r="A1320" t="s">
        <v>10960</v>
      </c>
    </row>
    <row r="1321" spans="1:1" x14ac:dyDescent="0.25">
      <c r="A1321" t="s">
        <v>10961</v>
      </c>
    </row>
    <row r="1322" spans="1:1" x14ac:dyDescent="0.25">
      <c r="A1322" t="s">
        <v>10962</v>
      </c>
    </row>
    <row r="1323" spans="1:1" x14ac:dyDescent="0.25">
      <c r="A1323" t="s">
        <v>10963</v>
      </c>
    </row>
    <row r="1324" spans="1:1" x14ac:dyDescent="0.25">
      <c r="A1324" t="s">
        <v>10964</v>
      </c>
    </row>
    <row r="1325" spans="1:1" x14ac:dyDescent="0.25">
      <c r="A1325" t="s">
        <v>10965</v>
      </c>
    </row>
    <row r="1326" spans="1:1" x14ac:dyDescent="0.25">
      <c r="A1326" t="s">
        <v>10966</v>
      </c>
    </row>
    <row r="1327" spans="1:1" x14ac:dyDescent="0.25">
      <c r="A1327" t="s">
        <v>10967</v>
      </c>
    </row>
    <row r="1328" spans="1:1" x14ac:dyDescent="0.25">
      <c r="A1328" t="s">
        <v>10968</v>
      </c>
    </row>
    <row r="1329" spans="1:1" x14ac:dyDescent="0.25">
      <c r="A1329" t="s">
        <v>10969</v>
      </c>
    </row>
    <row r="1330" spans="1:1" x14ac:dyDescent="0.25">
      <c r="A1330" t="s">
        <v>10970</v>
      </c>
    </row>
    <row r="1331" spans="1:1" x14ac:dyDescent="0.25">
      <c r="A1331" t="s">
        <v>10971</v>
      </c>
    </row>
    <row r="1332" spans="1:1" x14ac:dyDescent="0.25">
      <c r="A1332" t="s">
        <v>1452</v>
      </c>
    </row>
    <row r="1333" spans="1:1" x14ac:dyDescent="0.25">
      <c r="A1333" t="s">
        <v>1454</v>
      </c>
    </row>
    <row r="1334" spans="1:1" x14ac:dyDescent="0.25">
      <c r="A1334" t="s">
        <v>4722</v>
      </c>
    </row>
    <row r="1335" spans="1:1" x14ac:dyDescent="0.25">
      <c r="A1335" t="s">
        <v>10972</v>
      </c>
    </row>
    <row r="1336" spans="1:1" x14ac:dyDescent="0.25">
      <c r="A1336" t="s">
        <v>4665</v>
      </c>
    </row>
    <row r="1337" spans="1:1" x14ac:dyDescent="0.25">
      <c r="A1337" t="s">
        <v>4666</v>
      </c>
    </row>
    <row r="1338" spans="1:1" x14ac:dyDescent="0.25">
      <c r="A1338" t="s">
        <v>4667</v>
      </c>
    </row>
    <row r="1339" spans="1:1" x14ac:dyDescent="0.25">
      <c r="A1339" t="s">
        <v>10973</v>
      </c>
    </row>
    <row r="1340" spans="1:1" x14ac:dyDescent="0.25">
      <c r="A1340" t="s">
        <v>10974</v>
      </c>
    </row>
    <row r="1341" spans="1:1" x14ac:dyDescent="0.25">
      <c r="A1341" t="s">
        <v>2772</v>
      </c>
    </row>
    <row r="1342" spans="1:1" x14ac:dyDescent="0.25">
      <c r="A1342" t="s">
        <v>4685</v>
      </c>
    </row>
    <row r="1343" spans="1:1" x14ac:dyDescent="0.25">
      <c r="A1343" t="s">
        <v>3945</v>
      </c>
    </row>
    <row r="1344" spans="1:1" x14ac:dyDescent="0.25">
      <c r="A1344" t="s">
        <v>3946</v>
      </c>
    </row>
    <row r="1345" spans="1:1" x14ac:dyDescent="0.25">
      <c r="A1345" t="s">
        <v>3947</v>
      </c>
    </row>
    <row r="1346" spans="1:1" x14ac:dyDescent="0.25">
      <c r="A1346" t="s">
        <v>4668</v>
      </c>
    </row>
    <row r="1347" spans="1:1" x14ac:dyDescent="0.25">
      <c r="A1347" t="s">
        <v>4669</v>
      </c>
    </row>
    <row r="1348" spans="1:1" x14ac:dyDescent="0.25">
      <c r="A1348" t="s">
        <v>4723</v>
      </c>
    </row>
    <row r="1349" spans="1:1" x14ac:dyDescent="0.25">
      <c r="A1349" t="s">
        <v>4724</v>
      </c>
    </row>
    <row r="1350" spans="1:1" x14ac:dyDescent="0.25">
      <c r="A1350" t="s">
        <v>10975</v>
      </c>
    </row>
    <row r="1351" spans="1:1" x14ac:dyDescent="0.25">
      <c r="A1351" t="s">
        <v>10976</v>
      </c>
    </row>
    <row r="1352" spans="1:1" x14ac:dyDescent="0.25">
      <c r="A1352" t="s">
        <v>10977</v>
      </c>
    </row>
    <row r="1353" spans="1:1" x14ac:dyDescent="0.25">
      <c r="A1353" t="s">
        <v>10978</v>
      </c>
    </row>
    <row r="1354" spans="1:1" x14ac:dyDescent="0.25">
      <c r="A1354" t="s">
        <v>10979</v>
      </c>
    </row>
    <row r="1355" spans="1:1" x14ac:dyDescent="0.25">
      <c r="A1355" t="s">
        <v>10980</v>
      </c>
    </row>
    <row r="1356" spans="1:1" x14ac:dyDescent="0.25">
      <c r="A1356" t="s">
        <v>10981</v>
      </c>
    </row>
    <row r="1357" spans="1:1" x14ac:dyDescent="0.25">
      <c r="A1357" t="s">
        <v>10982</v>
      </c>
    </row>
    <row r="1358" spans="1:1" x14ac:dyDescent="0.25">
      <c r="A1358" t="s">
        <v>10983</v>
      </c>
    </row>
    <row r="1359" spans="1:1" x14ac:dyDescent="0.25">
      <c r="A1359" t="s">
        <v>10984</v>
      </c>
    </row>
    <row r="1360" spans="1:1" x14ac:dyDescent="0.25">
      <c r="A1360" t="s">
        <v>10985</v>
      </c>
    </row>
    <row r="1361" spans="1:1" x14ac:dyDescent="0.25">
      <c r="A1361" t="s">
        <v>10986</v>
      </c>
    </row>
    <row r="1362" spans="1:1" x14ac:dyDescent="0.25">
      <c r="A1362" t="s">
        <v>10987</v>
      </c>
    </row>
    <row r="1363" spans="1:1" x14ac:dyDescent="0.25">
      <c r="A1363" t="s">
        <v>10988</v>
      </c>
    </row>
    <row r="1364" spans="1:1" x14ac:dyDescent="0.25">
      <c r="A1364" t="s">
        <v>10989</v>
      </c>
    </row>
    <row r="1365" spans="1:1" x14ac:dyDescent="0.25">
      <c r="A1365" t="s">
        <v>10990</v>
      </c>
    </row>
    <row r="1366" spans="1:1" x14ac:dyDescent="0.25">
      <c r="A1366" t="s">
        <v>10991</v>
      </c>
    </row>
    <row r="1367" spans="1:1" x14ac:dyDescent="0.25">
      <c r="A1367" t="s">
        <v>10992</v>
      </c>
    </row>
    <row r="1368" spans="1:1" x14ac:dyDescent="0.25">
      <c r="A1368" t="s">
        <v>10993</v>
      </c>
    </row>
    <row r="1369" spans="1:1" x14ac:dyDescent="0.25">
      <c r="A1369" t="s">
        <v>10994</v>
      </c>
    </row>
    <row r="1370" spans="1:1" x14ac:dyDescent="0.25">
      <c r="A1370" t="s">
        <v>10995</v>
      </c>
    </row>
    <row r="1371" spans="1:1" x14ac:dyDescent="0.25">
      <c r="A1371" t="s">
        <v>10996</v>
      </c>
    </row>
    <row r="1372" spans="1:1" x14ac:dyDescent="0.25">
      <c r="A1372" t="s">
        <v>10997</v>
      </c>
    </row>
    <row r="1373" spans="1:1" x14ac:dyDescent="0.25">
      <c r="A1373" t="s">
        <v>10998</v>
      </c>
    </row>
    <row r="1374" spans="1:1" x14ac:dyDescent="0.25">
      <c r="A1374" t="s">
        <v>10999</v>
      </c>
    </row>
    <row r="1375" spans="1:1" x14ac:dyDescent="0.25">
      <c r="A1375" t="s">
        <v>11000</v>
      </c>
    </row>
    <row r="1376" spans="1:1" x14ac:dyDescent="0.25">
      <c r="A1376" t="s">
        <v>11001</v>
      </c>
    </row>
    <row r="1377" spans="1:1" x14ac:dyDescent="0.25">
      <c r="A1377" t="s">
        <v>11002</v>
      </c>
    </row>
    <row r="1378" spans="1:1" x14ac:dyDescent="0.25">
      <c r="A1378" t="s">
        <v>11003</v>
      </c>
    </row>
    <row r="1379" spans="1:1" x14ac:dyDescent="0.25">
      <c r="A1379" t="s">
        <v>11004</v>
      </c>
    </row>
    <row r="1380" spans="1:1" x14ac:dyDescent="0.25">
      <c r="A1380" t="s">
        <v>11005</v>
      </c>
    </row>
    <row r="1381" spans="1:1" x14ac:dyDescent="0.25">
      <c r="A1381" t="s">
        <v>11006</v>
      </c>
    </row>
    <row r="1382" spans="1:1" x14ac:dyDescent="0.25">
      <c r="A1382" t="s">
        <v>11007</v>
      </c>
    </row>
    <row r="1383" spans="1:1" x14ac:dyDescent="0.25">
      <c r="A1383" t="s">
        <v>11008</v>
      </c>
    </row>
    <row r="1384" spans="1:1" x14ac:dyDescent="0.25">
      <c r="A1384" t="s">
        <v>11009</v>
      </c>
    </row>
    <row r="1385" spans="1:1" x14ac:dyDescent="0.25">
      <c r="A1385" t="s">
        <v>9954</v>
      </c>
    </row>
    <row r="1386" spans="1:1" x14ac:dyDescent="0.25">
      <c r="A1386" t="s">
        <v>3948</v>
      </c>
    </row>
    <row r="1387" spans="1:1" x14ac:dyDescent="0.25">
      <c r="A1387" t="s">
        <v>3321</v>
      </c>
    </row>
    <row r="1388" spans="1:1" x14ac:dyDescent="0.25">
      <c r="A1388" t="s">
        <v>714</v>
      </c>
    </row>
    <row r="1389" spans="1:1" x14ac:dyDescent="0.25">
      <c r="A1389" t="s">
        <v>3683</v>
      </c>
    </row>
    <row r="1390" spans="1:1" x14ac:dyDescent="0.25">
      <c r="A1390" t="s">
        <v>4442</v>
      </c>
    </row>
    <row r="1391" spans="1:1" x14ac:dyDescent="0.25">
      <c r="A1391" t="s">
        <v>1926</v>
      </c>
    </row>
    <row r="1392" spans="1:1" x14ac:dyDescent="0.25">
      <c r="A1392" t="s">
        <v>1676</v>
      </c>
    </row>
    <row r="1393" spans="1:1" x14ac:dyDescent="0.25">
      <c r="A1393" t="s">
        <v>1678</v>
      </c>
    </row>
    <row r="1394" spans="1:1" x14ac:dyDescent="0.25">
      <c r="A1394" t="s">
        <v>1807</v>
      </c>
    </row>
    <row r="1395" spans="1:1" x14ac:dyDescent="0.25">
      <c r="A1395" t="s">
        <v>6109</v>
      </c>
    </row>
    <row r="1396" spans="1:1" x14ac:dyDescent="0.25">
      <c r="A1396" t="s">
        <v>4557</v>
      </c>
    </row>
    <row r="1397" spans="1:1" x14ac:dyDescent="0.25">
      <c r="A1397" t="s">
        <v>4558</v>
      </c>
    </row>
    <row r="1398" spans="1:1" x14ac:dyDescent="0.25">
      <c r="A1398" t="s">
        <v>2151</v>
      </c>
    </row>
    <row r="1399" spans="1:1" x14ac:dyDescent="0.25">
      <c r="A1399" t="s">
        <v>10191</v>
      </c>
    </row>
    <row r="1400" spans="1:1" x14ac:dyDescent="0.25">
      <c r="A1400" t="s">
        <v>2933</v>
      </c>
    </row>
    <row r="1401" spans="1:1" x14ac:dyDescent="0.25">
      <c r="A1401" t="s">
        <v>2935</v>
      </c>
    </row>
    <row r="1402" spans="1:1" x14ac:dyDescent="0.25">
      <c r="A1402" t="s">
        <v>3901</v>
      </c>
    </row>
    <row r="1403" spans="1:1" x14ac:dyDescent="0.25">
      <c r="A1403" t="s">
        <v>3901</v>
      </c>
    </row>
    <row r="1404" spans="1:1" x14ac:dyDescent="0.25">
      <c r="A1404" t="s">
        <v>2992</v>
      </c>
    </row>
    <row r="1405" spans="1:1" x14ac:dyDescent="0.25">
      <c r="A1405" t="s">
        <v>3298</v>
      </c>
    </row>
    <row r="1406" spans="1:1" x14ac:dyDescent="0.25">
      <c r="A1406" t="s">
        <v>4397</v>
      </c>
    </row>
    <row r="1407" spans="1:1" x14ac:dyDescent="0.25">
      <c r="A1407" t="s">
        <v>2633</v>
      </c>
    </row>
    <row r="1408" spans="1:1" x14ac:dyDescent="0.25">
      <c r="A1408" t="s">
        <v>2636</v>
      </c>
    </row>
    <row r="1409" spans="1:1" x14ac:dyDescent="0.25">
      <c r="A1409" t="s">
        <v>2638</v>
      </c>
    </row>
    <row r="1410" spans="1:1" x14ac:dyDescent="0.25">
      <c r="A1410" t="s">
        <v>6216</v>
      </c>
    </row>
    <row r="1411" spans="1:1" x14ac:dyDescent="0.25">
      <c r="A1411" t="s">
        <v>3063</v>
      </c>
    </row>
    <row r="1412" spans="1:1" x14ac:dyDescent="0.25">
      <c r="A1412" t="s">
        <v>3065</v>
      </c>
    </row>
    <row r="1413" spans="1:1" x14ac:dyDescent="0.25">
      <c r="A1413" t="s">
        <v>3067</v>
      </c>
    </row>
    <row r="1414" spans="1:1" x14ac:dyDescent="0.25">
      <c r="A1414" t="s">
        <v>3069</v>
      </c>
    </row>
    <row r="1415" spans="1:1" x14ac:dyDescent="0.25">
      <c r="A1415" t="s">
        <v>3071</v>
      </c>
    </row>
    <row r="1416" spans="1:1" x14ac:dyDescent="0.25">
      <c r="A1416" t="s">
        <v>3073</v>
      </c>
    </row>
    <row r="1417" spans="1:1" x14ac:dyDescent="0.25">
      <c r="A1417" t="s">
        <v>3075</v>
      </c>
    </row>
    <row r="1418" spans="1:1" x14ac:dyDescent="0.25">
      <c r="A1418" t="s">
        <v>3077</v>
      </c>
    </row>
    <row r="1419" spans="1:1" x14ac:dyDescent="0.25">
      <c r="A1419" t="s">
        <v>3114</v>
      </c>
    </row>
    <row r="1420" spans="1:1" x14ac:dyDescent="0.25">
      <c r="A1420" t="s">
        <v>3079</v>
      </c>
    </row>
    <row r="1421" spans="1:1" x14ac:dyDescent="0.25">
      <c r="A1421" t="s">
        <v>3081</v>
      </c>
    </row>
    <row r="1422" spans="1:1" x14ac:dyDescent="0.25">
      <c r="A1422" t="s">
        <v>3083</v>
      </c>
    </row>
    <row r="1423" spans="1:1" x14ac:dyDescent="0.25">
      <c r="A1423" t="s">
        <v>3085</v>
      </c>
    </row>
    <row r="1424" spans="1:1" x14ac:dyDescent="0.25">
      <c r="A1424" t="s">
        <v>3917</v>
      </c>
    </row>
    <row r="1425" spans="1:1" x14ac:dyDescent="0.25">
      <c r="A1425" t="s">
        <v>3088</v>
      </c>
    </row>
    <row r="1426" spans="1:1" x14ac:dyDescent="0.25">
      <c r="A1426" t="s">
        <v>3090</v>
      </c>
    </row>
    <row r="1427" spans="1:1" x14ac:dyDescent="0.25">
      <c r="A1427" t="s">
        <v>3092</v>
      </c>
    </row>
    <row r="1428" spans="1:1" x14ac:dyDescent="0.25">
      <c r="A1428" t="s">
        <v>3094</v>
      </c>
    </row>
    <row r="1429" spans="1:1" x14ac:dyDescent="0.25">
      <c r="A1429" t="s">
        <v>3096</v>
      </c>
    </row>
    <row r="1430" spans="1:1" x14ac:dyDescent="0.25">
      <c r="A1430" t="s">
        <v>3098</v>
      </c>
    </row>
    <row r="1431" spans="1:1" x14ac:dyDescent="0.25">
      <c r="A1431" t="s">
        <v>3104</v>
      </c>
    </row>
    <row r="1432" spans="1:1" x14ac:dyDescent="0.25">
      <c r="A1432" t="s">
        <v>3102</v>
      </c>
    </row>
    <row r="1433" spans="1:1" x14ac:dyDescent="0.25">
      <c r="A1433" t="s">
        <v>3106</v>
      </c>
    </row>
    <row r="1434" spans="1:1" x14ac:dyDescent="0.25">
      <c r="A1434" t="s">
        <v>3108</v>
      </c>
    </row>
    <row r="1435" spans="1:1" x14ac:dyDescent="0.25">
      <c r="A1435" t="s">
        <v>3100</v>
      </c>
    </row>
    <row r="1436" spans="1:1" x14ac:dyDescent="0.25">
      <c r="A1436" t="s">
        <v>3110</v>
      </c>
    </row>
    <row r="1437" spans="1:1" x14ac:dyDescent="0.25">
      <c r="A1437" t="s">
        <v>3112</v>
      </c>
    </row>
    <row r="1438" spans="1:1" x14ac:dyDescent="0.25">
      <c r="A1438" t="s">
        <v>3116</v>
      </c>
    </row>
    <row r="1439" spans="1:1" x14ac:dyDescent="0.25">
      <c r="A1439" t="s">
        <v>3583</v>
      </c>
    </row>
    <row r="1440" spans="1:1" x14ac:dyDescent="0.25">
      <c r="A1440" t="s">
        <v>3584</v>
      </c>
    </row>
    <row r="1441" spans="1:1" x14ac:dyDescent="0.25">
      <c r="A1441" t="s">
        <v>3585</v>
      </c>
    </row>
    <row r="1442" spans="1:1" x14ac:dyDescent="0.25">
      <c r="A1442" t="s">
        <v>3586</v>
      </c>
    </row>
    <row r="1443" spans="1:1" x14ac:dyDescent="0.25">
      <c r="A1443" t="s">
        <v>3587</v>
      </c>
    </row>
    <row r="1444" spans="1:1" x14ac:dyDescent="0.25">
      <c r="A1444" t="s">
        <v>845</v>
      </c>
    </row>
    <row r="1445" spans="1:1" x14ac:dyDescent="0.25">
      <c r="A1445" t="s">
        <v>9807</v>
      </c>
    </row>
    <row r="1446" spans="1:1" x14ac:dyDescent="0.25">
      <c r="A1446" t="s">
        <v>9808</v>
      </c>
    </row>
    <row r="1447" spans="1:1" x14ac:dyDescent="0.25">
      <c r="A1447" t="s">
        <v>4622</v>
      </c>
    </row>
    <row r="1448" spans="1:1" x14ac:dyDescent="0.25">
      <c r="A1448" t="s">
        <v>4622</v>
      </c>
    </row>
    <row r="1449" spans="1:1" x14ac:dyDescent="0.25">
      <c r="A1449" t="s">
        <v>3588</v>
      </c>
    </row>
    <row r="1450" spans="1:1" x14ac:dyDescent="0.25">
      <c r="A1450" t="s">
        <v>9809</v>
      </c>
    </row>
    <row r="1451" spans="1:1" x14ac:dyDescent="0.25">
      <c r="A1451" t="s">
        <v>9817</v>
      </c>
    </row>
    <row r="1452" spans="1:1" x14ac:dyDescent="0.25">
      <c r="A1452" t="s">
        <v>9810</v>
      </c>
    </row>
    <row r="1453" spans="1:1" x14ac:dyDescent="0.25">
      <c r="A1453" t="s">
        <v>9811</v>
      </c>
    </row>
    <row r="1454" spans="1:1" x14ac:dyDescent="0.25">
      <c r="A1454" t="s">
        <v>9812</v>
      </c>
    </row>
    <row r="1455" spans="1:1" x14ac:dyDescent="0.25">
      <c r="A1455" t="s">
        <v>9813</v>
      </c>
    </row>
    <row r="1456" spans="1:1" x14ac:dyDescent="0.25">
      <c r="A1456" t="s">
        <v>2790</v>
      </c>
    </row>
    <row r="1457" spans="1:1" x14ac:dyDescent="0.25">
      <c r="A1457" t="s">
        <v>2790</v>
      </c>
    </row>
    <row r="1458" spans="1:1" x14ac:dyDescent="0.25">
      <c r="A1458" t="s">
        <v>9814</v>
      </c>
    </row>
    <row r="1459" spans="1:1" x14ac:dyDescent="0.25">
      <c r="A1459" t="s">
        <v>9815</v>
      </c>
    </row>
    <row r="1460" spans="1:1" x14ac:dyDescent="0.25">
      <c r="A1460" t="s">
        <v>9816</v>
      </c>
    </row>
    <row r="1461" spans="1:1" x14ac:dyDescent="0.25">
      <c r="A1461" t="s">
        <v>292</v>
      </c>
    </row>
    <row r="1462" spans="1:1" x14ac:dyDescent="0.25">
      <c r="A1462" t="s">
        <v>10436</v>
      </c>
    </row>
    <row r="1463" spans="1:1" x14ac:dyDescent="0.25">
      <c r="A1463" t="s">
        <v>10437</v>
      </c>
    </row>
    <row r="1464" spans="1:1" x14ac:dyDescent="0.25">
      <c r="A1464" t="s">
        <v>10438</v>
      </c>
    </row>
    <row r="1465" spans="1:1" x14ac:dyDescent="0.25">
      <c r="A1465" t="s">
        <v>10439</v>
      </c>
    </row>
    <row r="1466" spans="1:1" x14ac:dyDescent="0.25">
      <c r="A1466" t="s">
        <v>10642</v>
      </c>
    </row>
    <row r="1467" spans="1:1" x14ac:dyDescent="0.25">
      <c r="A1467" t="s">
        <v>10441</v>
      </c>
    </row>
    <row r="1468" spans="1:1" x14ac:dyDescent="0.25">
      <c r="A1468" t="s">
        <v>10442</v>
      </c>
    </row>
    <row r="1469" spans="1:1" x14ac:dyDescent="0.25">
      <c r="A1469" t="s">
        <v>10443</v>
      </c>
    </row>
    <row r="1470" spans="1:1" x14ac:dyDescent="0.25">
      <c r="A1470" t="s">
        <v>10444</v>
      </c>
    </row>
    <row r="1471" spans="1:1" x14ac:dyDescent="0.25">
      <c r="A1471" t="s">
        <v>10445</v>
      </c>
    </row>
    <row r="1472" spans="1:1" x14ac:dyDescent="0.25">
      <c r="A1472" t="s">
        <v>10446</v>
      </c>
    </row>
    <row r="1473" spans="1:1" x14ac:dyDescent="0.25">
      <c r="A1473" t="s">
        <v>10447</v>
      </c>
    </row>
    <row r="1474" spans="1:1" x14ac:dyDescent="0.25">
      <c r="A1474" t="s">
        <v>10448</v>
      </c>
    </row>
    <row r="1475" spans="1:1" x14ac:dyDescent="0.25">
      <c r="A1475" t="s">
        <v>2980</v>
      </c>
    </row>
    <row r="1476" spans="1:1" x14ac:dyDescent="0.25">
      <c r="A1476" t="s">
        <v>3535</v>
      </c>
    </row>
    <row r="1477" spans="1:1" x14ac:dyDescent="0.25">
      <c r="A1477" t="s">
        <v>112</v>
      </c>
    </row>
    <row r="1478" spans="1:1" x14ac:dyDescent="0.25">
      <c r="A1478" t="s">
        <v>466</v>
      </c>
    </row>
    <row r="1479" spans="1:1" x14ac:dyDescent="0.25">
      <c r="A1479" t="s">
        <v>10542</v>
      </c>
    </row>
    <row r="1480" spans="1:1" x14ac:dyDescent="0.25">
      <c r="A1480" t="s">
        <v>468</v>
      </c>
    </row>
    <row r="1481" spans="1:1" x14ac:dyDescent="0.25">
      <c r="A1481" t="s">
        <v>879</v>
      </c>
    </row>
    <row r="1482" spans="1:1" x14ac:dyDescent="0.25">
      <c r="A1482" t="s">
        <v>9962</v>
      </c>
    </row>
    <row r="1483" spans="1:1" x14ac:dyDescent="0.25">
      <c r="A1483" t="s">
        <v>874</v>
      </c>
    </row>
    <row r="1484" spans="1:1" x14ac:dyDescent="0.25">
      <c r="A1484" t="s">
        <v>9965</v>
      </c>
    </row>
    <row r="1485" spans="1:1" x14ac:dyDescent="0.25">
      <c r="A1485" t="s">
        <v>9966</v>
      </c>
    </row>
    <row r="1486" spans="1:1" x14ac:dyDescent="0.25">
      <c r="A1486" t="s">
        <v>9967</v>
      </c>
    </row>
    <row r="1487" spans="1:1" x14ac:dyDescent="0.25">
      <c r="A1487" t="s">
        <v>1464</v>
      </c>
    </row>
    <row r="1488" spans="1:1" x14ac:dyDescent="0.25">
      <c r="A1488" t="s">
        <v>9968</v>
      </c>
    </row>
    <row r="1489" spans="1:1" x14ac:dyDescent="0.25">
      <c r="A1489" t="s">
        <v>9969</v>
      </c>
    </row>
    <row r="1490" spans="1:1" x14ac:dyDescent="0.25">
      <c r="A1490" t="s">
        <v>9964</v>
      </c>
    </row>
    <row r="1491" spans="1:1" x14ac:dyDescent="0.25">
      <c r="A1491" t="s">
        <v>3592</v>
      </c>
    </row>
    <row r="1492" spans="1:1" x14ac:dyDescent="0.25">
      <c r="A1492" t="s">
        <v>9961</v>
      </c>
    </row>
    <row r="1493" spans="1:1" x14ac:dyDescent="0.25">
      <c r="A1493" t="s">
        <v>9963</v>
      </c>
    </row>
    <row r="1494" spans="1:1" x14ac:dyDescent="0.25">
      <c r="A1494" t="s">
        <v>3551</v>
      </c>
    </row>
    <row r="1495" spans="1:1" x14ac:dyDescent="0.25">
      <c r="A1495" t="s">
        <v>3552</v>
      </c>
    </row>
    <row r="1496" spans="1:1" x14ac:dyDescent="0.25">
      <c r="A1496" t="s">
        <v>10411</v>
      </c>
    </row>
    <row r="1497" spans="1:1" x14ac:dyDescent="0.25">
      <c r="A1497" t="s">
        <v>4602</v>
      </c>
    </row>
    <row r="1498" spans="1:1" x14ac:dyDescent="0.25">
      <c r="A1498" t="s">
        <v>4603</v>
      </c>
    </row>
    <row r="1499" spans="1:1" x14ac:dyDescent="0.25">
      <c r="A1499" t="s">
        <v>887</v>
      </c>
    </row>
    <row r="1500" spans="1:1" x14ac:dyDescent="0.25">
      <c r="A1500" t="s">
        <v>9863</v>
      </c>
    </row>
    <row r="1501" spans="1:1" x14ac:dyDescent="0.25">
      <c r="A1501" t="s">
        <v>9866</v>
      </c>
    </row>
    <row r="1502" spans="1:1" x14ac:dyDescent="0.25">
      <c r="A1502" t="s">
        <v>699</v>
      </c>
    </row>
    <row r="1503" spans="1:1" x14ac:dyDescent="0.25">
      <c r="A1503" t="s">
        <v>701</v>
      </c>
    </row>
    <row r="1504" spans="1:1" x14ac:dyDescent="0.25">
      <c r="A1504" t="s">
        <v>1467</v>
      </c>
    </row>
    <row r="1505" spans="1:1" x14ac:dyDescent="0.25">
      <c r="A1505" t="s">
        <v>1472</v>
      </c>
    </row>
    <row r="1506" spans="1:1" x14ac:dyDescent="0.25">
      <c r="A1506" t="s">
        <v>1470</v>
      </c>
    </row>
    <row r="1507" spans="1:1" x14ac:dyDescent="0.25">
      <c r="A1507" t="s">
        <v>1474</v>
      </c>
    </row>
    <row r="1508" spans="1:1" x14ac:dyDescent="0.25">
      <c r="A1508" t="s">
        <v>9972</v>
      </c>
    </row>
    <row r="1509" spans="1:1" x14ac:dyDescent="0.25">
      <c r="A1509" t="s">
        <v>9974</v>
      </c>
    </row>
    <row r="1510" spans="1:1" x14ac:dyDescent="0.25">
      <c r="A1510" t="s">
        <v>9975</v>
      </c>
    </row>
    <row r="1511" spans="1:1" x14ac:dyDescent="0.25">
      <c r="A1511" t="s">
        <v>9976</v>
      </c>
    </row>
    <row r="1512" spans="1:1" x14ac:dyDescent="0.25">
      <c r="A1512" t="s">
        <v>9977</v>
      </c>
    </row>
    <row r="1513" spans="1:1" x14ac:dyDescent="0.25">
      <c r="A1513" t="s">
        <v>9973</v>
      </c>
    </row>
    <row r="1514" spans="1:1" x14ac:dyDescent="0.25">
      <c r="A1514" t="s">
        <v>6101</v>
      </c>
    </row>
    <row r="1515" spans="1:1" x14ac:dyDescent="0.25">
      <c r="A1515" t="s">
        <v>729</v>
      </c>
    </row>
    <row r="1516" spans="1:1" x14ac:dyDescent="0.25">
      <c r="A1516" t="s">
        <v>816</v>
      </c>
    </row>
    <row r="1517" spans="1:1" x14ac:dyDescent="0.25">
      <c r="A1517" t="s">
        <v>818</v>
      </c>
    </row>
    <row r="1518" spans="1:1" x14ac:dyDescent="0.25">
      <c r="A1518" t="s">
        <v>3637</v>
      </c>
    </row>
    <row r="1519" spans="1:1" x14ac:dyDescent="0.25">
      <c r="A1519" t="s">
        <v>3638</v>
      </c>
    </row>
    <row r="1520" spans="1:1" x14ac:dyDescent="0.25">
      <c r="A1520" t="s">
        <v>6099</v>
      </c>
    </row>
    <row r="1521" spans="1:1" x14ac:dyDescent="0.25">
      <c r="A1521" t="s">
        <v>1252</v>
      </c>
    </row>
    <row r="1522" spans="1:1" x14ac:dyDescent="0.25">
      <c r="A1522" t="s">
        <v>1254</v>
      </c>
    </row>
    <row r="1523" spans="1:1" x14ac:dyDescent="0.25">
      <c r="A1523" t="s">
        <v>3654</v>
      </c>
    </row>
    <row r="1524" spans="1:1" x14ac:dyDescent="0.25">
      <c r="A1524" t="s">
        <v>3655</v>
      </c>
    </row>
    <row r="1525" spans="1:1" x14ac:dyDescent="0.25">
      <c r="A1525" t="s">
        <v>1312</v>
      </c>
    </row>
    <row r="1526" spans="1:1" x14ac:dyDescent="0.25">
      <c r="A1526" t="s">
        <v>2275</v>
      </c>
    </row>
    <row r="1527" spans="1:1" x14ac:dyDescent="0.25">
      <c r="A1527" t="s">
        <v>1882</v>
      </c>
    </row>
    <row r="1528" spans="1:1" x14ac:dyDescent="0.25">
      <c r="A1528" t="s">
        <v>10414</v>
      </c>
    </row>
    <row r="1529" spans="1:1" x14ac:dyDescent="0.25">
      <c r="A1529" t="s">
        <v>1333</v>
      </c>
    </row>
    <row r="1530" spans="1:1" x14ac:dyDescent="0.25">
      <c r="A1530" t="s">
        <v>10692</v>
      </c>
    </row>
    <row r="1531" spans="1:1" x14ac:dyDescent="0.25">
      <c r="A1531" t="s">
        <v>1920</v>
      </c>
    </row>
    <row r="1532" spans="1:1" x14ac:dyDescent="0.25">
      <c r="A1532" t="s">
        <v>9955</v>
      </c>
    </row>
    <row r="1533" spans="1:1" x14ac:dyDescent="0.25">
      <c r="A1533" t="s">
        <v>9956</v>
      </c>
    </row>
    <row r="1534" spans="1:1" x14ac:dyDescent="0.25">
      <c r="A1534" t="s">
        <v>9957</v>
      </c>
    </row>
    <row r="1535" spans="1:1" x14ac:dyDescent="0.25">
      <c r="A1535" t="s">
        <v>9958</v>
      </c>
    </row>
    <row r="1536" spans="1:1" x14ac:dyDescent="0.25">
      <c r="A1536" t="s">
        <v>9959</v>
      </c>
    </row>
    <row r="1537" spans="1:1" x14ac:dyDescent="0.25">
      <c r="A1537" t="s">
        <v>9960</v>
      </c>
    </row>
    <row r="1538" spans="1:1" x14ac:dyDescent="0.25">
      <c r="A1538" t="s">
        <v>9970</v>
      </c>
    </row>
    <row r="1539" spans="1:1" x14ac:dyDescent="0.25">
      <c r="A1539" t="s">
        <v>9971</v>
      </c>
    </row>
    <row r="1540" spans="1:1" x14ac:dyDescent="0.25">
      <c r="A1540" t="s">
        <v>1476</v>
      </c>
    </row>
    <row r="1541" spans="1:1" x14ac:dyDescent="0.25">
      <c r="A1541" t="s">
        <v>1478</v>
      </c>
    </row>
    <row r="1542" spans="1:1" x14ac:dyDescent="0.25">
      <c r="A1542" t="s">
        <v>1480</v>
      </c>
    </row>
    <row r="1543" spans="1:1" x14ac:dyDescent="0.25">
      <c r="A1543" t="s">
        <v>1482</v>
      </c>
    </row>
    <row r="1544" spans="1:1" x14ac:dyDescent="0.25">
      <c r="A1544" t="s">
        <v>1484</v>
      </c>
    </row>
    <row r="1545" spans="1:1" x14ac:dyDescent="0.25">
      <c r="A1545" t="s">
        <v>9978</v>
      </c>
    </row>
    <row r="1546" spans="1:1" x14ac:dyDescent="0.25">
      <c r="A1546" t="s">
        <v>9888</v>
      </c>
    </row>
    <row r="1547" spans="1:1" x14ac:dyDescent="0.25">
      <c r="A1547" t="s">
        <v>9889</v>
      </c>
    </row>
    <row r="1548" spans="1:1" x14ac:dyDescent="0.25">
      <c r="A1548" t="s">
        <v>9890</v>
      </c>
    </row>
    <row r="1549" spans="1:1" x14ac:dyDescent="0.25">
      <c r="A1549" t="s">
        <v>9891</v>
      </c>
    </row>
    <row r="1550" spans="1:1" x14ac:dyDescent="0.25">
      <c r="A1550" t="s">
        <v>1608</v>
      </c>
    </row>
    <row r="1551" spans="1:1" x14ac:dyDescent="0.25">
      <c r="A1551" t="s">
        <v>1610</v>
      </c>
    </row>
    <row r="1552" spans="1:1" x14ac:dyDescent="0.25">
      <c r="A1552" t="s">
        <v>974</v>
      </c>
    </row>
    <row r="1553" spans="1:1" x14ac:dyDescent="0.25">
      <c r="A1553" t="s">
        <v>976</v>
      </c>
    </row>
    <row r="1554" spans="1:1" x14ac:dyDescent="0.25">
      <c r="A1554" t="s">
        <v>1687</v>
      </c>
    </row>
    <row r="1555" spans="1:1" x14ac:dyDescent="0.25">
      <c r="A1555" t="s">
        <v>1689</v>
      </c>
    </row>
    <row r="1556" spans="1:1" x14ac:dyDescent="0.25">
      <c r="A1556" t="s">
        <v>1691</v>
      </c>
    </row>
    <row r="1557" spans="1:1" x14ac:dyDescent="0.25">
      <c r="A1557" t="s">
        <v>1789</v>
      </c>
    </row>
    <row r="1558" spans="1:1" x14ac:dyDescent="0.25">
      <c r="A1558" t="s">
        <v>9979</v>
      </c>
    </row>
    <row r="1559" spans="1:1" x14ac:dyDescent="0.25">
      <c r="A1559" t="s">
        <v>9979</v>
      </c>
    </row>
    <row r="1560" spans="1:1" x14ac:dyDescent="0.25">
      <c r="A1560" t="s">
        <v>10424</v>
      </c>
    </row>
    <row r="1561" spans="1:1" x14ac:dyDescent="0.25">
      <c r="A1561" t="s">
        <v>9982</v>
      </c>
    </row>
    <row r="1562" spans="1:1" x14ac:dyDescent="0.25">
      <c r="A1562" t="s">
        <v>9983</v>
      </c>
    </row>
    <row r="1563" spans="1:1" x14ac:dyDescent="0.25">
      <c r="A1563" t="s">
        <v>3784</v>
      </c>
    </row>
    <row r="1564" spans="1:1" x14ac:dyDescent="0.25">
      <c r="A1564" t="s">
        <v>6098</v>
      </c>
    </row>
    <row r="1565" spans="1:1" x14ac:dyDescent="0.25">
      <c r="A1565" t="s">
        <v>9980</v>
      </c>
    </row>
    <row r="1566" spans="1:1" x14ac:dyDescent="0.25">
      <c r="A1566" t="s">
        <v>1402</v>
      </c>
    </row>
    <row r="1567" spans="1:1" x14ac:dyDescent="0.25">
      <c r="A1567" t="s">
        <v>1404</v>
      </c>
    </row>
    <row r="1568" spans="1:1" x14ac:dyDescent="0.25">
      <c r="A1568" t="s">
        <v>1043</v>
      </c>
    </row>
    <row r="1569" spans="1:1" x14ac:dyDescent="0.25">
      <c r="A1569" t="s">
        <v>3825</v>
      </c>
    </row>
    <row r="1570" spans="1:1" x14ac:dyDescent="0.25">
      <c r="A1570" t="s">
        <v>10453</v>
      </c>
    </row>
    <row r="1571" spans="1:1" x14ac:dyDescent="0.25">
      <c r="A1571" t="s">
        <v>10451</v>
      </c>
    </row>
    <row r="1572" spans="1:1" x14ac:dyDescent="0.25">
      <c r="A1572" t="s">
        <v>10452</v>
      </c>
    </row>
    <row r="1573" spans="1:1" x14ac:dyDescent="0.25">
      <c r="A1573" t="s">
        <v>10450</v>
      </c>
    </row>
    <row r="1574" spans="1:1" x14ac:dyDescent="0.25">
      <c r="A1574" t="s">
        <v>10135</v>
      </c>
    </row>
    <row r="1575" spans="1:1" x14ac:dyDescent="0.25">
      <c r="A1575" t="s">
        <v>4518</v>
      </c>
    </row>
    <row r="1576" spans="1:1" x14ac:dyDescent="0.25">
      <c r="A1576" t="s">
        <v>2456</v>
      </c>
    </row>
    <row r="1577" spans="1:1" x14ac:dyDescent="0.25">
      <c r="A1577" t="s">
        <v>2458</v>
      </c>
    </row>
    <row r="1578" spans="1:1" x14ac:dyDescent="0.25">
      <c r="A1578" t="s">
        <v>6303</v>
      </c>
    </row>
    <row r="1579" spans="1:1" x14ac:dyDescent="0.25">
      <c r="A1579" t="s">
        <v>3830</v>
      </c>
    </row>
    <row r="1580" spans="1:1" x14ac:dyDescent="0.25">
      <c r="A1580" t="s">
        <v>10693</v>
      </c>
    </row>
    <row r="1581" spans="1:1" x14ac:dyDescent="0.25">
      <c r="A1581" t="s">
        <v>6092</v>
      </c>
    </row>
    <row r="1582" spans="1:1" x14ac:dyDescent="0.25">
      <c r="A1582" t="s">
        <v>2741</v>
      </c>
    </row>
    <row r="1583" spans="1:1" x14ac:dyDescent="0.25">
      <c r="A1583" t="s">
        <v>10434</v>
      </c>
    </row>
    <row r="1584" spans="1:1" x14ac:dyDescent="0.25">
      <c r="A1584" t="s">
        <v>10435</v>
      </c>
    </row>
    <row r="1585" spans="1:1" x14ac:dyDescent="0.25">
      <c r="A1585" t="s">
        <v>10440</v>
      </c>
    </row>
    <row r="1586" spans="1:1" x14ac:dyDescent="0.25">
      <c r="A1586" t="s">
        <v>10449</v>
      </c>
    </row>
    <row r="1587" spans="1:1" x14ac:dyDescent="0.25">
      <c r="A1587" t="s">
        <v>10690</v>
      </c>
    </row>
    <row r="1588" spans="1:1" x14ac:dyDescent="0.25">
      <c r="A1588" t="s">
        <v>9825</v>
      </c>
    </row>
    <row r="1589" spans="1:1" x14ac:dyDescent="0.25">
      <c r="A1589" t="s">
        <v>9826</v>
      </c>
    </row>
    <row r="1590" spans="1:1" x14ac:dyDescent="0.25">
      <c r="A1590" t="s">
        <v>9827</v>
      </c>
    </row>
    <row r="1591" spans="1:1" x14ac:dyDescent="0.25">
      <c r="A1591" t="s">
        <v>9828</v>
      </c>
    </row>
    <row r="1592" spans="1:1" x14ac:dyDescent="0.25">
      <c r="A1592" t="s">
        <v>9867</v>
      </c>
    </row>
    <row r="1593" spans="1:1" x14ac:dyDescent="0.25">
      <c r="A1593" t="s">
        <v>9868</v>
      </c>
    </row>
    <row r="1594" spans="1:1" x14ac:dyDescent="0.25">
      <c r="A1594" t="s">
        <v>9869</v>
      </c>
    </row>
    <row r="1595" spans="1:1" x14ac:dyDescent="0.25">
      <c r="A1595" t="s">
        <v>9870</v>
      </c>
    </row>
    <row r="1596" spans="1:1" x14ac:dyDescent="0.25">
      <c r="A1596" t="s">
        <v>10482</v>
      </c>
    </row>
    <row r="1597" spans="1:1" x14ac:dyDescent="0.25">
      <c r="A1597" t="s">
        <v>1131</v>
      </c>
    </row>
    <row r="1598" spans="1:1" x14ac:dyDescent="0.25">
      <c r="A1598" t="s">
        <v>9981</v>
      </c>
    </row>
    <row r="1599" spans="1:1" x14ac:dyDescent="0.25">
      <c r="A1599" t="s">
        <v>3057</v>
      </c>
    </row>
    <row r="1600" spans="1:1" x14ac:dyDescent="0.25">
      <c r="A1600" t="s">
        <v>3059</v>
      </c>
    </row>
    <row r="1601" spans="1:1" x14ac:dyDescent="0.25">
      <c r="A1601" t="s">
        <v>6091</v>
      </c>
    </row>
    <row r="1602" spans="1:1" x14ac:dyDescent="0.25">
      <c r="A1602" t="s">
        <v>6090</v>
      </c>
    </row>
    <row r="1603" spans="1:1" x14ac:dyDescent="0.25">
      <c r="A1603" t="s">
        <v>10339</v>
      </c>
    </row>
    <row r="1604" spans="1:1" x14ac:dyDescent="0.25">
      <c r="A1604" t="s">
        <v>10698</v>
      </c>
    </row>
    <row r="1605" spans="1:1" x14ac:dyDescent="0.25">
      <c r="A1605" t="s">
        <v>3284</v>
      </c>
    </row>
    <row r="1606" spans="1:1" x14ac:dyDescent="0.25">
      <c r="A1606" t="s">
        <v>3346</v>
      </c>
    </row>
    <row r="1607" spans="1:1" x14ac:dyDescent="0.25">
      <c r="A1607" t="s">
        <v>3348</v>
      </c>
    </row>
    <row r="1608" spans="1:1" x14ac:dyDescent="0.25">
      <c r="A1608" t="s">
        <v>3350</v>
      </c>
    </row>
    <row r="1609" spans="1:1" x14ac:dyDescent="0.25">
      <c r="A1609" t="s">
        <v>3352</v>
      </c>
    </row>
    <row r="1610" spans="1:1" x14ac:dyDescent="0.25">
      <c r="A1610" t="s">
        <v>4399</v>
      </c>
    </row>
    <row r="1611" spans="1:1" x14ac:dyDescent="0.25">
      <c r="A1611" t="s">
        <v>4400</v>
      </c>
    </row>
    <row r="1612" spans="1:1" x14ac:dyDescent="0.25">
      <c r="A1612" t="s">
        <v>4398</v>
      </c>
    </row>
    <row r="1613" spans="1:1" x14ac:dyDescent="0.25">
      <c r="A1613" t="s">
        <v>4389</v>
      </c>
    </row>
    <row r="1614" spans="1:1" x14ac:dyDescent="0.25">
      <c r="A1614" t="s">
        <v>4388</v>
      </c>
    </row>
    <row r="1615" spans="1:1" x14ac:dyDescent="0.25">
      <c r="A1615" t="s">
        <v>1171</v>
      </c>
    </row>
    <row r="1616" spans="1:1" x14ac:dyDescent="0.25">
      <c r="A1616" t="s">
        <v>1171</v>
      </c>
    </row>
    <row r="1617" spans="1:1" x14ac:dyDescent="0.25">
      <c r="A1617" t="s">
        <v>1169</v>
      </c>
    </row>
    <row r="1618" spans="1:1" x14ac:dyDescent="0.25">
      <c r="A1618" t="s">
        <v>10498</v>
      </c>
    </row>
    <row r="1619" spans="1:1" x14ac:dyDescent="0.25">
      <c r="A1619" t="s">
        <v>10493</v>
      </c>
    </row>
    <row r="1620" spans="1:1" x14ac:dyDescent="0.25">
      <c r="A1620" t="s">
        <v>6315</v>
      </c>
    </row>
    <row r="1621" spans="1:1" x14ac:dyDescent="0.25">
      <c r="A1621" t="s">
        <v>9843</v>
      </c>
    </row>
    <row r="1622" spans="1:1" x14ac:dyDescent="0.25">
      <c r="A1622" t="s">
        <v>9862</v>
      </c>
    </row>
    <row r="1623" spans="1:1" x14ac:dyDescent="0.25">
      <c r="A1623" t="s">
        <v>9864</v>
      </c>
    </row>
    <row r="1624" spans="1:1" x14ac:dyDescent="0.25">
      <c r="A1624" t="s">
        <v>9865</v>
      </c>
    </row>
    <row r="1625" spans="1:1" x14ac:dyDescent="0.25">
      <c r="A1625" t="s">
        <v>10494</v>
      </c>
    </row>
    <row r="1626" spans="1:1" x14ac:dyDescent="0.25">
      <c r="A1626" t="s">
        <v>10148</v>
      </c>
    </row>
    <row r="1627" spans="1:1" x14ac:dyDescent="0.25">
      <c r="A1627" t="s">
        <v>10495</v>
      </c>
    </row>
    <row r="1628" spans="1:1" x14ac:dyDescent="0.25">
      <c r="A1628" t="s">
        <v>10149</v>
      </c>
    </row>
    <row r="1629" spans="1:1" x14ac:dyDescent="0.25">
      <c r="A1629" t="s">
        <v>10496</v>
      </c>
    </row>
    <row r="1630" spans="1:1" x14ac:dyDescent="0.25">
      <c r="A1630" t="s">
        <v>10150</v>
      </c>
    </row>
    <row r="1631" spans="1:1" x14ac:dyDescent="0.25">
      <c r="A1631" t="s">
        <v>493</v>
      </c>
    </row>
    <row r="1632" spans="1:1" x14ac:dyDescent="0.25">
      <c r="A1632" t="s">
        <v>771</v>
      </c>
    </row>
    <row r="1633" spans="1:1" x14ac:dyDescent="0.25">
      <c r="A1633" t="s">
        <v>773</v>
      </c>
    </row>
    <row r="1634" spans="1:1" x14ac:dyDescent="0.25">
      <c r="A1634" t="s">
        <v>775</v>
      </c>
    </row>
    <row r="1635" spans="1:1" x14ac:dyDescent="0.25">
      <c r="A1635" t="s">
        <v>777</v>
      </c>
    </row>
    <row r="1636" spans="1:1" x14ac:dyDescent="0.25">
      <c r="A1636" t="s">
        <v>785</v>
      </c>
    </row>
    <row r="1637" spans="1:1" x14ac:dyDescent="0.25">
      <c r="A1637" t="s">
        <v>787</v>
      </c>
    </row>
    <row r="1638" spans="1:1" x14ac:dyDescent="0.25">
      <c r="A1638" t="s">
        <v>4683</v>
      </c>
    </row>
    <row r="1639" spans="1:1" x14ac:dyDescent="0.25">
      <c r="A1639" t="s">
        <v>4684</v>
      </c>
    </row>
    <row r="1640" spans="1:1" x14ac:dyDescent="0.25">
      <c r="A1640" t="s">
        <v>11010</v>
      </c>
    </row>
    <row r="1641" spans="1:1" x14ac:dyDescent="0.25">
      <c r="A1641" t="s">
        <v>11011</v>
      </c>
    </row>
    <row r="1642" spans="1:1" x14ac:dyDescent="0.25">
      <c r="A1642" t="s">
        <v>783</v>
      </c>
    </row>
    <row r="1643" spans="1:1" x14ac:dyDescent="0.25">
      <c r="A1643" t="s">
        <v>789</v>
      </c>
    </row>
    <row r="1644" spans="1:1" x14ac:dyDescent="0.25">
      <c r="A1644" t="s">
        <v>769</v>
      </c>
    </row>
    <row r="1645" spans="1:1" x14ac:dyDescent="0.25">
      <c r="A1645" t="s">
        <v>1175</v>
      </c>
    </row>
    <row r="1646" spans="1:1" x14ac:dyDescent="0.25">
      <c r="A1646" t="s">
        <v>1177</v>
      </c>
    </row>
    <row r="1647" spans="1:1" x14ac:dyDescent="0.25">
      <c r="A1647" t="s">
        <v>779</v>
      </c>
    </row>
    <row r="1648" spans="1:1" x14ac:dyDescent="0.25">
      <c r="A1648" t="s">
        <v>781</v>
      </c>
    </row>
    <row r="1649" spans="1:1" x14ac:dyDescent="0.25">
      <c r="A1649" t="s">
        <v>895</v>
      </c>
    </row>
    <row r="1650" spans="1:1" x14ac:dyDescent="0.25">
      <c r="A1650" t="s">
        <v>941</v>
      </c>
    </row>
    <row r="1651" spans="1:1" x14ac:dyDescent="0.25">
      <c r="A1651" t="s">
        <v>943</v>
      </c>
    </row>
    <row r="1652" spans="1:1" x14ac:dyDescent="0.25">
      <c r="A1652" t="s">
        <v>1897</v>
      </c>
    </row>
    <row r="1653" spans="1:1" x14ac:dyDescent="0.25">
      <c r="A1653" t="s">
        <v>1889</v>
      </c>
    </row>
    <row r="1654" spans="1:1" x14ac:dyDescent="0.25">
      <c r="A1654" t="s">
        <v>1891</v>
      </c>
    </row>
    <row r="1655" spans="1:1" x14ac:dyDescent="0.25">
      <c r="A1655" t="s">
        <v>1893</v>
      </c>
    </row>
    <row r="1656" spans="1:1" x14ac:dyDescent="0.25">
      <c r="A1656" t="s">
        <v>1895</v>
      </c>
    </row>
    <row r="1657" spans="1:1" x14ac:dyDescent="0.25">
      <c r="A1657" t="s">
        <v>4417</v>
      </c>
    </row>
    <row r="1658" spans="1:1" x14ac:dyDescent="0.25">
      <c r="A1658" t="s">
        <v>3251</v>
      </c>
    </row>
    <row r="1659" spans="1:1" x14ac:dyDescent="0.25">
      <c r="A1659" t="s">
        <v>3253</v>
      </c>
    </row>
    <row r="1660" spans="1:1" x14ac:dyDescent="0.25">
      <c r="A1660" t="s">
        <v>2907</v>
      </c>
    </row>
    <row r="1661" spans="1:1" x14ac:dyDescent="0.25">
      <c r="A1661" t="s">
        <v>3247</v>
      </c>
    </row>
    <row r="1662" spans="1:1" x14ac:dyDescent="0.25">
      <c r="A1662" t="s">
        <v>3249</v>
      </c>
    </row>
    <row r="1663" spans="1:1" x14ac:dyDescent="0.25">
      <c r="A1663" t="s">
        <v>1153</v>
      </c>
    </row>
    <row r="1664" spans="1:1" x14ac:dyDescent="0.25">
      <c r="A1664" t="s">
        <v>3270</v>
      </c>
    </row>
    <row r="1665" spans="1:1" x14ac:dyDescent="0.25">
      <c r="A1665" t="s">
        <v>596</v>
      </c>
    </row>
    <row r="1666" spans="1:1" x14ac:dyDescent="0.25">
      <c r="A1666" t="s">
        <v>10733</v>
      </c>
    </row>
    <row r="1667" spans="1:1" x14ac:dyDescent="0.25">
      <c r="A1667" t="s">
        <v>10732</v>
      </c>
    </row>
    <row r="1668" spans="1:1" x14ac:dyDescent="0.25">
      <c r="A1668" t="s">
        <v>4656</v>
      </c>
    </row>
    <row r="1669" spans="1:1" x14ac:dyDescent="0.25">
      <c r="A1669" t="s">
        <v>947</v>
      </c>
    </row>
    <row r="1670" spans="1:1" x14ac:dyDescent="0.25">
      <c r="A1670" t="s">
        <v>949</v>
      </c>
    </row>
    <row r="1671" spans="1:1" x14ac:dyDescent="0.25">
      <c r="A1671" t="s">
        <v>10108</v>
      </c>
    </row>
    <row r="1672" spans="1:1" x14ac:dyDescent="0.25">
      <c r="A1672" t="s">
        <v>11012</v>
      </c>
    </row>
    <row r="1673" spans="1:1" x14ac:dyDescent="0.25">
      <c r="A1673" t="s">
        <v>11013</v>
      </c>
    </row>
    <row r="1674" spans="1:1" x14ac:dyDescent="0.25">
      <c r="A1674" t="s">
        <v>2254</v>
      </c>
    </row>
    <row r="1675" spans="1:1" x14ac:dyDescent="0.25">
      <c r="A1675" t="s">
        <v>2256</v>
      </c>
    </row>
    <row r="1676" spans="1:1" x14ac:dyDescent="0.25">
      <c r="A1676" t="s">
        <v>2258</v>
      </c>
    </row>
    <row r="1677" spans="1:1" x14ac:dyDescent="0.25">
      <c r="A1677" t="s">
        <v>3796</v>
      </c>
    </row>
    <row r="1678" spans="1:1" x14ac:dyDescent="0.25">
      <c r="A1678" t="s">
        <v>2260</v>
      </c>
    </row>
    <row r="1679" spans="1:1" x14ac:dyDescent="0.25">
      <c r="A1679" t="s">
        <v>3817</v>
      </c>
    </row>
    <row r="1680" spans="1:1" x14ac:dyDescent="0.25">
      <c r="A1680" t="s">
        <v>1052</v>
      </c>
    </row>
    <row r="1681" spans="1:1" x14ac:dyDescent="0.25">
      <c r="A1681" t="s">
        <v>3334</v>
      </c>
    </row>
    <row r="1682" spans="1:1" x14ac:dyDescent="0.25">
      <c r="A1682" t="s">
        <v>257</v>
      </c>
    </row>
    <row r="1683" spans="1:1" x14ac:dyDescent="0.25">
      <c r="A1683" t="s">
        <v>9750</v>
      </c>
    </row>
    <row r="1684" spans="1:1" x14ac:dyDescent="0.25">
      <c r="A1684" t="s">
        <v>9806</v>
      </c>
    </row>
    <row r="1685" spans="1:1" x14ac:dyDescent="0.25">
      <c r="A1685" t="s">
        <v>254</v>
      </c>
    </row>
    <row r="1686" spans="1:1" x14ac:dyDescent="0.25">
      <c r="A1686" t="s">
        <v>9805</v>
      </c>
    </row>
    <row r="1687" spans="1:1" x14ac:dyDescent="0.25">
      <c r="A1687" t="s">
        <v>9822</v>
      </c>
    </row>
    <row r="1688" spans="1:1" x14ac:dyDescent="0.25">
      <c r="A1688" t="s">
        <v>9823</v>
      </c>
    </row>
    <row r="1689" spans="1:1" x14ac:dyDescent="0.25">
      <c r="A1689" t="s">
        <v>9824</v>
      </c>
    </row>
    <row r="1690" spans="1:1" x14ac:dyDescent="0.25">
      <c r="A1690" t="s">
        <v>2978</v>
      </c>
    </row>
    <row r="1691" spans="1:1" x14ac:dyDescent="0.25">
      <c r="A1691" t="s">
        <v>2976</v>
      </c>
    </row>
    <row r="1692" spans="1:1" x14ac:dyDescent="0.25">
      <c r="A1692" t="s">
        <v>9887</v>
      </c>
    </row>
    <row r="1693" spans="1:1" x14ac:dyDescent="0.25">
      <c r="A1693" t="s">
        <v>9924</v>
      </c>
    </row>
    <row r="1694" spans="1:1" x14ac:dyDescent="0.25">
      <c r="A1694" t="s">
        <v>6268</v>
      </c>
    </row>
    <row r="1695" spans="1:1" x14ac:dyDescent="0.25">
      <c r="A1695" t="s">
        <v>1536</v>
      </c>
    </row>
    <row r="1696" spans="1:1" x14ac:dyDescent="0.25">
      <c r="A1696" t="s">
        <v>10037</v>
      </c>
    </row>
    <row r="1697" spans="1:1" x14ac:dyDescent="0.25">
      <c r="A1697" t="s">
        <v>10038</v>
      </c>
    </row>
    <row r="1698" spans="1:1" x14ac:dyDescent="0.25">
      <c r="A1698" t="s">
        <v>10039</v>
      </c>
    </row>
    <row r="1699" spans="1:1" x14ac:dyDescent="0.25">
      <c r="A1699" t="s">
        <v>3470</v>
      </c>
    </row>
    <row r="1700" spans="1:1" x14ac:dyDescent="0.25">
      <c r="A1700" t="s">
        <v>4575</v>
      </c>
    </row>
    <row r="1701" spans="1:1" x14ac:dyDescent="0.25">
      <c r="A1701" t="s">
        <v>6267</v>
      </c>
    </row>
    <row r="1702" spans="1:1" x14ac:dyDescent="0.25">
      <c r="A1702" t="s">
        <v>1657</v>
      </c>
    </row>
    <row r="1703" spans="1:1" x14ac:dyDescent="0.25">
      <c r="A1703" t="s">
        <v>1659</v>
      </c>
    </row>
    <row r="1704" spans="1:1" x14ac:dyDescent="0.25">
      <c r="A1704" t="s">
        <v>1661</v>
      </c>
    </row>
    <row r="1705" spans="1:1" x14ac:dyDescent="0.25">
      <c r="A1705" t="s">
        <v>1663</v>
      </c>
    </row>
    <row r="1706" spans="1:1" x14ac:dyDescent="0.25">
      <c r="A1706" t="s">
        <v>10648</v>
      </c>
    </row>
    <row r="1707" spans="1:1" x14ac:dyDescent="0.25">
      <c r="A1707" t="s">
        <v>1849</v>
      </c>
    </row>
    <row r="1708" spans="1:1" x14ac:dyDescent="0.25">
      <c r="A1708" t="s">
        <v>1914</v>
      </c>
    </row>
    <row r="1709" spans="1:1" x14ac:dyDescent="0.25">
      <c r="A1709" t="s">
        <v>2344</v>
      </c>
    </row>
    <row r="1710" spans="1:1" x14ac:dyDescent="0.25">
      <c r="A1710" t="s">
        <v>2348</v>
      </c>
    </row>
    <row r="1711" spans="1:1" x14ac:dyDescent="0.25">
      <c r="A1711" t="s">
        <v>2344</v>
      </c>
    </row>
    <row r="1712" spans="1:1" x14ac:dyDescent="0.25">
      <c r="A1712" t="s">
        <v>2350</v>
      </c>
    </row>
    <row r="1713" spans="1:1" x14ac:dyDescent="0.25">
      <c r="A1713" t="s">
        <v>2350</v>
      </c>
    </row>
    <row r="1714" spans="1:1" x14ac:dyDescent="0.25">
      <c r="A1714" t="s">
        <v>2354</v>
      </c>
    </row>
    <row r="1715" spans="1:1" x14ac:dyDescent="0.25">
      <c r="A1715" t="s">
        <v>2354</v>
      </c>
    </row>
    <row r="1716" spans="1:1" x14ac:dyDescent="0.25">
      <c r="A1716" t="s">
        <v>3808</v>
      </c>
    </row>
    <row r="1717" spans="1:1" x14ac:dyDescent="0.25">
      <c r="A1717" t="s">
        <v>3808</v>
      </c>
    </row>
    <row r="1718" spans="1:1" x14ac:dyDescent="0.25">
      <c r="A1718" t="s">
        <v>3809</v>
      </c>
    </row>
    <row r="1719" spans="1:1" x14ac:dyDescent="0.25">
      <c r="A1719" t="s">
        <v>3809</v>
      </c>
    </row>
    <row r="1720" spans="1:1" x14ac:dyDescent="0.25">
      <c r="A1720" t="s">
        <v>3810</v>
      </c>
    </row>
    <row r="1721" spans="1:1" x14ac:dyDescent="0.25">
      <c r="A1721" t="s">
        <v>3811</v>
      </c>
    </row>
    <row r="1722" spans="1:1" x14ac:dyDescent="0.25">
      <c r="A1722" t="s">
        <v>3812</v>
      </c>
    </row>
    <row r="1723" spans="1:1" x14ac:dyDescent="0.25">
      <c r="A1723" t="s">
        <v>3813</v>
      </c>
    </row>
    <row r="1724" spans="1:1" x14ac:dyDescent="0.25">
      <c r="A1724" t="s">
        <v>3814</v>
      </c>
    </row>
    <row r="1725" spans="1:1" x14ac:dyDescent="0.25">
      <c r="A1725" t="s">
        <v>3815</v>
      </c>
    </row>
    <row r="1726" spans="1:1" x14ac:dyDescent="0.25">
      <c r="A1726" t="s">
        <v>3819</v>
      </c>
    </row>
    <row r="1727" spans="1:1" x14ac:dyDescent="0.25">
      <c r="A1727" t="s">
        <v>4502</v>
      </c>
    </row>
    <row r="1728" spans="1:1" x14ac:dyDescent="0.25">
      <c r="A1728" t="s">
        <v>4503</v>
      </c>
    </row>
    <row r="1729" spans="1:1" x14ac:dyDescent="0.25">
      <c r="A1729" t="s">
        <v>4504</v>
      </c>
    </row>
    <row r="1730" spans="1:1" x14ac:dyDescent="0.25">
      <c r="A1730" t="s">
        <v>4505</v>
      </c>
    </row>
    <row r="1731" spans="1:1" x14ac:dyDescent="0.25">
      <c r="A1731" t="s">
        <v>4506</v>
      </c>
    </row>
    <row r="1732" spans="1:1" x14ac:dyDescent="0.25">
      <c r="A1732" t="s">
        <v>2460</v>
      </c>
    </row>
    <row r="1733" spans="1:1" x14ac:dyDescent="0.25">
      <c r="A1733" t="s">
        <v>2462</v>
      </c>
    </row>
    <row r="1734" spans="1:1" x14ac:dyDescent="0.25">
      <c r="A1734" t="s">
        <v>10157</v>
      </c>
    </row>
    <row r="1735" spans="1:1" x14ac:dyDescent="0.25">
      <c r="A1735" t="s">
        <v>10328</v>
      </c>
    </row>
    <row r="1736" spans="1:1" x14ac:dyDescent="0.25">
      <c r="A1736" t="s">
        <v>10329</v>
      </c>
    </row>
    <row r="1737" spans="1:1" x14ac:dyDescent="0.25">
      <c r="A1737" t="s">
        <v>1151</v>
      </c>
    </row>
    <row r="1738" spans="1:1" x14ac:dyDescent="0.25">
      <c r="A1738" t="s">
        <v>3396</v>
      </c>
    </row>
    <row r="1739" spans="1:1" x14ac:dyDescent="0.25">
      <c r="A1739" t="s">
        <v>3942</v>
      </c>
    </row>
    <row r="1740" spans="1:1" x14ac:dyDescent="0.25">
      <c r="A1740" t="s">
        <v>3943</v>
      </c>
    </row>
    <row r="1741" spans="1:1" x14ac:dyDescent="0.25">
      <c r="A1741" t="s">
        <v>3472</v>
      </c>
    </row>
    <row r="1742" spans="1:1" x14ac:dyDescent="0.25">
      <c r="A1742" t="s">
        <v>3474</v>
      </c>
    </row>
    <row r="1743" spans="1:1" x14ac:dyDescent="0.25">
      <c r="A1743" t="s">
        <v>3476</v>
      </c>
    </row>
    <row r="1744" spans="1:1" x14ac:dyDescent="0.25">
      <c r="A1744" t="s">
        <v>3478</v>
      </c>
    </row>
    <row r="1745" spans="1:1" x14ac:dyDescent="0.25">
      <c r="A1745" t="s">
        <v>6775</v>
      </c>
    </row>
    <row r="1746" spans="1:1" x14ac:dyDescent="0.25">
      <c r="A1746" t="s">
        <v>1546</v>
      </c>
    </row>
    <row r="1747" spans="1:1" x14ac:dyDescent="0.25">
      <c r="A1747" t="s">
        <v>3510</v>
      </c>
    </row>
    <row r="1748" spans="1:1" x14ac:dyDescent="0.25">
      <c r="A1748" t="s">
        <v>151</v>
      </c>
    </row>
    <row r="1749" spans="1:1" x14ac:dyDescent="0.25">
      <c r="A1749" t="s">
        <v>1548</v>
      </c>
    </row>
    <row r="1750" spans="1:1" x14ac:dyDescent="0.25">
      <c r="A1750" t="s">
        <v>3537</v>
      </c>
    </row>
    <row r="1751" spans="1:1" x14ac:dyDescent="0.25">
      <c r="A1751" t="s">
        <v>546</v>
      </c>
    </row>
    <row r="1752" spans="1:1" x14ac:dyDescent="0.25">
      <c r="A1752" t="s">
        <v>4694</v>
      </c>
    </row>
    <row r="1753" spans="1:1" x14ac:dyDescent="0.25">
      <c r="A1753" t="s">
        <v>4697</v>
      </c>
    </row>
    <row r="1754" spans="1:1" x14ac:dyDescent="0.25">
      <c r="A1754" t="s">
        <v>4698</v>
      </c>
    </row>
    <row r="1755" spans="1:1" x14ac:dyDescent="0.25">
      <c r="A1755" t="s">
        <v>4699</v>
      </c>
    </row>
    <row r="1756" spans="1:1" x14ac:dyDescent="0.25">
      <c r="A1756" t="s">
        <v>4700</v>
      </c>
    </row>
    <row r="1757" spans="1:1" x14ac:dyDescent="0.25">
      <c r="A1757" t="s">
        <v>4701</v>
      </c>
    </row>
    <row r="1758" spans="1:1" x14ac:dyDescent="0.25">
      <c r="A1758" t="s">
        <v>4702</v>
      </c>
    </row>
    <row r="1759" spans="1:1" x14ac:dyDescent="0.25">
      <c r="A1759" t="s">
        <v>4703</v>
      </c>
    </row>
    <row r="1760" spans="1:1" x14ac:dyDescent="0.25">
      <c r="A1760" t="s">
        <v>4704</v>
      </c>
    </row>
    <row r="1761" spans="1:1" x14ac:dyDescent="0.25">
      <c r="A1761" t="s">
        <v>4705</v>
      </c>
    </row>
    <row r="1762" spans="1:1" x14ac:dyDescent="0.25">
      <c r="A1762" t="s">
        <v>4706</v>
      </c>
    </row>
    <row r="1763" spans="1:1" x14ac:dyDescent="0.25">
      <c r="A1763" t="s">
        <v>4707</v>
      </c>
    </row>
    <row r="1764" spans="1:1" x14ac:dyDescent="0.25">
      <c r="A1764" t="s">
        <v>4708</v>
      </c>
    </row>
    <row r="1765" spans="1:1" x14ac:dyDescent="0.25">
      <c r="A1765" t="s">
        <v>4711</v>
      </c>
    </row>
    <row r="1766" spans="1:1" x14ac:dyDescent="0.25">
      <c r="A1766" t="s">
        <v>4716</v>
      </c>
    </row>
    <row r="1767" spans="1:1" x14ac:dyDescent="0.25">
      <c r="A1767" t="s">
        <v>4717</v>
      </c>
    </row>
    <row r="1768" spans="1:1" x14ac:dyDescent="0.25">
      <c r="A1768" t="s">
        <v>4718</v>
      </c>
    </row>
    <row r="1769" spans="1:1" x14ac:dyDescent="0.25">
      <c r="A1769" t="s">
        <v>4719</v>
      </c>
    </row>
    <row r="1770" spans="1:1" x14ac:dyDescent="0.25">
      <c r="A1770" t="s">
        <v>4720</v>
      </c>
    </row>
    <row r="1771" spans="1:1" x14ac:dyDescent="0.25">
      <c r="A1771" t="s">
        <v>4721</v>
      </c>
    </row>
    <row r="1772" spans="1:1" x14ac:dyDescent="0.25">
      <c r="A1772" t="s">
        <v>692</v>
      </c>
    </row>
    <row r="1773" spans="1:1" x14ac:dyDescent="0.25">
      <c r="A1773" t="s">
        <v>694</v>
      </c>
    </row>
    <row r="1774" spans="1:1" x14ac:dyDescent="0.25">
      <c r="A1774" t="s">
        <v>1550</v>
      </c>
    </row>
    <row r="1775" spans="1:1" x14ac:dyDescent="0.25">
      <c r="A1775" t="s">
        <v>1552</v>
      </c>
    </row>
    <row r="1776" spans="1:1" x14ac:dyDescent="0.25">
      <c r="A1776" t="s">
        <v>1554</v>
      </c>
    </row>
    <row r="1777" spans="1:1" x14ac:dyDescent="0.25">
      <c r="A1777" t="s">
        <v>1561</v>
      </c>
    </row>
    <row r="1778" spans="1:1" x14ac:dyDescent="0.25">
      <c r="A1778" t="s">
        <v>1563</v>
      </c>
    </row>
    <row r="1779" spans="1:1" x14ac:dyDescent="0.25">
      <c r="A1779" t="s">
        <v>6127</v>
      </c>
    </row>
    <row r="1780" spans="1:1" x14ac:dyDescent="0.25">
      <c r="A1780" t="s">
        <v>6126</v>
      </c>
    </row>
    <row r="1781" spans="1:1" x14ac:dyDescent="0.25">
      <c r="A1781" t="s">
        <v>6125</v>
      </c>
    </row>
    <row r="1782" spans="1:1" x14ac:dyDescent="0.25">
      <c r="A1782" t="s">
        <v>1353</v>
      </c>
    </row>
    <row r="1783" spans="1:1" x14ac:dyDescent="0.25">
      <c r="A1783" t="s">
        <v>1355</v>
      </c>
    </row>
    <row r="1784" spans="1:1" x14ac:dyDescent="0.25">
      <c r="A1784" t="s">
        <v>1357</v>
      </c>
    </row>
    <row r="1785" spans="1:1" x14ac:dyDescent="0.25">
      <c r="A1785" t="s">
        <v>3674</v>
      </c>
    </row>
    <row r="1786" spans="1:1" x14ac:dyDescent="0.25">
      <c r="A1786" t="s">
        <v>1360</v>
      </c>
    </row>
    <row r="1787" spans="1:1" x14ac:dyDescent="0.25">
      <c r="A1787" t="s">
        <v>1362</v>
      </c>
    </row>
    <row r="1788" spans="1:1" x14ac:dyDescent="0.25">
      <c r="A1788" t="s">
        <v>1364</v>
      </c>
    </row>
    <row r="1789" spans="1:1" x14ac:dyDescent="0.25">
      <c r="A1789" t="s">
        <v>1366</v>
      </c>
    </row>
    <row r="1790" spans="1:1" x14ac:dyDescent="0.25">
      <c r="A1790" t="s">
        <v>1368</v>
      </c>
    </row>
    <row r="1791" spans="1:1" x14ac:dyDescent="0.25">
      <c r="A1791" t="s">
        <v>1370</v>
      </c>
    </row>
    <row r="1792" spans="1:1" x14ac:dyDescent="0.25">
      <c r="A1792" t="s">
        <v>3675</v>
      </c>
    </row>
    <row r="1793" spans="1:1" x14ac:dyDescent="0.25">
      <c r="A1793" t="s">
        <v>3676</v>
      </c>
    </row>
    <row r="1794" spans="1:1" x14ac:dyDescent="0.25">
      <c r="A1794" t="s">
        <v>3677</v>
      </c>
    </row>
    <row r="1795" spans="1:1" x14ac:dyDescent="0.25">
      <c r="A1795" t="s">
        <v>1374</v>
      </c>
    </row>
    <row r="1796" spans="1:1" x14ac:dyDescent="0.25">
      <c r="A1796" t="s">
        <v>1372</v>
      </c>
    </row>
    <row r="1797" spans="1:1" x14ac:dyDescent="0.25">
      <c r="A1797" t="s">
        <v>3678</v>
      </c>
    </row>
    <row r="1798" spans="1:1" x14ac:dyDescent="0.25">
      <c r="A1798" t="s">
        <v>1376</v>
      </c>
    </row>
    <row r="1799" spans="1:1" x14ac:dyDescent="0.25">
      <c r="A1799" t="s">
        <v>3679</v>
      </c>
    </row>
    <row r="1800" spans="1:1" x14ac:dyDescent="0.25">
      <c r="A1800" t="s">
        <v>2895</v>
      </c>
    </row>
    <row r="1801" spans="1:1" x14ac:dyDescent="0.25">
      <c r="A1801" t="s">
        <v>11014</v>
      </c>
    </row>
    <row r="1802" spans="1:1" x14ac:dyDescent="0.25">
      <c r="A1802" t="s">
        <v>11015</v>
      </c>
    </row>
    <row r="1803" spans="1:1" x14ac:dyDescent="0.25">
      <c r="A1803" t="s">
        <v>337</v>
      </c>
    </row>
    <row r="1804" spans="1:1" x14ac:dyDescent="0.25">
      <c r="A1804" t="s">
        <v>3699</v>
      </c>
    </row>
    <row r="1805" spans="1:1" x14ac:dyDescent="0.25">
      <c r="A1805" t="s">
        <v>958</v>
      </c>
    </row>
    <row r="1806" spans="1:1" x14ac:dyDescent="0.25">
      <c r="A1806" t="s">
        <v>960</v>
      </c>
    </row>
    <row r="1807" spans="1:1" x14ac:dyDescent="0.25">
      <c r="A1807" t="s">
        <v>3728</v>
      </c>
    </row>
    <row r="1808" spans="1:1" x14ac:dyDescent="0.25">
      <c r="A1808" t="s">
        <v>2049</v>
      </c>
    </row>
    <row r="1809" spans="1:1" x14ac:dyDescent="0.25">
      <c r="A1809" t="s">
        <v>2051</v>
      </c>
    </row>
    <row r="1810" spans="1:1" x14ac:dyDescent="0.25">
      <c r="A1810" t="s">
        <v>10512</v>
      </c>
    </row>
    <row r="1811" spans="1:1" x14ac:dyDescent="0.25">
      <c r="A1811" t="s">
        <v>2053</v>
      </c>
    </row>
    <row r="1812" spans="1:1" x14ac:dyDescent="0.25">
      <c r="A1812" t="s">
        <v>10511</v>
      </c>
    </row>
    <row r="1813" spans="1:1" x14ac:dyDescent="0.25">
      <c r="A1813" t="s">
        <v>2055</v>
      </c>
    </row>
    <row r="1814" spans="1:1" x14ac:dyDescent="0.25">
      <c r="A1814" t="s">
        <v>2057</v>
      </c>
    </row>
    <row r="1815" spans="1:1" x14ac:dyDescent="0.25">
      <c r="A1815" t="s">
        <v>2060</v>
      </c>
    </row>
    <row r="1816" spans="1:1" x14ac:dyDescent="0.25">
      <c r="A1816" t="s">
        <v>2062</v>
      </c>
    </row>
    <row r="1817" spans="1:1" x14ac:dyDescent="0.25">
      <c r="A1817" t="s">
        <v>2064</v>
      </c>
    </row>
    <row r="1818" spans="1:1" x14ac:dyDescent="0.25">
      <c r="A1818" t="s">
        <v>2066</v>
      </c>
    </row>
    <row r="1819" spans="1:1" x14ac:dyDescent="0.25">
      <c r="A1819" t="s">
        <v>317</v>
      </c>
    </row>
    <row r="1820" spans="1:1" x14ac:dyDescent="0.25">
      <c r="A1820" t="s">
        <v>319</v>
      </c>
    </row>
    <row r="1821" spans="1:1" x14ac:dyDescent="0.25">
      <c r="A1821" t="s">
        <v>1557</v>
      </c>
    </row>
    <row r="1822" spans="1:1" x14ac:dyDescent="0.25">
      <c r="A1822" t="s">
        <v>6208</v>
      </c>
    </row>
    <row r="1823" spans="1:1" x14ac:dyDescent="0.25">
      <c r="A1823" t="s">
        <v>7395</v>
      </c>
    </row>
    <row r="1824" spans="1:1" x14ac:dyDescent="0.25">
      <c r="A1824" t="s">
        <v>7394</v>
      </c>
    </row>
    <row r="1825" spans="1:1" x14ac:dyDescent="0.25">
      <c r="A1825" t="s">
        <v>1559</v>
      </c>
    </row>
    <row r="1826" spans="1:1" x14ac:dyDescent="0.25">
      <c r="A1826" t="s">
        <v>1452</v>
      </c>
    </row>
    <row r="1827" spans="1:1" x14ac:dyDescent="0.25">
      <c r="A1827" t="s">
        <v>1454</v>
      </c>
    </row>
    <row r="1828" spans="1:1" x14ac:dyDescent="0.25">
      <c r="A1828" t="s">
        <v>4722</v>
      </c>
    </row>
    <row r="1829" spans="1:1" x14ac:dyDescent="0.25">
      <c r="A1829" t="s">
        <v>1100</v>
      </c>
    </row>
    <row r="1830" spans="1:1" x14ac:dyDescent="0.25">
      <c r="A1830" t="s">
        <v>2753</v>
      </c>
    </row>
    <row r="1831" spans="1:1" x14ac:dyDescent="0.25">
      <c r="A1831" t="s">
        <v>2755</v>
      </c>
    </row>
    <row r="1832" spans="1:1" x14ac:dyDescent="0.25">
      <c r="A1832" t="s">
        <v>2866</v>
      </c>
    </row>
    <row r="1833" spans="1:1" x14ac:dyDescent="0.25">
      <c r="A1833" t="s">
        <v>2864</v>
      </c>
    </row>
    <row r="1834" spans="1:1" x14ac:dyDescent="0.25">
      <c r="A1834" t="s">
        <v>2868</v>
      </c>
    </row>
    <row r="1835" spans="1:1" x14ac:dyDescent="0.25">
      <c r="A1835" t="s">
        <v>3890</v>
      </c>
    </row>
    <row r="1836" spans="1:1" x14ac:dyDescent="0.25">
      <c r="A1836" t="s">
        <v>2878</v>
      </c>
    </row>
    <row r="1837" spans="1:1" x14ac:dyDescent="0.25">
      <c r="A1837" t="s">
        <v>2880</v>
      </c>
    </row>
    <row r="1838" spans="1:1" x14ac:dyDescent="0.25">
      <c r="A1838" t="s">
        <v>2882</v>
      </c>
    </row>
    <row r="1839" spans="1:1" x14ac:dyDescent="0.25">
      <c r="A1839" t="s">
        <v>3889</v>
      </c>
    </row>
    <row r="1840" spans="1:1" x14ac:dyDescent="0.25">
      <c r="A1840" t="s">
        <v>6105</v>
      </c>
    </row>
    <row r="1841" spans="1:1" x14ac:dyDescent="0.25">
      <c r="A1841" t="s">
        <v>3948</v>
      </c>
    </row>
    <row r="1842" spans="1:1" x14ac:dyDescent="0.25">
      <c r="A1842" t="s">
        <v>6173</v>
      </c>
    </row>
    <row r="1843" spans="1:1" x14ac:dyDescent="0.25">
      <c r="A1843" t="s">
        <v>6172</v>
      </c>
    </row>
    <row r="1844" spans="1:1" x14ac:dyDescent="0.25">
      <c r="A1844" t="s">
        <v>6171</v>
      </c>
    </row>
    <row r="1845" spans="1:1" x14ac:dyDescent="0.25">
      <c r="A1845" t="s">
        <v>6170</v>
      </c>
    </row>
    <row r="1846" spans="1:1" x14ac:dyDescent="0.25">
      <c r="A1846" t="s">
        <v>9784</v>
      </c>
    </row>
    <row r="1847" spans="1:1" x14ac:dyDescent="0.25">
      <c r="A1847" t="s">
        <v>9834</v>
      </c>
    </row>
    <row r="1848" spans="1:1" x14ac:dyDescent="0.25">
      <c r="A1848" t="s">
        <v>6206</v>
      </c>
    </row>
    <row r="1849" spans="1:1" x14ac:dyDescent="0.25">
      <c r="A1849" t="s">
        <v>6205</v>
      </c>
    </row>
    <row r="1850" spans="1:1" x14ac:dyDescent="0.25">
      <c r="A1850" t="s">
        <v>6204</v>
      </c>
    </row>
    <row r="1851" spans="1:1" x14ac:dyDescent="0.25">
      <c r="A1851" t="s">
        <v>9883</v>
      </c>
    </row>
    <row r="1852" spans="1:1" x14ac:dyDescent="0.25">
      <c r="A1852" t="s">
        <v>9884</v>
      </c>
    </row>
    <row r="1853" spans="1:1" x14ac:dyDescent="0.25">
      <c r="A1853" t="s">
        <v>9885</v>
      </c>
    </row>
    <row r="1854" spans="1:1" x14ac:dyDescent="0.25">
      <c r="A1854" t="s">
        <v>1408</v>
      </c>
    </row>
    <row r="1855" spans="1:1" x14ac:dyDescent="0.25">
      <c r="A1855" t="s">
        <v>10644</v>
      </c>
    </row>
    <row r="1856" spans="1:1" x14ac:dyDescent="0.25">
      <c r="A1856" t="s">
        <v>10645</v>
      </c>
    </row>
    <row r="1857" spans="1:1" x14ac:dyDescent="0.25">
      <c r="A1857" t="s">
        <v>1410</v>
      </c>
    </row>
    <row r="1858" spans="1:1" x14ac:dyDescent="0.25">
      <c r="A1858" t="s">
        <v>6202</v>
      </c>
    </row>
    <row r="1859" spans="1:1" x14ac:dyDescent="0.25">
      <c r="A1859" t="s">
        <v>6201</v>
      </c>
    </row>
    <row r="1860" spans="1:1" x14ac:dyDescent="0.25">
      <c r="A1860" t="s">
        <v>6200</v>
      </c>
    </row>
    <row r="1861" spans="1:1" x14ac:dyDescent="0.25">
      <c r="A1861" t="s">
        <v>6199</v>
      </c>
    </row>
    <row r="1862" spans="1:1" x14ac:dyDescent="0.25">
      <c r="A1862" t="s">
        <v>6198</v>
      </c>
    </row>
    <row r="1863" spans="1:1" x14ac:dyDescent="0.25">
      <c r="A1863" t="s">
        <v>6197</v>
      </c>
    </row>
    <row r="1864" spans="1:1" x14ac:dyDescent="0.25">
      <c r="A1864" t="s">
        <v>6196</v>
      </c>
    </row>
    <row r="1865" spans="1:1" x14ac:dyDescent="0.25">
      <c r="A1865" t="s">
        <v>6219</v>
      </c>
    </row>
    <row r="1866" spans="1:1" x14ac:dyDescent="0.25">
      <c r="A1866" t="s">
        <v>6195</v>
      </c>
    </row>
    <row r="1867" spans="1:1" x14ac:dyDescent="0.25">
      <c r="A1867" t="s">
        <v>6194</v>
      </c>
    </row>
    <row r="1868" spans="1:1" x14ac:dyDescent="0.25">
      <c r="A1868" t="s">
        <v>6222</v>
      </c>
    </row>
    <row r="1869" spans="1:1" x14ac:dyDescent="0.25">
      <c r="A1869" t="s">
        <v>6221</v>
      </c>
    </row>
    <row r="1870" spans="1:1" x14ac:dyDescent="0.25">
      <c r="A1870" t="s">
        <v>6220</v>
      </c>
    </row>
    <row r="1871" spans="1:1" x14ac:dyDescent="0.25">
      <c r="A1871" t="s">
        <v>3464</v>
      </c>
    </row>
    <row r="1872" spans="1:1" x14ac:dyDescent="0.25">
      <c r="A1872" t="s">
        <v>2770</v>
      </c>
    </row>
    <row r="1873" spans="1:1" x14ac:dyDescent="0.25">
      <c r="A1873" t="s">
        <v>3878</v>
      </c>
    </row>
    <row r="1874" spans="1:1" x14ac:dyDescent="0.25">
      <c r="A1874" t="s">
        <v>6193</v>
      </c>
    </row>
    <row r="1875" spans="1:1" x14ac:dyDescent="0.25">
      <c r="A1875" t="s">
        <v>6192</v>
      </c>
    </row>
    <row r="1876" spans="1:1" x14ac:dyDescent="0.25">
      <c r="A1876" t="s">
        <v>6191</v>
      </c>
    </row>
    <row r="1877" spans="1:1" x14ac:dyDescent="0.25">
      <c r="A1877" t="s">
        <v>6190</v>
      </c>
    </row>
    <row r="1878" spans="1:1" x14ac:dyDescent="0.25">
      <c r="A1878" t="s">
        <v>6189</v>
      </c>
    </row>
    <row r="1879" spans="1:1" x14ac:dyDescent="0.25">
      <c r="A1879" t="s">
        <v>6188</v>
      </c>
    </row>
    <row r="1880" spans="1:1" x14ac:dyDescent="0.25">
      <c r="A1880" t="s">
        <v>3707</v>
      </c>
    </row>
    <row r="1881" spans="1:1" x14ac:dyDescent="0.25">
      <c r="A1881" t="s">
        <v>3708</v>
      </c>
    </row>
    <row r="1882" spans="1:1" x14ac:dyDescent="0.25">
      <c r="A1882" t="s">
        <v>3709</v>
      </c>
    </row>
    <row r="1883" spans="1:1" x14ac:dyDescent="0.25">
      <c r="A1883" t="s">
        <v>3710</v>
      </c>
    </row>
    <row r="1884" spans="1:1" x14ac:dyDescent="0.25">
      <c r="A1884" t="s">
        <v>1597</v>
      </c>
    </row>
    <row r="1885" spans="1:1" x14ac:dyDescent="0.25">
      <c r="A1885" t="s">
        <v>1599</v>
      </c>
    </row>
    <row r="1886" spans="1:1" x14ac:dyDescent="0.25">
      <c r="A1886" t="s">
        <v>4571</v>
      </c>
    </row>
    <row r="1887" spans="1:1" x14ac:dyDescent="0.25">
      <c r="A1887" t="s">
        <v>3711</v>
      </c>
    </row>
    <row r="1888" spans="1:1" x14ac:dyDescent="0.25">
      <c r="A1888" t="s">
        <v>3712</v>
      </c>
    </row>
    <row r="1889" spans="1:1" x14ac:dyDescent="0.25">
      <c r="A1889" t="s">
        <v>3713</v>
      </c>
    </row>
    <row r="1890" spans="1:1" x14ac:dyDescent="0.25">
      <c r="A1890" t="s">
        <v>3714</v>
      </c>
    </row>
    <row r="1891" spans="1:1" x14ac:dyDescent="0.25">
      <c r="A1891" t="s">
        <v>1575</v>
      </c>
    </row>
    <row r="1892" spans="1:1" x14ac:dyDescent="0.25">
      <c r="A1892" t="s">
        <v>1578</v>
      </c>
    </row>
    <row r="1893" spans="1:1" x14ac:dyDescent="0.25">
      <c r="A1893" t="s">
        <v>1605</v>
      </c>
    </row>
    <row r="1894" spans="1:1" x14ac:dyDescent="0.25">
      <c r="A1894" t="s">
        <v>3715</v>
      </c>
    </row>
    <row r="1895" spans="1:1" x14ac:dyDescent="0.25">
      <c r="A1895" t="s">
        <v>3614</v>
      </c>
    </row>
    <row r="1896" spans="1:1" x14ac:dyDescent="0.25">
      <c r="A1896" t="s">
        <v>732</v>
      </c>
    </row>
    <row r="1897" spans="1:1" x14ac:dyDescent="0.25">
      <c r="A1897" t="s">
        <v>4600</v>
      </c>
    </row>
    <row r="1898" spans="1:1" x14ac:dyDescent="0.25">
      <c r="A1898" t="s">
        <v>10152</v>
      </c>
    </row>
    <row r="1899" spans="1:1" x14ac:dyDescent="0.25">
      <c r="A1899" t="s">
        <v>10153</v>
      </c>
    </row>
    <row r="1900" spans="1:1" x14ac:dyDescent="0.25">
      <c r="A1900" t="s">
        <v>10154</v>
      </c>
    </row>
    <row r="1901" spans="1:1" x14ac:dyDescent="0.25">
      <c r="A1901" t="s">
        <v>10155</v>
      </c>
    </row>
    <row r="1902" spans="1:1" x14ac:dyDescent="0.25">
      <c r="A1902" t="s">
        <v>10156</v>
      </c>
    </row>
    <row r="1903" spans="1:1" x14ac:dyDescent="0.25">
      <c r="A1903" t="s">
        <v>6266</v>
      </c>
    </row>
    <row r="1904" spans="1:1" x14ac:dyDescent="0.25">
      <c r="A1904" t="s">
        <v>6265</v>
      </c>
    </row>
    <row r="1905" spans="1:1" x14ac:dyDescent="0.25">
      <c r="A1905" t="s">
        <v>1759</v>
      </c>
    </row>
    <row r="1906" spans="1:1" x14ac:dyDescent="0.25">
      <c r="A1906" t="s">
        <v>1761</v>
      </c>
    </row>
    <row r="1907" spans="1:1" x14ac:dyDescent="0.25">
      <c r="A1907" t="s">
        <v>1763</v>
      </c>
    </row>
    <row r="1908" spans="1:1" x14ac:dyDescent="0.25">
      <c r="A1908" t="s">
        <v>1765</v>
      </c>
    </row>
    <row r="1909" spans="1:1" x14ac:dyDescent="0.25">
      <c r="A1909" t="s">
        <v>2384</v>
      </c>
    </row>
    <row r="1910" spans="1:1" x14ac:dyDescent="0.25">
      <c r="A1910" t="s">
        <v>2386</v>
      </c>
    </row>
    <row r="1911" spans="1:1" x14ac:dyDescent="0.25">
      <c r="A1911" t="s">
        <v>2388</v>
      </c>
    </row>
    <row r="1912" spans="1:1" x14ac:dyDescent="0.25">
      <c r="A1912" t="s">
        <v>2390</v>
      </c>
    </row>
    <row r="1913" spans="1:1" x14ac:dyDescent="0.25">
      <c r="A1913" t="s">
        <v>2392</v>
      </c>
    </row>
    <row r="1914" spans="1:1" x14ac:dyDescent="0.25">
      <c r="A1914" t="s">
        <v>2394</v>
      </c>
    </row>
    <row r="1915" spans="1:1" x14ac:dyDescent="0.25">
      <c r="A1915" t="s">
        <v>2396</v>
      </c>
    </row>
    <row r="1916" spans="1:1" x14ac:dyDescent="0.25">
      <c r="A1916" t="s">
        <v>2398</v>
      </c>
    </row>
    <row r="1917" spans="1:1" x14ac:dyDescent="0.25">
      <c r="A1917" t="s">
        <v>2400</v>
      </c>
    </row>
    <row r="1918" spans="1:1" x14ac:dyDescent="0.25">
      <c r="A1918" t="s">
        <v>2408</v>
      </c>
    </row>
    <row r="1919" spans="1:1" x14ac:dyDescent="0.25">
      <c r="A1919" t="s">
        <v>2402</v>
      </c>
    </row>
    <row r="1920" spans="1:1" x14ac:dyDescent="0.25">
      <c r="A1920" t="s">
        <v>2410</v>
      </c>
    </row>
    <row r="1921" spans="1:1" x14ac:dyDescent="0.25">
      <c r="A1921" t="s">
        <v>2404</v>
      </c>
    </row>
    <row r="1922" spans="1:1" x14ac:dyDescent="0.25">
      <c r="A1922" t="s">
        <v>2412</v>
      </c>
    </row>
    <row r="1923" spans="1:1" x14ac:dyDescent="0.25">
      <c r="A1923" t="s">
        <v>2406</v>
      </c>
    </row>
    <row r="1924" spans="1:1" x14ac:dyDescent="0.25">
      <c r="A1924" t="s">
        <v>2414</v>
      </c>
    </row>
    <row r="1925" spans="1:1" x14ac:dyDescent="0.25">
      <c r="A1925" t="s">
        <v>1059</v>
      </c>
    </row>
    <row r="1926" spans="1:1" x14ac:dyDescent="0.25">
      <c r="A1926" t="s">
        <v>2560</v>
      </c>
    </row>
    <row r="1927" spans="1:1" x14ac:dyDescent="0.25">
      <c r="A1927" t="s">
        <v>2562</v>
      </c>
    </row>
    <row r="1928" spans="1:1" x14ac:dyDescent="0.25">
      <c r="A1928" t="s">
        <v>2564</v>
      </c>
    </row>
    <row r="1929" spans="1:1" x14ac:dyDescent="0.25">
      <c r="A1929" t="s">
        <v>2566</v>
      </c>
    </row>
    <row r="1930" spans="1:1" x14ac:dyDescent="0.25">
      <c r="A1930" t="s">
        <v>375</v>
      </c>
    </row>
    <row r="1931" spans="1:1" x14ac:dyDescent="0.25">
      <c r="A1931" t="s">
        <v>4387</v>
      </c>
    </row>
    <row r="1932" spans="1:1" x14ac:dyDescent="0.25">
      <c r="A1932" t="s">
        <v>9872</v>
      </c>
    </row>
    <row r="1933" spans="1:1" x14ac:dyDescent="0.25">
      <c r="A1933" t="s">
        <v>3610</v>
      </c>
    </row>
    <row r="1934" spans="1:1" x14ac:dyDescent="0.25">
      <c r="A1934" t="s">
        <v>3641</v>
      </c>
    </row>
    <row r="1935" spans="1:1" x14ac:dyDescent="0.25">
      <c r="A1935" t="s">
        <v>3642</v>
      </c>
    </row>
    <row r="1936" spans="1:1" x14ac:dyDescent="0.25">
      <c r="A1936" t="s">
        <v>3659</v>
      </c>
    </row>
    <row r="1937" spans="1:1" x14ac:dyDescent="0.25">
      <c r="A1937" t="s">
        <v>10465</v>
      </c>
    </row>
    <row r="1938" spans="1:1" x14ac:dyDescent="0.25">
      <c r="A1938" t="s">
        <v>10721</v>
      </c>
    </row>
    <row r="1939" spans="1:1" x14ac:dyDescent="0.25">
      <c r="A1939" t="s">
        <v>10722</v>
      </c>
    </row>
    <row r="1940" spans="1:1" x14ac:dyDescent="0.25">
      <c r="A1940" t="s">
        <v>3787</v>
      </c>
    </row>
    <row r="1941" spans="1:1" x14ac:dyDescent="0.25">
      <c r="A1941" t="s">
        <v>1020</v>
      </c>
    </row>
    <row r="1942" spans="1:1" x14ac:dyDescent="0.25">
      <c r="A1942" t="s">
        <v>3786</v>
      </c>
    </row>
    <row r="1943" spans="1:1" x14ac:dyDescent="0.25">
      <c r="A1943" t="s">
        <v>2619</v>
      </c>
    </row>
    <row r="1944" spans="1:1" x14ac:dyDescent="0.25">
      <c r="A1944" t="s">
        <v>10697</v>
      </c>
    </row>
    <row r="1945" spans="1:1" x14ac:dyDescent="0.25">
      <c r="A1945" t="s">
        <v>1737</v>
      </c>
    </row>
    <row r="1946" spans="1:1" x14ac:dyDescent="0.25">
      <c r="A1946" t="s">
        <v>10702</v>
      </c>
    </row>
    <row r="1947" spans="1:1" x14ac:dyDescent="0.25">
      <c r="A1947" t="s">
        <v>3378</v>
      </c>
    </row>
    <row r="1948" spans="1:1" x14ac:dyDescent="0.25">
      <c r="A1948" t="s">
        <v>10703</v>
      </c>
    </row>
    <row r="1949" spans="1:1" x14ac:dyDescent="0.25">
      <c r="A1949" t="s">
        <v>3952</v>
      </c>
    </row>
    <row r="1950" spans="1:1" x14ac:dyDescent="0.25">
      <c r="A1950" t="s">
        <v>3960</v>
      </c>
    </row>
    <row r="1951" spans="1:1" x14ac:dyDescent="0.25">
      <c r="A1951" t="s">
        <v>3961</v>
      </c>
    </row>
    <row r="1952" spans="1:1" x14ac:dyDescent="0.25">
      <c r="A1952" t="s">
        <v>3962</v>
      </c>
    </row>
    <row r="1953" spans="1:1" x14ac:dyDescent="0.25">
      <c r="A1953" t="s">
        <v>3963</v>
      </c>
    </row>
    <row r="1954" spans="1:1" x14ac:dyDescent="0.25">
      <c r="A1954" t="s">
        <v>3964</v>
      </c>
    </row>
    <row r="1955" spans="1:1" x14ac:dyDescent="0.25">
      <c r="A1955" t="s">
        <v>3965</v>
      </c>
    </row>
    <row r="1956" spans="1:1" x14ac:dyDescent="0.25">
      <c r="A1956" t="s">
        <v>3953</v>
      </c>
    </row>
    <row r="1957" spans="1:1" x14ac:dyDescent="0.25">
      <c r="A1957" t="s">
        <v>3954</v>
      </c>
    </row>
    <row r="1958" spans="1:1" x14ac:dyDescent="0.25">
      <c r="A1958" t="s">
        <v>3951</v>
      </c>
    </row>
    <row r="1959" spans="1:1" x14ac:dyDescent="0.25">
      <c r="A1959" t="s">
        <v>3955</v>
      </c>
    </row>
    <row r="1960" spans="1:1" x14ac:dyDescent="0.25">
      <c r="A1960" t="s">
        <v>3956</v>
      </c>
    </row>
    <row r="1961" spans="1:1" x14ac:dyDescent="0.25">
      <c r="A1961" t="s">
        <v>10653</v>
      </c>
    </row>
    <row r="1962" spans="1:1" x14ac:dyDescent="0.25">
      <c r="A1962" t="s">
        <v>10654</v>
      </c>
    </row>
    <row r="1963" spans="1:1" x14ac:dyDescent="0.25">
      <c r="A1963" t="s">
        <v>10655</v>
      </c>
    </row>
    <row r="1964" spans="1:1" x14ac:dyDescent="0.25">
      <c r="A1964" t="s">
        <v>10656</v>
      </c>
    </row>
    <row r="1965" spans="1:1" x14ac:dyDescent="0.25">
      <c r="A1965" t="s">
        <v>10657</v>
      </c>
    </row>
    <row r="1966" spans="1:1" x14ac:dyDescent="0.25">
      <c r="A1966" t="s">
        <v>10658</v>
      </c>
    </row>
    <row r="1967" spans="1:1" x14ac:dyDescent="0.25">
      <c r="A1967" t="s">
        <v>10659</v>
      </c>
    </row>
    <row r="1968" spans="1:1" x14ac:dyDescent="0.25">
      <c r="A1968" t="s">
        <v>10660</v>
      </c>
    </row>
    <row r="1969" spans="1:1" x14ac:dyDescent="0.25">
      <c r="A1969" t="s">
        <v>10661</v>
      </c>
    </row>
    <row r="1970" spans="1:1" x14ac:dyDescent="0.25">
      <c r="A1970" t="s">
        <v>10662</v>
      </c>
    </row>
    <row r="1971" spans="1:1" x14ac:dyDescent="0.25">
      <c r="A1971" t="s">
        <v>10663</v>
      </c>
    </row>
    <row r="1972" spans="1:1" x14ac:dyDescent="0.25">
      <c r="A1972" t="s">
        <v>3966</v>
      </c>
    </row>
    <row r="1973" spans="1:1" x14ac:dyDescent="0.25">
      <c r="A1973" t="s">
        <v>3967</v>
      </c>
    </row>
    <row r="1974" spans="1:1" x14ac:dyDescent="0.25">
      <c r="A1974" t="s">
        <v>3968</v>
      </c>
    </row>
    <row r="1975" spans="1:1" x14ac:dyDescent="0.25">
      <c r="A1975" t="s">
        <v>3969</v>
      </c>
    </row>
    <row r="1976" spans="1:1" x14ac:dyDescent="0.25">
      <c r="A1976" t="s">
        <v>3970</v>
      </c>
    </row>
    <row r="1977" spans="1:1" x14ac:dyDescent="0.25">
      <c r="A1977" t="s">
        <v>3971</v>
      </c>
    </row>
    <row r="1978" spans="1:1" x14ac:dyDescent="0.25">
      <c r="A1978" t="s">
        <v>3972</v>
      </c>
    </row>
    <row r="1979" spans="1:1" x14ac:dyDescent="0.25">
      <c r="A1979" t="s">
        <v>3973</v>
      </c>
    </row>
    <row r="1980" spans="1:1" x14ac:dyDescent="0.25">
      <c r="A1980" t="s">
        <v>3974</v>
      </c>
    </row>
    <row r="1981" spans="1:1" x14ac:dyDescent="0.25">
      <c r="A1981" t="s">
        <v>3975</v>
      </c>
    </row>
    <row r="1982" spans="1:1" x14ac:dyDescent="0.25">
      <c r="A1982" t="s">
        <v>3976</v>
      </c>
    </row>
    <row r="1983" spans="1:1" x14ac:dyDescent="0.25">
      <c r="A1983" t="s">
        <v>3977</v>
      </c>
    </row>
    <row r="1984" spans="1:1" x14ac:dyDescent="0.25">
      <c r="A1984" t="s">
        <v>3978</v>
      </c>
    </row>
    <row r="1985" spans="1:1" x14ac:dyDescent="0.25">
      <c r="A1985" t="s">
        <v>10667</v>
      </c>
    </row>
    <row r="1986" spans="1:1" x14ac:dyDescent="0.25">
      <c r="A1986" t="s">
        <v>10664</v>
      </c>
    </row>
    <row r="1987" spans="1:1" x14ac:dyDescent="0.25">
      <c r="A1987" t="s">
        <v>10666</v>
      </c>
    </row>
    <row r="1988" spans="1:1" x14ac:dyDescent="0.25">
      <c r="A1988" t="s">
        <v>3979</v>
      </c>
    </row>
    <row r="1989" spans="1:1" x14ac:dyDescent="0.25">
      <c r="A1989" t="s">
        <v>3980</v>
      </c>
    </row>
    <row r="1990" spans="1:1" x14ac:dyDescent="0.25">
      <c r="A1990" t="s">
        <v>3981</v>
      </c>
    </row>
    <row r="1991" spans="1:1" x14ac:dyDescent="0.25">
      <c r="A1991" t="s">
        <v>3982</v>
      </c>
    </row>
    <row r="1992" spans="1:1" x14ac:dyDescent="0.25">
      <c r="A1992" t="s">
        <v>10665</v>
      </c>
    </row>
    <row r="1993" spans="1:1" x14ac:dyDescent="0.25">
      <c r="A1993" t="s">
        <v>3983</v>
      </c>
    </row>
    <row r="1994" spans="1:1" x14ac:dyDescent="0.25">
      <c r="A1994" t="s">
        <v>3984</v>
      </c>
    </row>
    <row r="1995" spans="1:1" x14ac:dyDescent="0.25">
      <c r="A1995" t="s">
        <v>3985</v>
      </c>
    </row>
    <row r="1996" spans="1:1" x14ac:dyDescent="0.25">
      <c r="A1996" t="s">
        <v>3986</v>
      </c>
    </row>
    <row r="1997" spans="1:1" x14ac:dyDescent="0.25">
      <c r="A1997" t="s">
        <v>3957</v>
      </c>
    </row>
    <row r="1998" spans="1:1" x14ac:dyDescent="0.25">
      <c r="A1998" t="s">
        <v>3958</v>
      </c>
    </row>
    <row r="1999" spans="1:1" x14ac:dyDescent="0.25">
      <c r="A1999" t="s">
        <v>3987</v>
      </c>
    </row>
    <row r="2000" spans="1:1" x14ac:dyDescent="0.25">
      <c r="A2000" t="s">
        <v>3959</v>
      </c>
    </row>
    <row r="2001" spans="1:1" x14ac:dyDescent="0.25">
      <c r="A2001" t="s">
        <v>3988</v>
      </c>
    </row>
    <row r="2002" spans="1:1" x14ac:dyDescent="0.25">
      <c r="A2002" t="s">
        <v>3989</v>
      </c>
    </row>
    <row r="2003" spans="1:1" x14ac:dyDescent="0.25">
      <c r="A2003" t="s">
        <v>3990</v>
      </c>
    </row>
    <row r="2004" spans="1:1" x14ac:dyDescent="0.25">
      <c r="A2004" t="s">
        <v>3991</v>
      </c>
    </row>
    <row r="2005" spans="1:1" x14ac:dyDescent="0.25">
      <c r="A2005" t="s">
        <v>498</v>
      </c>
    </row>
    <row r="2006" spans="1:1" x14ac:dyDescent="0.25">
      <c r="A2006" t="s">
        <v>10534</v>
      </c>
    </row>
    <row r="2007" spans="1:1" x14ac:dyDescent="0.25">
      <c r="A2007" t="s">
        <v>367</v>
      </c>
    </row>
    <row r="2008" spans="1:1" x14ac:dyDescent="0.25">
      <c r="A2008" t="s">
        <v>9893</v>
      </c>
    </row>
    <row r="2009" spans="1:1" x14ac:dyDescent="0.25">
      <c r="A2009" t="s">
        <v>3605</v>
      </c>
    </row>
    <row r="2010" spans="1:1" x14ac:dyDescent="0.25">
      <c r="A2010" t="s">
        <v>696</v>
      </c>
    </row>
    <row r="2011" spans="1:1" x14ac:dyDescent="0.25">
      <c r="A2011" t="s">
        <v>9894</v>
      </c>
    </row>
    <row r="2012" spans="1:1" x14ac:dyDescent="0.25">
      <c r="A2012" t="s">
        <v>799</v>
      </c>
    </row>
    <row r="2013" spans="1:1" x14ac:dyDescent="0.25">
      <c r="A2013" t="s">
        <v>801</v>
      </c>
    </row>
    <row r="2014" spans="1:1" x14ac:dyDescent="0.25">
      <c r="A2014" t="s">
        <v>1248</v>
      </c>
    </row>
    <row r="2015" spans="1:1" x14ac:dyDescent="0.25">
      <c r="A2015" t="s">
        <v>1250</v>
      </c>
    </row>
    <row r="2016" spans="1:1" x14ac:dyDescent="0.25">
      <c r="A2016" t="s">
        <v>1504</v>
      </c>
    </row>
    <row r="2017" spans="1:1" x14ac:dyDescent="0.25">
      <c r="A2017" t="s">
        <v>1506</v>
      </c>
    </row>
    <row r="2018" spans="1:1" x14ac:dyDescent="0.25">
      <c r="A2018" t="s">
        <v>1508</v>
      </c>
    </row>
    <row r="2019" spans="1:1" x14ac:dyDescent="0.25">
      <c r="A2019" t="s">
        <v>1510</v>
      </c>
    </row>
    <row r="2020" spans="1:1" x14ac:dyDescent="0.25">
      <c r="A2020" t="s">
        <v>1512</v>
      </c>
    </row>
    <row r="2021" spans="1:1" x14ac:dyDescent="0.25">
      <c r="A2021" t="s">
        <v>1514</v>
      </c>
    </row>
    <row r="2022" spans="1:1" x14ac:dyDescent="0.25">
      <c r="A2022" t="s">
        <v>1540</v>
      </c>
    </row>
    <row r="2023" spans="1:1" x14ac:dyDescent="0.25">
      <c r="A2023" t="s">
        <v>4580</v>
      </c>
    </row>
    <row r="2024" spans="1:1" x14ac:dyDescent="0.25">
      <c r="A2024" t="s">
        <v>4581</v>
      </c>
    </row>
    <row r="2025" spans="1:1" x14ac:dyDescent="0.25">
      <c r="A2025" t="s">
        <v>4582</v>
      </c>
    </row>
    <row r="2026" spans="1:1" x14ac:dyDescent="0.25">
      <c r="A2026" t="s">
        <v>4583</v>
      </c>
    </row>
    <row r="2027" spans="1:1" x14ac:dyDescent="0.25">
      <c r="A2027" t="s">
        <v>4584</v>
      </c>
    </row>
    <row r="2028" spans="1:1" x14ac:dyDescent="0.25">
      <c r="A2028" t="s">
        <v>4585</v>
      </c>
    </row>
    <row r="2029" spans="1:1" x14ac:dyDescent="0.25">
      <c r="A2029" t="s">
        <v>1542</v>
      </c>
    </row>
    <row r="2030" spans="1:1" x14ac:dyDescent="0.25">
      <c r="A2030" t="s">
        <v>1544</v>
      </c>
    </row>
    <row r="2031" spans="1:1" x14ac:dyDescent="0.25">
      <c r="A2031" t="s">
        <v>4576</v>
      </c>
    </row>
    <row r="2032" spans="1:1" x14ac:dyDescent="0.25">
      <c r="A2032" t="s">
        <v>4577</v>
      </c>
    </row>
    <row r="2033" spans="1:1" x14ac:dyDescent="0.25">
      <c r="A2033" t="s">
        <v>4578</v>
      </c>
    </row>
    <row r="2034" spans="1:1" x14ac:dyDescent="0.25">
      <c r="A2034" t="s">
        <v>4579</v>
      </c>
    </row>
    <row r="2035" spans="1:1" x14ac:dyDescent="0.25">
      <c r="A2035" t="s">
        <v>10060</v>
      </c>
    </row>
    <row r="2036" spans="1:1" x14ac:dyDescent="0.25">
      <c r="A2036" t="s">
        <v>10061</v>
      </c>
    </row>
    <row r="2037" spans="1:1" x14ac:dyDescent="0.25">
      <c r="A2037" t="s">
        <v>10062</v>
      </c>
    </row>
    <row r="2038" spans="1:1" x14ac:dyDescent="0.25">
      <c r="A2038" t="s">
        <v>1715</v>
      </c>
    </row>
    <row r="2039" spans="1:1" x14ac:dyDescent="0.25">
      <c r="A2039" t="s">
        <v>1717</v>
      </c>
    </row>
    <row r="2040" spans="1:1" x14ac:dyDescent="0.25">
      <c r="A2040" t="s">
        <v>3724</v>
      </c>
    </row>
    <row r="2041" spans="1:1" x14ac:dyDescent="0.25">
      <c r="A2041" t="s">
        <v>1720</v>
      </c>
    </row>
    <row r="2042" spans="1:1" x14ac:dyDescent="0.25">
      <c r="A2042" t="s">
        <v>1722</v>
      </c>
    </row>
    <row r="2043" spans="1:1" x14ac:dyDescent="0.25">
      <c r="A2043" t="s">
        <v>10049</v>
      </c>
    </row>
    <row r="2044" spans="1:1" x14ac:dyDescent="0.25">
      <c r="A2044" t="s">
        <v>10050</v>
      </c>
    </row>
    <row r="2045" spans="1:1" x14ac:dyDescent="0.25">
      <c r="A2045" t="s">
        <v>10051</v>
      </c>
    </row>
    <row r="2046" spans="1:1" x14ac:dyDescent="0.25">
      <c r="A2046" t="s">
        <v>10052</v>
      </c>
    </row>
    <row r="2047" spans="1:1" x14ac:dyDescent="0.25">
      <c r="A2047" t="s">
        <v>10053</v>
      </c>
    </row>
    <row r="2048" spans="1:1" x14ac:dyDescent="0.25">
      <c r="A2048" t="s">
        <v>10054</v>
      </c>
    </row>
    <row r="2049" spans="1:1" x14ac:dyDescent="0.25">
      <c r="A2049" t="s">
        <v>10055</v>
      </c>
    </row>
    <row r="2050" spans="1:1" x14ac:dyDescent="0.25">
      <c r="A2050" t="s">
        <v>10056</v>
      </c>
    </row>
    <row r="2051" spans="1:1" x14ac:dyDescent="0.25">
      <c r="A2051" t="s">
        <v>3725</v>
      </c>
    </row>
    <row r="2052" spans="1:1" x14ac:dyDescent="0.25">
      <c r="A2052" t="s">
        <v>1346</v>
      </c>
    </row>
    <row r="2053" spans="1:1" x14ac:dyDescent="0.25">
      <c r="A2053" t="s">
        <v>3726</v>
      </c>
    </row>
    <row r="2054" spans="1:1" x14ac:dyDescent="0.25">
      <c r="A2054" t="s">
        <v>10057</v>
      </c>
    </row>
    <row r="2055" spans="1:1" x14ac:dyDescent="0.25">
      <c r="A2055" t="s">
        <v>10527</v>
      </c>
    </row>
    <row r="2056" spans="1:1" x14ac:dyDescent="0.25">
      <c r="A2056" t="s">
        <v>1724</v>
      </c>
    </row>
    <row r="2057" spans="1:1" x14ac:dyDescent="0.25">
      <c r="A2057" t="s">
        <v>3758</v>
      </c>
    </row>
    <row r="2058" spans="1:1" x14ac:dyDescent="0.25">
      <c r="A2058" t="s">
        <v>6107</v>
      </c>
    </row>
    <row r="2059" spans="1:1" x14ac:dyDescent="0.25">
      <c r="A2059" t="s">
        <v>2974</v>
      </c>
    </row>
    <row r="2060" spans="1:1" x14ac:dyDescent="0.25">
      <c r="A2060" t="s">
        <v>10119</v>
      </c>
    </row>
    <row r="2061" spans="1:1" x14ac:dyDescent="0.25">
      <c r="A2061" t="s">
        <v>10118</v>
      </c>
    </row>
    <row r="2062" spans="1:1" x14ac:dyDescent="0.25">
      <c r="A2062" t="s">
        <v>10117</v>
      </c>
    </row>
    <row r="2063" spans="1:1" x14ac:dyDescent="0.25">
      <c r="A2063" t="s">
        <v>3800</v>
      </c>
    </row>
    <row r="2064" spans="1:1" x14ac:dyDescent="0.25">
      <c r="A2064" t="s">
        <v>3838</v>
      </c>
    </row>
    <row r="2065" spans="1:1" x14ac:dyDescent="0.25">
      <c r="A2065" t="s">
        <v>2786</v>
      </c>
    </row>
    <row r="2066" spans="1:1" x14ac:dyDescent="0.25">
      <c r="A2066" t="s">
        <v>2788</v>
      </c>
    </row>
    <row r="2067" spans="1:1" x14ac:dyDescent="0.25">
      <c r="A2067" t="s">
        <v>4420</v>
      </c>
    </row>
    <row r="2068" spans="1:1" x14ac:dyDescent="0.25">
      <c r="A2068" t="s">
        <v>10670</v>
      </c>
    </row>
    <row r="2069" spans="1:1" x14ac:dyDescent="0.25">
      <c r="A2069" t="s">
        <v>1067</v>
      </c>
    </row>
    <row r="2070" spans="1:1" x14ac:dyDescent="0.25">
      <c r="A2070" t="s">
        <v>3936</v>
      </c>
    </row>
    <row r="2071" spans="1:1" x14ac:dyDescent="0.25">
      <c r="A2071" t="s">
        <v>10491</v>
      </c>
    </row>
    <row r="2072" spans="1:1" x14ac:dyDescent="0.25">
      <c r="A2072" t="s">
        <v>1739</v>
      </c>
    </row>
    <row r="2073" spans="1:1" x14ac:dyDescent="0.25">
      <c r="A2073" t="s">
        <v>3729</v>
      </c>
    </row>
    <row r="2074" spans="1:1" x14ac:dyDescent="0.25">
      <c r="A2074" t="s">
        <v>1743</v>
      </c>
    </row>
    <row r="2075" spans="1:1" x14ac:dyDescent="0.25">
      <c r="A2075" t="s">
        <v>1745</v>
      </c>
    </row>
    <row r="2076" spans="1:1" x14ac:dyDescent="0.25">
      <c r="A2076" t="s">
        <v>3730</v>
      </c>
    </row>
    <row r="2077" spans="1:1" x14ac:dyDescent="0.25">
      <c r="A2077" t="s">
        <v>1748</v>
      </c>
    </row>
    <row r="2078" spans="1:1" x14ac:dyDescent="0.25">
      <c r="A2078" t="s">
        <v>3731</v>
      </c>
    </row>
    <row r="2079" spans="1:1" x14ac:dyDescent="0.25">
      <c r="A2079" t="s">
        <v>1751</v>
      </c>
    </row>
    <row r="2080" spans="1:1" x14ac:dyDescent="0.25">
      <c r="A2080" t="s">
        <v>1753</v>
      </c>
    </row>
    <row r="2081" spans="1:1" x14ac:dyDescent="0.25">
      <c r="A2081" t="s">
        <v>1755</v>
      </c>
    </row>
    <row r="2082" spans="1:1" x14ac:dyDescent="0.25">
      <c r="A2082" t="s">
        <v>1757</v>
      </c>
    </row>
    <row r="2083" spans="1:1" x14ac:dyDescent="0.25">
      <c r="A2083" t="s">
        <v>1767</v>
      </c>
    </row>
    <row r="2084" spans="1:1" x14ac:dyDescent="0.25">
      <c r="A2084" t="s">
        <v>1769</v>
      </c>
    </row>
    <row r="2085" spans="1:1" x14ac:dyDescent="0.25">
      <c r="A2085" t="s">
        <v>1771</v>
      </c>
    </row>
    <row r="2086" spans="1:1" x14ac:dyDescent="0.25">
      <c r="A2086" t="s">
        <v>3732</v>
      </c>
    </row>
    <row r="2087" spans="1:1" x14ac:dyDescent="0.25">
      <c r="A2087" t="s">
        <v>3733</v>
      </c>
    </row>
    <row r="2088" spans="1:1" x14ac:dyDescent="0.25">
      <c r="A2088" t="s">
        <v>3734</v>
      </c>
    </row>
    <row r="2089" spans="1:1" x14ac:dyDescent="0.25">
      <c r="A2089" t="s">
        <v>3735</v>
      </c>
    </row>
    <row r="2090" spans="1:1" x14ac:dyDescent="0.25">
      <c r="A2090" t="s">
        <v>3736</v>
      </c>
    </row>
    <row r="2091" spans="1:1" x14ac:dyDescent="0.25">
      <c r="A2091" t="s">
        <v>3737</v>
      </c>
    </row>
    <row r="2092" spans="1:1" x14ac:dyDescent="0.25">
      <c r="A2092" t="s">
        <v>3738</v>
      </c>
    </row>
    <row r="2093" spans="1:1" x14ac:dyDescent="0.25">
      <c r="A2093" t="s">
        <v>1787</v>
      </c>
    </row>
    <row r="2094" spans="1:1" x14ac:dyDescent="0.25">
      <c r="A2094" t="s">
        <v>10591</v>
      </c>
    </row>
    <row r="2095" spans="1:1" x14ac:dyDescent="0.25">
      <c r="A2095" t="s">
        <v>10592</v>
      </c>
    </row>
    <row r="2096" spans="1:1" x14ac:dyDescent="0.25">
      <c r="A2096" t="s">
        <v>10593</v>
      </c>
    </row>
    <row r="2097" spans="1:1" x14ac:dyDescent="0.25">
      <c r="A2097" t="s">
        <v>10569</v>
      </c>
    </row>
    <row r="2098" spans="1:1" x14ac:dyDescent="0.25">
      <c r="A2098" t="s">
        <v>10570</v>
      </c>
    </row>
    <row r="2099" spans="1:1" x14ac:dyDescent="0.25">
      <c r="A2099" t="s">
        <v>10567</v>
      </c>
    </row>
    <row r="2100" spans="1:1" x14ac:dyDescent="0.25">
      <c r="A2100" t="s">
        <v>10568</v>
      </c>
    </row>
    <row r="2101" spans="1:1" x14ac:dyDescent="0.25">
      <c r="A2101" t="s">
        <v>10566</v>
      </c>
    </row>
    <row r="2102" spans="1:1" x14ac:dyDescent="0.25">
      <c r="A2102" t="s">
        <v>2224</v>
      </c>
    </row>
    <row r="2103" spans="1:1" x14ac:dyDescent="0.25">
      <c r="A2103" t="s">
        <v>4458</v>
      </c>
    </row>
    <row r="2104" spans="1:1" x14ac:dyDescent="0.25">
      <c r="A2104" t="s">
        <v>4459</v>
      </c>
    </row>
    <row r="2105" spans="1:1" x14ac:dyDescent="0.25">
      <c r="A2105" t="s">
        <v>1869</v>
      </c>
    </row>
    <row r="2106" spans="1:1" x14ac:dyDescent="0.25">
      <c r="A2106" t="s">
        <v>4491</v>
      </c>
    </row>
    <row r="2107" spans="1:1" x14ac:dyDescent="0.25">
      <c r="A2107" t="s">
        <v>1975</v>
      </c>
    </row>
    <row r="2108" spans="1:1" x14ac:dyDescent="0.25">
      <c r="A2108" t="s">
        <v>1975</v>
      </c>
    </row>
    <row r="2109" spans="1:1" x14ac:dyDescent="0.25">
      <c r="A2109" t="s">
        <v>4490</v>
      </c>
    </row>
    <row r="2110" spans="1:1" x14ac:dyDescent="0.25">
      <c r="A2110" t="s">
        <v>4492</v>
      </c>
    </row>
    <row r="2111" spans="1:1" x14ac:dyDescent="0.25">
      <c r="A2111" t="s">
        <v>4493</v>
      </c>
    </row>
    <row r="2112" spans="1:1" x14ac:dyDescent="0.25">
      <c r="A2112" t="s">
        <v>11016</v>
      </c>
    </row>
    <row r="2113" spans="1:1" x14ac:dyDescent="0.25">
      <c r="A2113" t="s">
        <v>11017</v>
      </c>
    </row>
    <row r="2114" spans="1:1" x14ac:dyDescent="0.25">
      <c r="A2114" t="s">
        <v>10178</v>
      </c>
    </row>
    <row r="2115" spans="1:1" x14ac:dyDescent="0.25">
      <c r="A2115" t="s">
        <v>10179</v>
      </c>
    </row>
    <row r="2116" spans="1:1" x14ac:dyDescent="0.25">
      <c r="A2116" t="s">
        <v>10180</v>
      </c>
    </row>
    <row r="2117" spans="1:1" x14ac:dyDescent="0.25">
      <c r="A2117" t="s">
        <v>10715</v>
      </c>
    </row>
    <row r="2118" spans="1:1" x14ac:dyDescent="0.25">
      <c r="A2118" t="s">
        <v>10713</v>
      </c>
    </row>
    <row r="2119" spans="1:1" x14ac:dyDescent="0.25">
      <c r="A2119" t="s">
        <v>10714</v>
      </c>
    </row>
    <row r="2120" spans="1:1" x14ac:dyDescent="0.25">
      <c r="A2120" t="s">
        <v>4461</v>
      </c>
    </row>
    <row r="2121" spans="1:1" x14ac:dyDescent="0.25">
      <c r="A2121" t="s">
        <v>4462</v>
      </c>
    </row>
    <row r="2122" spans="1:1" x14ac:dyDescent="0.25">
      <c r="A2122" t="s">
        <v>4463</v>
      </c>
    </row>
    <row r="2123" spans="1:1" x14ac:dyDescent="0.25">
      <c r="A2123" t="s">
        <v>4464</v>
      </c>
    </row>
    <row r="2124" spans="1:1" x14ac:dyDescent="0.25">
      <c r="A2124" t="s">
        <v>4468</v>
      </c>
    </row>
    <row r="2125" spans="1:1" x14ac:dyDescent="0.25">
      <c r="A2125" t="s">
        <v>578</v>
      </c>
    </row>
    <row r="2126" spans="1:1" x14ac:dyDescent="0.25">
      <c r="A2126" t="s">
        <v>580</v>
      </c>
    </row>
    <row r="2127" spans="1:1" x14ac:dyDescent="0.25">
      <c r="A2127" t="s">
        <v>3595</v>
      </c>
    </row>
    <row r="2128" spans="1:1" x14ac:dyDescent="0.25">
      <c r="A2128" t="s">
        <v>590</v>
      </c>
    </row>
    <row r="2129" spans="1:1" x14ac:dyDescent="0.25">
      <c r="A2129" t="s">
        <v>10185</v>
      </c>
    </row>
    <row r="2130" spans="1:1" x14ac:dyDescent="0.25">
      <c r="A2130" t="s">
        <v>4456</v>
      </c>
    </row>
    <row r="2131" spans="1:1" x14ac:dyDescent="0.25">
      <c r="A2131" t="s">
        <v>4457</v>
      </c>
    </row>
    <row r="2132" spans="1:1" x14ac:dyDescent="0.25">
      <c r="A2132" t="s">
        <v>11018</v>
      </c>
    </row>
    <row r="2133" spans="1:1" x14ac:dyDescent="0.25">
      <c r="A2133" t="s">
        <v>11019</v>
      </c>
    </row>
    <row r="2134" spans="1:1" x14ac:dyDescent="0.25">
      <c r="A2134" t="s">
        <v>4469</v>
      </c>
    </row>
    <row r="2135" spans="1:1" x14ac:dyDescent="0.25">
      <c r="A2135" t="s">
        <v>4470</v>
      </c>
    </row>
    <row r="2136" spans="1:1" x14ac:dyDescent="0.25">
      <c r="A2136" t="s">
        <v>4471</v>
      </c>
    </row>
    <row r="2137" spans="1:1" x14ac:dyDescent="0.25">
      <c r="A2137" t="s">
        <v>10186</v>
      </c>
    </row>
    <row r="2138" spans="1:1" x14ac:dyDescent="0.25">
      <c r="A2138" t="s">
        <v>955</v>
      </c>
    </row>
    <row r="2139" spans="1:1" x14ac:dyDescent="0.25">
      <c r="A2139" t="s">
        <v>4568</v>
      </c>
    </row>
    <row r="2140" spans="1:1" x14ac:dyDescent="0.25">
      <c r="A2140" t="s">
        <v>10379</v>
      </c>
    </row>
    <row r="2141" spans="1:1" x14ac:dyDescent="0.25">
      <c r="A2141" t="s">
        <v>1797</v>
      </c>
    </row>
    <row r="2142" spans="1:1" x14ac:dyDescent="0.25">
      <c r="A2142" t="s">
        <v>1954</v>
      </c>
    </row>
    <row r="2143" spans="1:1" x14ac:dyDescent="0.25">
      <c r="A2143" t="s">
        <v>4460</v>
      </c>
    </row>
    <row r="2144" spans="1:1" x14ac:dyDescent="0.25">
      <c r="A2144" t="s">
        <v>4472</v>
      </c>
    </row>
    <row r="2145" spans="1:1" x14ac:dyDescent="0.25">
      <c r="A2145" t="s">
        <v>4473</v>
      </c>
    </row>
    <row r="2146" spans="1:1" x14ac:dyDescent="0.25">
      <c r="A2146" t="s">
        <v>4474</v>
      </c>
    </row>
    <row r="2147" spans="1:1" x14ac:dyDescent="0.25">
      <c r="A2147" t="s">
        <v>4475</v>
      </c>
    </row>
    <row r="2148" spans="1:1" x14ac:dyDescent="0.25">
      <c r="A2148" t="s">
        <v>1092</v>
      </c>
    </row>
    <row r="2149" spans="1:1" x14ac:dyDescent="0.25">
      <c r="A2149" t="s">
        <v>1094</v>
      </c>
    </row>
    <row r="2150" spans="1:1" x14ac:dyDescent="0.25">
      <c r="A2150" t="s">
        <v>1096</v>
      </c>
    </row>
    <row r="2151" spans="1:1" x14ac:dyDescent="0.25">
      <c r="A2151" t="s">
        <v>1979</v>
      </c>
    </row>
    <row r="2152" spans="1:1" x14ac:dyDescent="0.25">
      <c r="A2152" t="s">
        <v>1977</v>
      </c>
    </row>
    <row r="2153" spans="1:1" x14ac:dyDescent="0.25">
      <c r="A2153" t="s">
        <v>1981</v>
      </c>
    </row>
    <row r="2154" spans="1:1" x14ac:dyDescent="0.25">
      <c r="A2154" t="s">
        <v>1983</v>
      </c>
    </row>
    <row r="2155" spans="1:1" x14ac:dyDescent="0.25">
      <c r="A2155" t="s">
        <v>4482</v>
      </c>
    </row>
    <row r="2156" spans="1:1" x14ac:dyDescent="0.25">
      <c r="A2156" t="s">
        <v>4477</v>
      </c>
    </row>
    <row r="2157" spans="1:1" x14ac:dyDescent="0.25">
      <c r="A2157" t="s">
        <v>4478</v>
      </c>
    </row>
    <row r="2158" spans="1:1" x14ac:dyDescent="0.25">
      <c r="A2158" t="s">
        <v>4479</v>
      </c>
    </row>
    <row r="2159" spans="1:1" x14ac:dyDescent="0.25">
      <c r="A2159" t="s">
        <v>4480</v>
      </c>
    </row>
    <row r="2160" spans="1:1" x14ac:dyDescent="0.25">
      <c r="A2160" t="s">
        <v>4481</v>
      </c>
    </row>
    <row r="2161" spans="1:1" x14ac:dyDescent="0.25">
      <c r="A2161" t="s">
        <v>1897</v>
      </c>
    </row>
    <row r="2162" spans="1:1" x14ac:dyDescent="0.25">
      <c r="A2162" t="s">
        <v>4427</v>
      </c>
    </row>
    <row r="2163" spans="1:1" x14ac:dyDescent="0.25">
      <c r="A2163" t="s">
        <v>4428</v>
      </c>
    </row>
    <row r="2164" spans="1:1" x14ac:dyDescent="0.25">
      <c r="A2164" t="s">
        <v>11020</v>
      </c>
    </row>
    <row r="2165" spans="1:1" x14ac:dyDescent="0.25">
      <c r="A2165" t="s">
        <v>11021</v>
      </c>
    </row>
    <row r="2166" spans="1:1" x14ac:dyDescent="0.25">
      <c r="A2166" t="s">
        <v>11022</v>
      </c>
    </row>
    <row r="2167" spans="1:1" x14ac:dyDescent="0.25">
      <c r="A2167" t="s">
        <v>10324</v>
      </c>
    </row>
    <row r="2168" spans="1:1" x14ac:dyDescent="0.25">
      <c r="A2168" t="s">
        <v>4483</v>
      </c>
    </row>
    <row r="2169" spans="1:1" x14ac:dyDescent="0.25">
      <c r="A2169" t="s">
        <v>3898</v>
      </c>
    </row>
    <row r="2170" spans="1:1" x14ac:dyDescent="0.25">
      <c r="A2170" t="s">
        <v>3899</v>
      </c>
    </row>
    <row r="2171" spans="1:1" x14ac:dyDescent="0.25">
      <c r="A2171" t="s">
        <v>3899</v>
      </c>
    </row>
    <row r="2172" spans="1:1" x14ac:dyDescent="0.25">
      <c r="A2172" t="s">
        <v>2720</v>
      </c>
    </row>
    <row r="2173" spans="1:1" x14ac:dyDescent="0.25">
      <c r="A2173" t="s">
        <v>3913</v>
      </c>
    </row>
    <row r="2174" spans="1:1" x14ac:dyDescent="0.25">
      <c r="A2174" t="s">
        <v>3032</v>
      </c>
    </row>
    <row r="2175" spans="1:1" x14ac:dyDescent="0.25">
      <c r="A2175" t="s">
        <v>4484</v>
      </c>
    </row>
    <row r="2176" spans="1:1" x14ac:dyDescent="0.25">
      <c r="A2176" t="s">
        <v>4485</v>
      </c>
    </row>
    <row r="2177" spans="1:1" x14ac:dyDescent="0.25">
      <c r="A2177" t="s">
        <v>4486</v>
      </c>
    </row>
    <row r="2178" spans="1:1" x14ac:dyDescent="0.25">
      <c r="A2178" t="s">
        <v>10187</v>
      </c>
    </row>
    <row r="2179" spans="1:1" x14ac:dyDescent="0.25">
      <c r="A2179" t="s">
        <v>10188</v>
      </c>
    </row>
    <row r="2180" spans="1:1" x14ac:dyDescent="0.25">
      <c r="A2180" t="s">
        <v>4487</v>
      </c>
    </row>
    <row r="2181" spans="1:1" x14ac:dyDescent="0.25">
      <c r="A2181" t="s">
        <v>4488</v>
      </c>
    </row>
    <row r="2182" spans="1:1" x14ac:dyDescent="0.25">
      <c r="A2182" t="s">
        <v>4489</v>
      </c>
    </row>
    <row r="2183" spans="1:1" x14ac:dyDescent="0.25">
      <c r="A2183" t="s">
        <v>3432</v>
      </c>
    </row>
    <row r="2184" spans="1:1" x14ac:dyDescent="0.25">
      <c r="A2184" t="s">
        <v>3434</v>
      </c>
    </row>
    <row r="2185" spans="1:1" x14ac:dyDescent="0.25">
      <c r="A2185" t="s">
        <v>4465</v>
      </c>
    </row>
    <row r="2186" spans="1:1" x14ac:dyDescent="0.25">
      <c r="A2186" t="s">
        <v>4466</v>
      </c>
    </row>
    <row r="2187" spans="1:1" x14ac:dyDescent="0.25">
      <c r="A2187" t="s">
        <v>4467</v>
      </c>
    </row>
    <row r="2188" spans="1:1" x14ac:dyDescent="0.25">
      <c r="A2188" t="s">
        <v>4450</v>
      </c>
    </row>
    <row r="2189" spans="1:1" x14ac:dyDescent="0.25">
      <c r="A2189" t="s">
        <v>4452</v>
      </c>
    </row>
    <row r="2190" spans="1:1" x14ac:dyDescent="0.25">
      <c r="A2190" t="s">
        <v>4453</v>
      </c>
    </row>
    <row r="2191" spans="1:1" x14ac:dyDescent="0.25">
      <c r="A2191" t="s">
        <v>4454</v>
      </c>
    </row>
    <row r="2192" spans="1:1" x14ac:dyDescent="0.25">
      <c r="A2192" t="s">
        <v>4455</v>
      </c>
    </row>
    <row r="2193" spans="1:1" x14ac:dyDescent="0.25">
      <c r="A2193" t="s">
        <v>11023</v>
      </c>
    </row>
    <row r="2194" spans="1:1" x14ac:dyDescent="0.25">
      <c r="A2194" t="s">
        <v>11024</v>
      </c>
    </row>
    <row r="2195" spans="1:1" x14ac:dyDescent="0.25">
      <c r="A2195" t="s">
        <v>11025</v>
      </c>
    </row>
    <row r="2196" spans="1:1" x14ac:dyDescent="0.25">
      <c r="A2196" t="s">
        <v>4451</v>
      </c>
    </row>
    <row r="2197" spans="1:1" x14ac:dyDescent="0.25">
      <c r="A2197" t="s">
        <v>11026</v>
      </c>
    </row>
    <row r="2198" spans="1:1" x14ac:dyDescent="0.25">
      <c r="A2198" t="s">
        <v>11027</v>
      </c>
    </row>
    <row r="2199" spans="1:1" x14ac:dyDescent="0.25">
      <c r="A2199" t="s">
        <v>11028</v>
      </c>
    </row>
    <row r="2200" spans="1:1" x14ac:dyDescent="0.25">
      <c r="A2200" t="s">
        <v>11029</v>
      </c>
    </row>
    <row r="2201" spans="1:1" x14ac:dyDescent="0.25">
      <c r="A2201" t="s">
        <v>4476</v>
      </c>
    </row>
    <row r="2202" spans="1:1" x14ac:dyDescent="0.25">
      <c r="A2202" t="s">
        <v>4732</v>
      </c>
    </row>
    <row r="2203" spans="1:1" x14ac:dyDescent="0.25">
      <c r="A2203" t="s">
        <v>861</v>
      </c>
    </row>
    <row r="2204" spans="1:1" x14ac:dyDescent="0.25">
      <c r="A2204" t="s">
        <v>10394</v>
      </c>
    </row>
    <row r="2205" spans="1:1" x14ac:dyDescent="0.25">
      <c r="A2205" t="s">
        <v>865</v>
      </c>
    </row>
    <row r="2206" spans="1:1" x14ac:dyDescent="0.25">
      <c r="A2206" t="s">
        <v>3536</v>
      </c>
    </row>
    <row r="2207" spans="1:1" x14ac:dyDescent="0.25">
      <c r="A2207" t="s">
        <v>10406</v>
      </c>
    </row>
    <row r="2208" spans="1:1" x14ac:dyDescent="0.25">
      <c r="A2208" t="s">
        <v>10404</v>
      </c>
    </row>
    <row r="2209" spans="1:1" x14ac:dyDescent="0.25">
      <c r="A2209" t="s">
        <v>10405</v>
      </c>
    </row>
    <row r="2210" spans="1:1" x14ac:dyDescent="0.25">
      <c r="A2210" t="s">
        <v>6102</v>
      </c>
    </row>
    <row r="2211" spans="1:1" x14ac:dyDescent="0.25">
      <c r="A2211" t="s">
        <v>3598</v>
      </c>
    </row>
    <row r="2212" spans="1:1" x14ac:dyDescent="0.25">
      <c r="A2212" t="s">
        <v>635</v>
      </c>
    </row>
    <row r="2213" spans="1:1" x14ac:dyDescent="0.25">
      <c r="A2213" t="s">
        <v>887</v>
      </c>
    </row>
    <row r="2214" spans="1:1" x14ac:dyDescent="0.25">
      <c r="A2214" t="s">
        <v>10682</v>
      </c>
    </row>
    <row r="2215" spans="1:1" x14ac:dyDescent="0.25">
      <c r="A2215" t="s">
        <v>717</v>
      </c>
    </row>
    <row r="2216" spans="1:1" x14ac:dyDescent="0.25">
      <c r="A2216" t="s">
        <v>3613</v>
      </c>
    </row>
    <row r="2217" spans="1:1" x14ac:dyDescent="0.25">
      <c r="A2217" t="s">
        <v>4598</v>
      </c>
    </row>
    <row r="2218" spans="1:1" x14ac:dyDescent="0.25">
      <c r="A2218" t="s">
        <v>795</v>
      </c>
    </row>
    <row r="2219" spans="1:1" x14ac:dyDescent="0.25">
      <c r="A2219" t="s">
        <v>10395</v>
      </c>
    </row>
    <row r="2220" spans="1:1" x14ac:dyDescent="0.25">
      <c r="A2220" t="s">
        <v>10396</v>
      </c>
    </row>
    <row r="2221" spans="1:1" x14ac:dyDescent="0.25">
      <c r="A2221" t="s">
        <v>3684</v>
      </c>
    </row>
    <row r="2222" spans="1:1" x14ac:dyDescent="0.25">
      <c r="A2222" t="s">
        <v>10374</v>
      </c>
    </row>
    <row r="2223" spans="1:1" x14ac:dyDescent="0.25">
      <c r="A2223" t="s">
        <v>10375</v>
      </c>
    </row>
    <row r="2224" spans="1:1" x14ac:dyDescent="0.25">
      <c r="A2224" t="s">
        <v>10376</v>
      </c>
    </row>
    <row r="2225" spans="1:1" x14ac:dyDescent="0.25">
      <c r="A2225" t="s">
        <v>9984</v>
      </c>
    </row>
    <row r="2226" spans="1:1" x14ac:dyDescent="0.25">
      <c r="A2226" t="s">
        <v>937</v>
      </c>
    </row>
    <row r="2227" spans="1:1" x14ac:dyDescent="0.25">
      <c r="A2227" t="s">
        <v>1497</v>
      </c>
    </row>
    <row r="2228" spans="1:1" x14ac:dyDescent="0.25">
      <c r="A2228" t="s">
        <v>3692</v>
      </c>
    </row>
    <row r="2229" spans="1:1" x14ac:dyDescent="0.25">
      <c r="A2229" t="s">
        <v>3693</v>
      </c>
    </row>
    <row r="2230" spans="1:1" x14ac:dyDescent="0.25">
      <c r="A2230" t="s">
        <v>1499</v>
      </c>
    </row>
    <row r="2231" spans="1:1" x14ac:dyDescent="0.25">
      <c r="A2231" t="s">
        <v>3694</v>
      </c>
    </row>
    <row r="2232" spans="1:1" x14ac:dyDescent="0.25">
      <c r="A2232" t="s">
        <v>11030</v>
      </c>
    </row>
    <row r="2233" spans="1:1" x14ac:dyDescent="0.25">
      <c r="A2233" t="s">
        <v>11031</v>
      </c>
    </row>
    <row r="2234" spans="1:1" x14ac:dyDescent="0.25">
      <c r="A2234" t="s">
        <v>3430</v>
      </c>
    </row>
    <row r="2235" spans="1:1" x14ac:dyDescent="0.25">
      <c r="A2235" t="s">
        <v>986</v>
      </c>
    </row>
    <row r="2236" spans="1:1" x14ac:dyDescent="0.25">
      <c r="A2236" t="s">
        <v>3743</v>
      </c>
    </row>
    <row r="2237" spans="1:1" x14ac:dyDescent="0.25">
      <c r="A2237" t="s">
        <v>3744</v>
      </c>
    </row>
    <row r="2238" spans="1:1" x14ac:dyDescent="0.25">
      <c r="A2238" t="s">
        <v>992</v>
      </c>
    </row>
    <row r="2239" spans="1:1" x14ac:dyDescent="0.25">
      <c r="A2239" t="s">
        <v>994</v>
      </c>
    </row>
    <row r="2240" spans="1:1" x14ac:dyDescent="0.25">
      <c r="A2240" t="s">
        <v>994</v>
      </c>
    </row>
    <row r="2241" spans="1:1" x14ac:dyDescent="0.25">
      <c r="A2241" t="s">
        <v>996</v>
      </c>
    </row>
    <row r="2242" spans="1:1" x14ac:dyDescent="0.25">
      <c r="A2242" t="s">
        <v>996</v>
      </c>
    </row>
    <row r="2243" spans="1:1" x14ac:dyDescent="0.25">
      <c r="A2243" t="s">
        <v>1809</v>
      </c>
    </row>
    <row r="2244" spans="1:1" x14ac:dyDescent="0.25">
      <c r="A2244" t="s">
        <v>1811</v>
      </c>
    </row>
    <row r="2245" spans="1:1" x14ac:dyDescent="0.25">
      <c r="A2245" t="s">
        <v>1813</v>
      </c>
    </row>
    <row r="2246" spans="1:1" x14ac:dyDescent="0.25">
      <c r="A2246" t="s">
        <v>3748</v>
      </c>
    </row>
    <row r="2247" spans="1:1" x14ac:dyDescent="0.25">
      <c r="A2247" t="s">
        <v>1816</v>
      </c>
    </row>
    <row r="2248" spans="1:1" x14ac:dyDescent="0.25">
      <c r="A2248" t="s">
        <v>1818</v>
      </c>
    </row>
    <row r="2249" spans="1:1" x14ac:dyDescent="0.25">
      <c r="A2249" t="s">
        <v>1820</v>
      </c>
    </row>
    <row r="2250" spans="1:1" x14ac:dyDescent="0.25">
      <c r="A2250" t="s">
        <v>10709</v>
      </c>
    </row>
    <row r="2251" spans="1:1" x14ac:dyDescent="0.25">
      <c r="A2251" t="s">
        <v>1822</v>
      </c>
    </row>
    <row r="2252" spans="1:1" x14ac:dyDescent="0.25">
      <c r="A2252" t="s">
        <v>1832</v>
      </c>
    </row>
    <row r="2253" spans="1:1" x14ac:dyDescent="0.25">
      <c r="A2253" t="s">
        <v>6301</v>
      </c>
    </row>
    <row r="2254" spans="1:1" x14ac:dyDescent="0.25">
      <c r="A2254" t="s">
        <v>2124</v>
      </c>
    </row>
    <row r="2255" spans="1:1" x14ac:dyDescent="0.25">
      <c r="A2255" t="s">
        <v>2126</v>
      </c>
    </row>
    <row r="2256" spans="1:1" x14ac:dyDescent="0.25">
      <c r="A2256" t="s">
        <v>2128</v>
      </c>
    </row>
    <row r="2257" spans="1:1" x14ac:dyDescent="0.25">
      <c r="A2257" t="s">
        <v>2130</v>
      </c>
    </row>
    <row r="2258" spans="1:1" x14ac:dyDescent="0.25">
      <c r="A2258" t="s">
        <v>10107</v>
      </c>
    </row>
    <row r="2259" spans="1:1" x14ac:dyDescent="0.25">
      <c r="A2259" t="s">
        <v>6300</v>
      </c>
    </row>
    <row r="2260" spans="1:1" x14ac:dyDescent="0.25">
      <c r="A2260" t="s">
        <v>6299</v>
      </c>
    </row>
    <row r="2261" spans="1:1" x14ac:dyDescent="0.25">
      <c r="A2261" t="s">
        <v>6298</v>
      </c>
    </row>
    <row r="2262" spans="1:1" x14ac:dyDescent="0.25">
      <c r="A2262" t="s">
        <v>11032</v>
      </c>
    </row>
    <row r="2263" spans="1:1" x14ac:dyDescent="0.25">
      <c r="A2263" t="s">
        <v>11033</v>
      </c>
    </row>
    <row r="2264" spans="1:1" x14ac:dyDescent="0.25">
      <c r="A2264" t="s">
        <v>6297</v>
      </c>
    </row>
    <row r="2265" spans="1:1" x14ac:dyDescent="0.25">
      <c r="A2265" t="s">
        <v>11034</v>
      </c>
    </row>
    <row r="2266" spans="1:1" x14ac:dyDescent="0.25">
      <c r="A2266" t="s">
        <v>11035</v>
      </c>
    </row>
    <row r="2267" spans="1:1" x14ac:dyDescent="0.25">
      <c r="A2267" t="s">
        <v>2454</v>
      </c>
    </row>
    <row r="2268" spans="1:1" x14ac:dyDescent="0.25">
      <c r="A2268" t="s">
        <v>1062</v>
      </c>
    </row>
    <row r="2269" spans="1:1" x14ac:dyDescent="0.25">
      <c r="A2269" t="s">
        <v>1062</v>
      </c>
    </row>
    <row r="2270" spans="1:1" x14ac:dyDescent="0.25">
      <c r="A2270" t="s">
        <v>3831</v>
      </c>
    </row>
    <row r="2271" spans="1:1" x14ac:dyDescent="0.25">
      <c r="A2271" t="s">
        <v>3831</v>
      </c>
    </row>
    <row r="2272" spans="1:1" x14ac:dyDescent="0.25">
      <c r="A2272" t="s">
        <v>6296</v>
      </c>
    </row>
    <row r="2273" spans="1:1" x14ac:dyDescent="0.25">
      <c r="A2273" t="s">
        <v>10410</v>
      </c>
    </row>
    <row r="2274" spans="1:1" x14ac:dyDescent="0.25">
      <c r="A2274" t="s">
        <v>10409</v>
      </c>
    </row>
    <row r="2275" spans="1:1" x14ac:dyDescent="0.25">
      <c r="A2275" t="s">
        <v>10399</v>
      </c>
    </row>
    <row r="2276" spans="1:1" x14ac:dyDescent="0.25">
      <c r="A2276" t="s">
        <v>10400</v>
      </c>
    </row>
    <row r="2277" spans="1:1" x14ac:dyDescent="0.25">
      <c r="A2277" t="s">
        <v>3832</v>
      </c>
    </row>
    <row r="2278" spans="1:1" x14ac:dyDescent="0.25">
      <c r="A2278" t="s">
        <v>2468</v>
      </c>
    </row>
    <row r="2279" spans="1:1" x14ac:dyDescent="0.25">
      <c r="A2279" t="s">
        <v>10408</v>
      </c>
    </row>
    <row r="2280" spans="1:1" x14ac:dyDescent="0.25">
      <c r="A2280" t="s">
        <v>2568</v>
      </c>
    </row>
    <row r="2281" spans="1:1" x14ac:dyDescent="0.25">
      <c r="A2281" t="s">
        <v>2570</v>
      </c>
    </row>
    <row r="2282" spans="1:1" x14ac:dyDescent="0.25">
      <c r="A2282" t="s">
        <v>2572</v>
      </c>
    </row>
    <row r="2283" spans="1:1" x14ac:dyDescent="0.25">
      <c r="A2283" t="s">
        <v>2574</v>
      </c>
    </row>
    <row r="2284" spans="1:1" x14ac:dyDescent="0.25">
      <c r="A2284" t="s">
        <v>2576</v>
      </c>
    </row>
    <row r="2285" spans="1:1" x14ac:dyDescent="0.25">
      <c r="A2285" t="s">
        <v>2578</v>
      </c>
    </row>
    <row r="2286" spans="1:1" x14ac:dyDescent="0.25">
      <c r="A2286" t="s">
        <v>11036</v>
      </c>
    </row>
    <row r="2287" spans="1:1" x14ac:dyDescent="0.25">
      <c r="A2287" t="s">
        <v>11037</v>
      </c>
    </row>
    <row r="2288" spans="1:1" x14ac:dyDescent="0.25">
      <c r="A2288" t="s">
        <v>11038</v>
      </c>
    </row>
    <row r="2289" spans="1:1" x14ac:dyDescent="0.25">
      <c r="A2289" t="s">
        <v>11039</v>
      </c>
    </row>
    <row r="2290" spans="1:1" x14ac:dyDescent="0.25">
      <c r="A2290" t="s">
        <v>11040</v>
      </c>
    </row>
    <row r="2291" spans="1:1" x14ac:dyDescent="0.25">
      <c r="A2291" t="s">
        <v>10370</v>
      </c>
    </row>
    <row r="2292" spans="1:1" x14ac:dyDescent="0.25">
      <c r="A2292" t="s">
        <v>10371</v>
      </c>
    </row>
    <row r="2293" spans="1:1" x14ac:dyDescent="0.25">
      <c r="A2293" t="s">
        <v>10372</v>
      </c>
    </row>
    <row r="2294" spans="1:1" x14ac:dyDescent="0.25">
      <c r="A2294" t="s">
        <v>3870</v>
      </c>
    </row>
    <row r="2295" spans="1:1" x14ac:dyDescent="0.25">
      <c r="A2295" t="s">
        <v>3871</v>
      </c>
    </row>
    <row r="2296" spans="1:1" x14ac:dyDescent="0.25">
      <c r="A2296" t="s">
        <v>1116</v>
      </c>
    </row>
    <row r="2297" spans="1:1" x14ac:dyDescent="0.25">
      <c r="A2297" t="s">
        <v>3875</v>
      </c>
    </row>
    <row r="2298" spans="1:1" x14ac:dyDescent="0.25">
      <c r="A2298" t="s">
        <v>3876</v>
      </c>
    </row>
    <row r="2299" spans="1:1" x14ac:dyDescent="0.25">
      <c r="A2299" t="s">
        <v>3877</v>
      </c>
    </row>
    <row r="2300" spans="1:1" x14ac:dyDescent="0.25">
      <c r="A2300" t="s">
        <v>1118</v>
      </c>
    </row>
    <row r="2301" spans="1:1" x14ac:dyDescent="0.25">
      <c r="A2301" t="s">
        <v>3880</v>
      </c>
    </row>
    <row r="2302" spans="1:1" x14ac:dyDescent="0.25">
      <c r="A2302" t="s">
        <v>1121</v>
      </c>
    </row>
    <row r="2303" spans="1:1" x14ac:dyDescent="0.25">
      <c r="A2303" t="s">
        <v>1123</v>
      </c>
    </row>
    <row r="2304" spans="1:1" x14ac:dyDescent="0.25">
      <c r="A2304" t="s">
        <v>10681</v>
      </c>
    </row>
    <row r="2305" spans="1:1" x14ac:dyDescent="0.25">
      <c r="A2305" t="s">
        <v>10687</v>
      </c>
    </row>
    <row r="2306" spans="1:1" x14ac:dyDescent="0.25">
      <c r="A2306" t="s">
        <v>3897</v>
      </c>
    </row>
    <row r="2307" spans="1:1" x14ac:dyDescent="0.25">
      <c r="A2307" t="s">
        <v>2798</v>
      </c>
    </row>
    <row r="2308" spans="1:1" x14ac:dyDescent="0.25">
      <c r="A2308" t="s">
        <v>2798</v>
      </c>
    </row>
    <row r="2309" spans="1:1" x14ac:dyDescent="0.25">
      <c r="A2309" t="s">
        <v>1147</v>
      </c>
    </row>
    <row r="2310" spans="1:1" x14ac:dyDescent="0.25">
      <c r="A2310" t="s">
        <v>3163</v>
      </c>
    </row>
    <row r="2311" spans="1:1" x14ac:dyDescent="0.25">
      <c r="A2311" t="s">
        <v>3165</v>
      </c>
    </row>
    <row r="2312" spans="1:1" x14ac:dyDescent="0.25">
      <c r="A2312" t="s">
        <v>10354</v>
      </c>
    </row>
    <row r="2313" spans="1:1" x14ac:dyDescent="0.25">
      <c r="A2313" t="s">
        <v>3279</v>
      </c>
    </row>
    <row r="2314" spans="1:1" x14ac:dyDescent="0.25">
      <c r="A2314" t="s">
        <v>3281</v>
      </c>
    </row>
    <row r="2315" spans="1:1" x14ac:dyDescent="0.25">
      <c r="A2315" t="s">
        <v>3925</v>
      </c>
    </row>
    <row r="2316" spans="1:1" x14ac:dyDescent="0.25">
      <c r="A2316" t="s">
        <v>3462</v>
      </c>
    </row>
    <row r="2317" spans="1:1" x14ac:dyDescent="0.25">
      <c r="A2317" t="s">
        <v>4372</v>
      </c>
    </row>
    <row r="2318" spans="1:1" x14ac:dyDescent="0.25">
      <c r="A2318" t="s">
        <v>2801</v>
      </c>
    </row>
    <row r="2319" spans="1:1" x14ac:dyDescent="0.25">
      <c r="A2319" t="s">
        <v>2801</v>
      </c>
    </row>
    <row r="2320" spans="1:1" x14ac:dyDescent="0.25">
      <c r="A2320" t="s">
        <v>3480</v>
      </c>
    </row>
    <row r="2321" spans="1:1" x14ac:dyDescent="0.25">
      <c r="A2321" t="s">
        <v>26</v>
      </c>
    </row>
    <row r="2322" spans="1:1" x14ac:dyDescent="0.25">
      <c r="A2322" t="s">
        <v>29</v>
      </c>
    </row>
    <row r="2323" spans="1:1" x14ac:dyDescent="0.25">
      <c r="A2323" t="s">
        <v>143</v>
      </c>
    </row>
    <row r="2324" spans="1:1" x14ac:dyDescent="0.25">
      <c r="A2324" t="s">
        <v>252</v>
      </c>
    </row>
    <row r="2325" spans="1:1" x14ac:dyDescent="0.25">
      <c r="A2325" t="s">
        <v>363</v>
      </c>
    </row>
    <row r="2326" spans="1:1" x14ac:dyDescent="0.25">
      <c r="A2326" t="s">
        <v>438</v>
      </c>
    </row>
    <row r="2327" spans="1:1" x14ac:dyDescent="0.25">
      <c r="A2327" t="s">
        <v>470</v>
      </c>
    </row>
    <row r="2328" spans="1:1" x14ac:dyDescent="0.25">
      <c r="A2328" t="s">
        <v>472</v>
      </c>
    </row>
    <row r="2329" spans="1:1" x14ac:dyDescent="0.25">
      <c r="A2329" t="s">
        <v>2844</v>
      </c>
    </row>
    <row r="2330" spans="1:1" x14ac:dyDescent="0.25">
      <c r="A2330" t="s">
        <v>2846</v>
      </c>
    </row>
    <row r="2331" spans="1:1" x14ac:dyDescent="0.25">
      <c r="A2331" t="s">
        <v>2848</v>
      </c>
    </row>
    <row r="2332" spans="1:1" x14ac:dyDescent="0.25">
      <c r="A2332" t="s">
        <v>1318</v>
      </c>
    </row>
    <row r="2333" spans="1:1" x14ac:dyDescent="0.25">
      <c r="A2333" t="s">
        <v>1320</v>
      </c>
    </row>
    <row r="2334" spans="1:1" x14ac:dyDescent="0.25">
      <c r="A2334" t="s">
        <v>1322</v>
      </c>
    </row>
    <row r="2335" spans="1:1" x14ac:dyDescent="0.25">
      <c r="A2335" t="s">
        <v>1413</v>
      </c>
    </row>
    <row r="2336" spans="1:1" x14ac:dyDescent="0.25">
      <c r="A2336" t="s">
        <v>1415</v>
      </c>
    </row>
    <row r="2337" spans="1:1" x14ac:dyDescent="0.25">
      <c r="A2337" t="s">
        <v>10576</v>
      </c>
    </row>
    <row r="2338" spans="1:1" x14ac:dyDescent="0.25">
      <c r="A2338" t="s">
        <v>1622</v>
      </c>
    </row>
    <row r="2339" spans="1:1" x14ac:dyDescent="0.25">
      <c r="A2339" t="s">
        <v>10639</v>
      </c>
    </row>
    <row r="2340" spans="1:1" x14ac:dyDescent="0.25">
      <c r="A2340" t="s">
        <v>10581</v>
      </c>
    </row>
    <row r="2341" spans="1:1" x14ac:dyDescent="0.25">
      <c r="A2341" t="s">
        <v>2280</v>
      </c>
    </row>
    <row r="2342" spans="1:1" x14ac:dyDescent="0.25">
      <c r="A2342" t="s">
        <v>3887</v>
      </c>
    </row>
    <row r="2343" spans="1:1" x14ac:dyDescent="0.25">
      <c r="A2343" t="s">
        <v>3888</v>
      </c>
    </row>
    <row r="2344" spans="1:1" x14ac:dyDescent="0.25">
      <c r="A2344" t="s">
        <v>2860</v>
      </c>
    </row>
    <row r="2345" spans="1:1" x14ac:dyDescent="0.25">
      <c r="A2345" t="s">
        <v>3918</v>
      </c>
    </row>
    <row r="2346" spans="1:1" x14ac:dyDescent="0.25">
      <c r="A2346" t="s">
        <v>2023</v>
      </c>
    </row>
    <row r="2347" spans="1:1" x14ac:dyDescent="0.25">
      <c r="A2347" t="s">
        <v>2025</v>
      </c>
    </row>
    <row r="2348" spans="1:1" x14ac:dyDescent="0.25">
      <c r="A2348" t="s">
        <v>4567</v>
      </c>
    </row>
    <row r="2349" spans="1:1" x14ac:dyDescent="0.25">
      <c r="A2349" t="s">
        <v>384</v>
      </c>
    </row>
    <row r="2350" spans="1:1" x14ac:dyDescent="0.25">
      <c r="A2350" t="s">
        <v>387</v>
      </c>
    </row>
    <row r="2351" spans="1:1" x14ac:dyDescent="0.25">
      <c r="A2351" t="s">
        <v>407</v>
      </c>
    </row>
    <row r="2352" spans="1:1" x14ac:dyDescent="0.25">
      <c r="A2352" t="s">
        <v>389</v>
      </c>
    </row>
    <row r="2353" spans="1:1" x14ac:dyDescent="0.25">
      <c r="A2353" t="s">
        <v>391</v>
      </c>
    </row>
    <row r="2354" spans="1:1" x14ac:dyDescent="0.25">
      <c r="A2354" t="s">
        <v>394</v>
      </c>
    </row>
    <row r="2355" spans="1:1" x14ac:dyDescent="0.25">
      <c r="A2355" t="s">
        <v>3528</v>
      </c>
    </row>
    <row r="2356" spans="1:1" x14ac:dyDescent="0.25">
      <c r="A2356" t="s">
        <v>3529</v>
      </c>
    </row>
    <row r="2357" spans="1:1" x14ac:dyDescent="0.25">
      <c r="A2357" t="s">
        <v>397</v>
      </c>
    </row>
    <row r="2358" spans="1:1" x14ac:dyDescent="0.25">
      <c r="A2358" t="s">
        <v>9840</v>
      </c>
    </row>
    <row r="2359" spans="1:1" x14ac:dyDescent="0.25">
      <c r="A2359" t="s">
        <v>9841</v>
      </c>
    </row>
    <row r="2360" spans="1:1" x14ac:dyDescent="0.25">
      <c r="A2360" t="s">
        <v>399</v>
      </c>
    </row>
    <row r="2361" spans="1:1" x14ac:dyDescent="0.25">
      <c r="A2361" t="s">
        <v>401</v>
      </c>
    </row>
    <row r="2362" spans="1:1" x14ac:dyDescent="0.25">
      <c r="A2362" t="s">
        <v>403</v>
      </c>
    </row>
    <row r="2363" spans="1:1" x14ac:dyDescent="0.25">
      <c r="A2363" t="s">
        <v>405</v>
      </c>
    </row>
    <row r="2364" spans="1:1" x14ac:dyDescent="0.25">
      <c r="A2364" t="s">
        <v>3530</v>
      </c>
    </row>
    <row r="2365" spans="1:1" x14ac:dyDescent="0.25">
      <c r="A2365" t="s">
        <v>410</v>
      </c>
    </row>
    <row r="2366" spans="1:1" x14ac:dyDescent="0.25">
      <c r="A2366" t="s">
        <v>3531</v>
      </c>
    </row>
    <row r="2367" spans="1:1" x14ac:dyDescent="0.25">
      <c r="A2367" t="s">
        <v>412</v>
      </c>
    </row>
    <row r="2368" spans="1:1" x14ac:dyDescent="0.25">
      <c r="A2368" t="s">
        <v>415</v>
      </c>
    </row>
    <row r="2369" spans="1:1" x14ac:dyDescent="0.25">
      <c r="A2369" t="s">
        <v>417</v>
      </c>
    </row>
    <row r="2370" spans="1:1" x14ac:dyDescent="0.25">
      <c r="A2370" t="s">
        <v>419</v>
      </c>
    </row>
    <row r="2371" spans="1:1" x14ac:dyDescent="0.25">
      <c r="A2371" t="s">
        <v>9839</v>
      </c>
    </row>
    <row r="2372" spans="1:1" x14ac:dyDescent="0.25">
      <c r="A2372" t="s">
        <v>1230</v>
      </c>
    </row>
    <row r="2373" spans="1:1" x14ac:dyDescent="0.25">
      <c r="A2373" t="s">
        <v>1232</v>
      </c>
    </row>
    <row r="2374" spans="1:1" x14ac:dyDescent="0.25">
      <c r="A2374" t="s">
        <v>1234</v>
      </c>
    </row>
    <row r="2375" spans="1:1" x14ac:dyDescent="0.25">
      <c r="A2375" t="s">
        <v>1236</v>
      </c>
    </row>
    <row r="2376" spans="1:1" x14ac:dyDescent="0.25">
      <c r="A2376" t="s">
        <v>1246</v>
      </c>
    </row>
    <row r="2377" spans="1:1" x14ac:dyDescent="0.25">
      <c r="A2377" t="s">
        <v>10723</v>
      </c>
    </row>
    <row r="2378" spans="1:1" x14ac:dyDescent="0.25">
      <c r="A2378" t="s">
        <v>10724</v>
      </c>
    </row>
    <row r="2379" spans="1:1" x14ac:dyDescent="0.25">
      <c r="A2379" t="s">
        <v>10558</v>
      </c>
    </row>
    <row r="2380" spans="1:1" x14ac:dyDescent="0.25">
      <c r="A2380" t="s">
        <v>10557</v>
      </c>
    </row>
    <row r="2381" spans="1:1" x14ac:dyDescent="0.25">
      <c r="A2381" t="s">
        <v>10559</v>
      </c>
    </row>
    <row r="2382" spans="1:1" x14ac:dyDescent="0.25">
      <c r="A2382" t="s">
        <v>10560</v>
      </c>
    </row>
    <row r="2383" spans="1:1" x14ac:dyDescent="0.25">
      <c r="A2383" t="s">
        <v>3643</v>
      </c>
    </row>
    <row r="2384" spans="1:1" x14ac:dyDescent="0.25">
      <c r="A2384" t="s">
        <v>1241</v>
      </c>
    </row>
    <row r="2385" spans="1:1" x14ac:dyDescent="0.25">
      <c r="A2385" t="s">
        <v>3644</v>
      </c>
    </row>
    <row r="2386" spans="1:1" x14ac:dyDescent="0.25">
      <c r="A2386" t="s">
        <v>10561</v>
      </c>
    </row>
    <row r="2387" spans="1:1" x14ac:dyDescent="0.25">
      <c r="A2387" t="s">
        <v>1243</v>
      </c>
    </row>
    <row r="2388" spans="1:1" x14ac:dyDescent="0.25">
      <c r="A2388" t="s">
        <v>3645</v>
      </c>
    </row>
    <row r="2389" spans="1:1" x14ac:dyDescent="0.25">
      <c r="A2389" t="s">
        <v>1799</v>
      </c>
    </row>
    <row r="2390" spans="1:1" x14ac:dyDescent="0.25">
      <c r="A2390" t="s">
        <v>3741</v>
      </c>
    </row>
    <row r="2391" spans="1:1" x14ac:dyDescent="0.25">
      <c r="A2391" t="s">
        <v>10624</v>
      </c>
    </row>
    <row r="2392" spans="1:1" x14ac:dyDescent="0.25">
      <c r="A2392" t="s">
        <v>10555</v>
      </c>
    </row>
    <row r="2393" spans="1:1" x14ac:dyDescent="0.25">
      <c r="A2393" t="s">
        <v>10588</v>
      </c>
    </row>
    <row r="2394" spans="1:1" x14ac:dyDescent="0.25">
      <c r="A2394" t="s">
        <v>10619</v>
      </c>
    </row>
    <row r="2395" spans="1:1" x14ac:dyDescent="0.25">
      <c r="A2395" t="s">
        <v>10556</v>
      </c>
    </row>
    <row r="2396" spans="1:1" x14ac:dyDescent="0.25">
      <c r="A2396" t="s">
        <v>10589</v>
      </c>
    </row>
    <row r="2397" spans="1:1" x14ac:dyDescent="0.25">
      <c r="A2397" t="s">
        <v>10620</v>
      </c>
    </row>
    <row r="2398" spans="1:1" x14ac:dyDescent="0.25">
      <c r="A2398" t="s">
        <v>2082</v>
      </c>
    </row>
    <row r="2399" spans="1:1" x14ac:dyDescent="0.25">
      <c r="A2399" t="s">
        <v>1912</v>
      </c>
    </row>
    <row r="2400" spans="1:1" x14ac:dyDescent="0.25">
      <c r="A2400" t="s">
        <v>1910</v>
      </c>
    </row>
    <row r="2401" spans="1:1" x14ac:dyDescent="0.25">
      <c r="A2401" t="s">
        <v>10067</v>
      </c>
    </row>
    <row r="2402" spans="1:1" x14ac:dyDescent="0.25">
      <c r="A2402" t="s">
        <v>3902</v>
      </c>
    </row>
    <row r="2403" spans="1:1" x14ac:dyDescent="0.25">
      <c r="A2403" t="s">
        <v>3903</v>
      </c>
    </row>
    <row r="2404" spans="1:1" x14ac:dyDescent="0.25">
      <c r="A2404" t="s">
        <v>3001</v>
      </c>
    </row>
    <row r="2405" spans="1:1" x14ac:dyDescent="0.25">
      <c r="A2405" t="s">
        <v>2999</v>
      </c>
    </row>
    <row r="2406" spans="1:1" x14ac:dyDescent="0.25">
      <c r="A2406" t="s">
        <v>2997</v>
      </c>
    </row>
    <row r="2407" spans="1:1" x14ac:dyDescent="0.25">
      <c r="A2407" t="s">
        <v>2997</v>
      </c>
    </row>
    <row r="2408" spans="1:1" x14ac:dyDescent="0.25">
      <c r="A2408" t="s">
        <v>3904</v>
      </c>
    </row>
    <row r="2409" spans="1:1" x14ac:dyDescent="0.25">
      <c r="A2409" t="s">
        <v>1139</v>
      </c>
    </row>
    <row r="2410" spans="1:1" x14ac:dyDescent="0.25">
      <c r="A2410" t="s">
        <v>1872</v>
      </c>
    </row>
    <row r="2411" spans="1:1" x14ac:dyDescent="0.25">
      <c r="A2411" t="s">
        <v>1877</v>
      </c>
    </row>
    <row r="2412" spans="1:1" x14ac:dyDescent="0.25">
      <c r="A2412" t="s">
        <v>1875</v>
      </c>
    </row>
    <row r="2413" spans="1:1" x14ac:dyDescent="0.25">
      <c r="A2413" t="s">
        <v>10539</v>
      </c>
    </row>
    <row r="2414" spans="1:1" x14ac:dyDescent="0.25">
      <c r="A2414" t="s">
        <v>3775</v>
      </c>
    </row>
    <row r="2415" spans="1:1" x14ac:dyDescent="0.25">
      <c r="A2415" t="s">
        <v>3776</v>
      </c>
    </row>
    <row r="2416" spans="1:1" x14ac:dyDescent="0.25">
      <c r="A2416" t="s">
        <v>3777</v>
      </c>
    </row>
    <row r="2417" spans="1:1" x14ac:dyDescent="0.25">
      <c r="A2417" t="s">
        <v>3778</v>
      </c>
    </row>
    <row r="2418" spans="1:1" x14ac:dyDescent="0.25">
      <c r="A2418" t="s">
        <v>3779</v>
      </c>
    </row>
    <row r="2419" spans="1:1" x14ac:dyDescent="0.25">
      <c r="A2419" t="s">
        <v>3780</v>
      </c>
    </row>
    <row r="2420" spans="1:1" x14ac:dyDescent="0.25">
      <c r="A2420" t="s">
        <v>2090</v>
      </c>
    </row>
    <row r="2421" spans="1:1" x14ac:dyDescent="0.25">
      <c r="A2421" t="s">
        <v>3781</v>
      </c>
    </row>
    <row r="2422" spans="1:1" x14ac:dyDescent="0.25">
      <c r="A2422" t="s">
        <v>3782</v>
      </c>
    </row>
    <row r="2423" spans="1:1" x14ac:dyDescent="0.25">
      <c r="A2423" t="s">
        <v>2094</v>
      </c>
    </row>
    <row r="2424" spans="1:1" x14ac:dyDescent="0.25">
      <c r="A2424" t="s">
        <v>2096</v>
      </c>
    </row>
    <row r="2425" spans="1:1" x14ac:dyDescent="0.25">
      <c r="A2425" t="s">
        <v>3783</v>
      </c>
    </row>
    <row r="2426" spans="1:1" x14ac:dyDescent="0.25">
      <c r="A2426" t="s">
        <v>2098</v>
      </c>
    </row>
    <row r="2427" spans="1:1" x14ac:dyDescent="0.25">
      <c r="A2427" t="s">
        <v>4554</v>
      </c>
    </row>
    <row r="2428" spans="1:1" x14ac:dyDescent="0.25">
      <c r="A2428" t="s">
        <v>2133</v>
      </c>
    </row>
    <row r="2429" spans="1:1" x14ac:dyDescent="0.25">
      <c r="A2429" t="s">
        <v>2135</v>
      </c>
    </row>
    <row r="2430" spans="1:1" x14ac:dyDescent="0.25">
      <c r="A2430" t="s">
        <v>2137</v>
      </c>
    </row>
    <row r="2431" spans="1:1" x14ac:dyDescent="0.25">
      <c r="A2431" t="s">
        <v>4556</v>
      </c>
    </row>
    <row r="2432" spans="1:1" x14ac:dyDescent="0.25">
      <c r="A2432" t="s">
        <v>10671</v>
      </c>
    </row>
    <row r="2433" spans="1:1" x14ac:dyDescent="0.25">
      <c r="A2433" t="s">
        <v>10621</v>
      </c>
    </row>
    <row r="2434" spans="1:1" x14ac:dyDescent="0.25">
      <c r="A2434" t="s">
        <v>2739</v>
      </c>
    </row>
    <row r="2435" spans="1:1" x14ac:dyDescent="0.25">
      <c r="A2435" t="s">
        <v>164</v>
      </c>
    </row>
    <row r="2436" spans="1:1" x14ac:dyDescent="0.25">
      <c r="A2436" t="s">
        <v>10728</v>
      </c>
    </row>
    <row r="2437" spans="1:1" x14ac:dyDescent="0.25">
      <c r="A2437" t="s">
        <v>348</v>
      </c>
    </row>
    <row r="2438" spans="1:1" x14ac:dyDescent="0.25">
      <c r="A2438" t="s">
        <v>350</v>
      </c>
    </row>
    <row r="2439" spans="1:1" x14ac:dyDescent="0.25">
      <c r="A2439" t="s">
        <v>10562</v>
      </c>
    </row>
    <row r="2440" spans="1:1" x14ac:dyDescent="0.25">
      <c r="A2440" t="s">
        <v>2236</v>
      </c>
    </row>
    <row r="2441" spans="1:1" x14ac:dyDescent="0.25">
      <c r="A2441" t="s">
        <v>859</v>
      </c>
    </row>
    <row r="2442" spans="1:1" x14ac:dyDescent="0.25">
      <c r="A2442" t="s">
        <v>1133</v>
      </c>
    </row>
    <row r="2443" spans="1:1" x14ac:dyDescent="0.25">
      <c r="A2443" t="s">
        <v>872</v>
      </c>
    </row>
    <row r="2444" spans="1:1" x14ac:dyDescent="0.25">
      <c r="A2444" t="s">
        <v>603</v>
      </c>
    </row>
    <row r="2445" spans="1:1" x14ac:dyDescent="0.25">
      <c r="A2445" t="s">
        <v>605</v>
      </c>
    </row>
    <row r="2446" spans="1:1" x14ac:dyDescent="0.25">
      <c r="A2446" t="s">
        <v>1653</v>
      </c>
    </row>
    <row r="2447" spans="1:1" x14ac:dyDescent="0.25">
      <c r="A2447" t="s">
        <v>1210</v>
      </c>
    </row>
    <row r="2448" spans="1:1" x14ac:dyDescent="0.25">
      <c r="A2448" t="s">
        <v>1214</v>
      </c>
    </row>
    <row r="2449" spans="1:1" x14ac:dyDescent="0.25">
      <c r="A2449" t="s">
        <v>4026</v>
      </c>
    </row>
    <row r="2450" spans="1:1" x14ac:dyDescent="0.25">
      <c r="A2450" t="s">
        <v>3646</v>
      </c>
    </row>
    <row r="2451" spans="1:1" x14ac:dyDescent="0.25">
      <c r="A2451" t="s">
        <v>3647</v>
      </c>
    </row>
    <row r="2452" spans="1:1" x14ac:dyDescent="0.25">
      <c r="A2452" t="s">
        <v>3648</v>
      </c>
    </row>
    <row r="2453" spans="1:1" x14ac:dyDescent="0.25">
      <c r="A2453" t="s">
        <v>3649</v>
      </c>
    </row>
    <row r="2454" spans="1:1" x14ac:dyDescent="0.25">
      <c r="A2454" t="s">
        <v>3650</v>
      </c>
    </row>
    <row r="2455" spans="1:1" x14ac:dyDescent="0.25">
      <c r="A2455" t="s">
        <v>3651</v>
      </c>
    </row>
    <row r="2456" spans="1:1" x14ac:dyDescent="0.25">
      <c r="A2456" t="s">
        <v>3652</v>
      </c>
    </row>
    <row r="2457" spans="1:1" x14ac:dyDescent="0.25">
      <c r="A2457" t="s">
        <v>3653</v>
      </c>
    </row>
    <row r="2458" spans="1:1" x14ac:dyDescent="0.25">
      <c r="A2458" t="s">
        <v>10529</v>
      </c>
    </row>
    <row r="2459" spans="1:1" x14ac:dyDescent="0.25">
      <c r="A2459" t="s">
        <v>10530</v>
      </c>
    </row>
    <row r="2460" spans="1:1" x14ac:dyDescent="0.25">
      <c r="A2460" t="s">
        <v>10531</v>
      </c>
    </row>
    <row r="2461" spans="1:1" x14ac:dyDescent="0.25">
      <c r="A2461" t="s">
        <v>1296</v>
      </c>
    </row>
    <row r="2462" spans="1:1" x14ac:dyDescent="0.25">
      <c r="A2462" t="s">
        <v>1298</v>
      </c>
    </row>
    <row r="2463" spans="1:1" x14ac:dyDescent="0.25">
      <c r="A2463" t="s">
        <v>1300</v>
      </c>
    </row>
    <row r="2464" spans="1:1" x14ac:dyDescent="0.25">
      <c r="A2464" t="s">
        <v>1306</v>
      </c>
    </row>
    <row r="2465" spans="1:1" x14ac:dyDescent="0.25">
      <c r="A2465" t="s">
        <v>1310</v>
      </c>
    </row>
    <row r="2466" spans="1:1" x14ac:dyDescent="0.25">
      <c r="A2466" t="s">
        <v>1308</v>
      </c>
    </row>
    <row r="2467" spans="1:1" x14ac:dyDescent="0.25">
      <c r="A2467" t="s">
        <v>1329</v>
      </c>
    </row>
    <row r="2468" spans="1:1" x14ac:dyDescent="0.25">
      <c r="A2468" t="s">
        <v>1331</v>
      </c>
    </row>
    <row r="2469" spans="1:1" x14ac:dyDescent="0.25">
      <c r="A2469" t="s">
        <v>4658</v>
      </c>
    </row>
    <row r="2470" spans="1:1" x14ac:dyDescent="0.25">
      <c r="A2470" t="s">
        <v>1624</v>
      </c>
    </row>
    <row r="2471" spans="1:1" x14ac:dyDescent="0.25">
      <c r="A2471" t="s">
        <v>939</v>
      </c>
    </row>
    <row r="2472" spans="1:1" x14ac:dyDescent="0.25">
      <c r="A2472" t="s">
        <v>1703</v>
      </c>
    </row>
    <row r="2473" spans="1:1" x14ac:dyDescent="0.25">
      <c r="A2473" t="s">
        <v>1701</v>
      </c>
    </row>
    <row r="2474" spans="1:1" x14ac:dyDescent="0.25">
      <c r="A2474" t="s">
        <v>1707</v>
      </c>
    </row>
    <row r="2475" spans="1:1" x14ac:dyDescent="0.25">
      <c r="A2475" t="s">
        <v>1709</v>
      </c>
    </row>
    <row r="2476" spans="1:1" x14ac:dyDescent="0.25">
      <c r="A2476" t="s">
        <v>1705</v>
      </c>
    </row>
    <row r="2477" spans="1:1" x14ac:dyDescent="0.25">
      <c r="A2477" t="s">
        <v>1084</v>
      </c>
    </row>
    <row r="2478" spans="1:1" x14ac:dyDescent="0.25">
      <c r="A2478" t="s">
        <v>1086</v>
      </c>
    </row>
    <row r="2479" spans="1:1" x14ac:dyDescent="0.25">
      <c r="A2479" t="s">
        <v>1730</v>
      </c>
    </row>
    <row r="2480" spans="1:1" x14ac:dyDescent="0.25">
      <c r="A2480" t="s">
        <v>1728</v>
      </c>
    </row>
    <row r="2481" spans="1:1" x14ac:dyDescent="0.25">
      <c r="A2481" t="s">
        <v>831</v>
      </c>
    </row>
    <row r="2482" spans="1:1" x14ac:dyDescent="0.25">
      <c r="A2482" t="s">
        <v>3753</v>
      </c>
    </row>
    <row r="2483" spans="1:1" x14ac:dyDescent="0.25">
      <c r="A2483" t="s">
        <v>3754</v>
      </c>
    </row>
    <row r="2484" spans="1:1" x14ac:dyDescent="0.25">
      <c r="A2484" t="s">
        <v>998</v>
      </c>
    </row>
    <row r="2485" spans="1:1" x14ac:dyDescent="0.25">
      <c r="A2485" t="s">
        <v>3756</v>
      </c>
    </row>
    <row r="2486" spans="1:1" x14ac:dyDescent="0.25">
      <c r="A2486" t="s">
        <v>10584</v>
      </c>
    </row>
    <row r="2487" spans="1:1" x14ac:dyDescent="0.25">
      <c r="A2487" t="s">
        <v>10586</v>
      </c>
    </row>
    <row r="2488" spans="1:1" x14ac:dyDescent="0.25">
      <c r="A2488" t="s">
        <v>1791</v>
      </c>
    </row>
    <row r="2489" spans="1:1" x14ac:dyDescent="0.25">
      <c r="A2489" t="s">
        <v>3771</v>
      </c>
    </row>
    <row r="2490" spans="1:1" x14ac:dyDescent="0.25">
      <c r="A2490" t="s">
        <v>3772</v>
      </c>
    </row>
    <row r="2491" spans="1:1" x14ac:dyDescent="0.25">
      <c r="A2491" t="s">
        <v>3773</v>
      </c>
    </row>
    <row r="2492" spans="1:1" x14ac:dyDescent="0.25">
      <c r="A2492" t="s">
        <v>2107</v>
      </c>
    </row>
    <row r="2493" spans="1:1" x14ac:dyDescent="0.25">
      <c r="A2493" t="s">
        <v>2109</v>
      </c>
    </row>
    <row r="2494" spans="1:1" x14ac:dyDescent="0.25">
      <c r="A2494" t="s">
        <v>2111</v>
      </c>
    </row>
    <row r="2495" spans="1:1" x14ac:dyDescent="0.25">
      <c r="A2495" t="s">
        <v>10650</v>
      </c>
    </row>
    <row r="2496" spans="1:1" x14ac:dyDescent="0.25">
      <c r="A2496" t="s">
        <v>10587</v>
      </c>
    </row>
    <row r="2497" spans="1:1" x14ac:dyDescent="0.25">
      <c r="A2497" t="s">
        <v>2216</v>
      </c>
    </row>
    <row r="2498" spans="1:1" x14ac:dyDescent="0.25">
      <c r="A2498" t="s">
        <v>3791</v>
      </c>
    </row>
    <row r="2499" spans="1:1" x14ac:dyDescent="0.25">
      <c r="A2499" t="s">
        <v>2214</v>
      </c>
    </row>
    <row r="2500" spans="1:1" x14ac:dyDescent="0.25">
      <c r="A2500" t="s">
        <v>10668</v>
      </c>
    </row>
    <row r="2501" spans="1:1" x14ac:dyDescent="0.25">
      <c r="A2501" t="s">
        <v>10131</v>
      </c>
    </row>
    <row r="2502" spans="1:1" x14ac:dyDescent="0.25">
      <c r="A2502" t="s">
        <v>10599</v>
      </c>
    </row>
    <row r="2503" spans="1:1" x14ac:dyDescent="0.25">
      <c r="A2503" t="s">
        <v>3805</v>
      </c>
    </row>
    <row r="2504" spans="1:1" x14ac:dyDescent="0.25">
      <c r="A2504" t="s">
        <v>3806</v>
      </c>
    </row>
    <row r="2505" spans="1:1" x14ac:dyDescent="0.25">
      <c r="A2505" t="s">
        <v>1045</v>
      </c>
    </row>
    <row r="2506" spans="1:1" x14ac:dyDescent="0.25">
      <c r="A2506" t="s">
        <v>1047</v>
      </c>
    </row>
    <row r="2507" spans="1:1" x14ac:dyDescent="0.25">
      <c r="A2507" t="s">
        <v>10603</v>
      </c>
    </row>
    <row r="2508" spans="1:1" x14ac:dyDescent="0.25">
      <c r="A2508" t="s">
        <v>10604</v>
      </c>
    </row>
    <row r="2509" spans="1:1" x14ac:dyDescent="0.25">
      <c r="A2509" t="s">
        <v>10605</v>
      </c>
    </row>
    <row r="2510" spans="1:1" x14ac:dyDescent="0.25">
      <c r="A2510" t="s">
        <v>4025</v>
      </c>
    </row>
    <row r="2511" spans="1:1" x14ac:dyDescent="0.25">
      <c r="A2511" t="s">
        <v>1069</v>
      </c>
    </row>
    <row r="2512" spans="1:1" x14ac:dyDescent="0.25">
      <c r="A2512" t="s">
        <v>1071</v>
      </c>
    </row>
    <row r="2513" spans="1:1" x14ac:dyDescent="0.25">
      <c r="A2513" t="s">
        <v>2601</v>
      </c>
    </row>
    <row r="2514" spans="1:1" x14ac:dyDescent="0.25">
      <c r="A2514" t="s">
        <v>2617</v>
      </c>
    </row>
    <row r="2515" spans="1:1" x14ac:dyDescent="0.25">
      <c r="A2515" t="s">
        <v>4500</v>
      </c>
    </row>
    <row r="2516" spans="1:1" x14ac:dyDescent="0.25">
      <c r="A2516" t="s">
        <v>10525</v>
      </c>
    </row>
    <row r="2517" spans="1:1" x14ac:dyDescent="0.25">
      <c r="A2517" t="s">
        <v>10634</v>
      </c>
    </row>
    <row r="2518" spans="1:1" x14ac:dyDescent="0.25">
      <c r="A2518" t="s">
        <v>2784</v>
      </c>
    </row>
    <row r="2519" spans="1:1" x14ac:dyDescent="0.25">
      <c r="A2519" t="s">
        <v>2940</v>
      </c>
    </row>
    <row r="2520" spans="1:1" x14ac:dyDescent="0.25">
      <c r="A2520" t="s">
        <v>2942</v>
      </c>
    </row>
    <row r="2521" spans="1:1" x14ac:dyDescent="0.25">
      <c r="A2521" t="s">
        <v>2944</v>
      </c>
    </row>
    <row r="2522" spans="1:1" x14ac:dyDescent="0.25">
      <c r="A2522" t="s">
        <v>10601</v>
      </c>
    </row>
    <row r="2523" spans="1:1" x14ac:dyDescent="0.25">
      <c r="A2523" t="s">
        <v>10602</v>
      </c>
    </row>
    <row r="2524" spans="1:1" x14ac:dyDescent="0.25">
      <c r="A2524" t="s">
        <v>3920</v>
      </c>
    </row>
    <row r="2525" spans="1:1" x14ac:dyDescent="0.25">
      <c r="A2525" t="s">
        <v>3171</v>
      </c>
    </row>
    <row r="2526" spans="1:1" x14ac:dyDescent="0.25">
      <c r="A2526" t="s">
        <v>10636</v>
      </c>
    </row>
    <row r="2527" spans="1:1" x14ac:dyDescent="0.25">
      <c r="A2527" t="s">
        <v>10353</v>
      </c>
    </row>
    <row r="2528" spans="1:1" x14ac:dyDescent="0.25">
      <c r="A2528" t="s">
        <v>10623</v>
      </c>
    </row>
    <row r="2529" spans="1:1" x14ac:dyDescent="0.25">
      <c r="A2529" t="s">
        <v>3384</v>
      </c>
    </row>
    <row r="2530" spans="1:1" x14ac:dyDescent="0.25">
      <c r="A2530" t="s">
        <v>3386</v>
      </c>
    </row>
    <row r="2531" spans="1:1" x14ac:dyDescent="0.25">
      <c r="A2531" t="s">
        <v>10480</v>
      </c>
    </row>
    <row r="2532" spans="1:1" x14ac:dyDescent="0.25">
      <c r="A2532" t="s">
        <v>3460</v>
      </c>
    </row>
    <row r="2533" spans="1:1" x14ac:dyDescent="0.25">
      <c r="A2533" t="s">
        <v>4745</v>
      </c>
    </row>
    <row r="2534" spans="1:1" x14ac:dyDescent="0.25">
      <c r="A2534" t="s">
        <v>10526</v>
      </c>
    </row>
    <row r="2535" spans="1:1" x14ac:dyDescent="0.25">
      <c r="A2535" t="s">
        <v>123</v>
      </c>
    </row>
    <row r="2536" spans="1:1" x14ac:dyDescent="0.25">
      <c r="A2536" t="s">
        <v>3793</v>
      </c>
    </row>
    <row r="2537" spans="1:1" x14ac:dyDescent="0.25">
      <c r="A2537" t="s">
        <v>2239</v>
      </c>
    </row>
    <row r="2538" spans="1:1" x14ac:dyDescent="0.25">
      <c r="A2538" t="s">
        <v>2419</v>
      </c>
    </row>
    <row r="2539" spans="1:1" x14ac:dyDescent="0.25">
      <c r="A2539" t="s">
        <v>2421</v>
      </c>
    </row>
    <row r="2540" spans="1:1" x14ac:dyDescent="0.25">
      <c r="A2540" t="s">
        <v>2423</v>
      </c>
    </row>
    <row r="2541" spans="1:1" x14ac:dyDescent="0.25">
      <c r="A2541" t="s">
        <v>2425</v>
      </c>
    </row>
    <row r="2542" spans="1:1" x14ac:dyDescent="0.25">
      <c r="A2542" t="s">
        <v>2427</v>
      </c>
    </row>
    <row r="2543" spans="1:1" x14ac:dyDescent="0.25">
      <c r="A2543" t="s">
        <v>2429</v>
      </c>
    </row>
    <row r="2544" spans="1:1" x14ac:dyDescent="0.25">
      <c r="A2544" t="s">
        <v>2431</v>
      </c>
    </row>
    <row r="2545" spans="1:1" x14ac:dyDescent="0.25">
      <c r="A2545" t="s">
        <v>2433</v>
      </c>
    </row>
    <row r="2546" spans="1:1" x14ac:dyDescent="0.25">
      <c r="A2546" t="s">
        <v>2435</v>
      </c>
    </row>
    <row r="2547" spans="1:1" x14ac:dyDescent="0.25">
      <c r="A2547" t="s">
        <v>2603</v>
      </c>
    </row>
    <row r="2548" spans="1:1" x14ac:dyDescent="0.25">
      <c r="A2548" t="s">
        <v>3329</v>
      </c>
    </row>
    <row r="2549" spans="1:1" x14ac:dyDescent="0.25">
      <c r="A2549" t="s">
        <v>3331</v>
      </c>
    </row>
    <row r="2550" spans="1:1" x14ac:dyDescent="0.25">
      <c r="A2550" t="s">
        <v>1427</v>
      </c>
    </row>
    <row r="2551" spans="1:1" x14ac:dyDescent="0.25">
      <c r="A2551" t="s">
        <v>4671</v>
      </c>
    </row>
    <row r="2552" spans="1:1" x14ac:dyDescent="0.25">
      <c r="A2552" t="s">
        <v>172</v>
      </c>
    </row>
    <row r="2553" spans="1:1" x14ac:dyDescent="0.25">
      <c r="A2553" t="s">
        <v>174</v>
      </c>
    </row>
    <row r="2554" spans="1:1" x14ac:dyDescent="0.25">
      <c r="A2554" t="s">
        <v>609</v>
      </c>
    </row>
    <row r="2555" spans="1:1" x14ac:dyDescent="0.25">
      <c r="A2555" t="s">
        <v>611</v>
      </c>
    </row>
    <row r="2556" spans="1:1" x14ac:dyDescent="0.25">
      <c r="A2556" t="s">
        <v>3556</v>
      </c>
    </row>
    <row r="2557" spans="1:1" x14ac:dyDescent="0.25">
      <c r="A2557" t="s">
        <v>3557</v>
      </c>
    </row>
    <row r="2558" spans="1:1" x14ac:dyDescent="0.25">
      <c r="A2558" t="s">
        <v>3558</v>
      </c>
    </row>
    <row r="2559" spans="1:1" x14ac:dyDescent="0.25">
      <c r="A2559" t="s">
        <v>3558</v>
      </c>
    </row>
    <row r="2560" spans="1:1" x14ac:dyDescent="0.25">
      <c r="A2560" t="s">
        <v>129</v>
      </c>
    </row>
    <row r="2561" spans="1:1" x14ac:dyDescent="0.25">
      <c r="A2561" t="s">
        <v>617</v>
      </c>
    </row>
    <row r="2562" spans="1:1" x14ac:dyDescent="0.25">
      <c r="A2562" t="s">
        <v>3559</v>
      </c>
    </row>
    <row r="2563" spans="1:1" x14ac:dyDescent="0.25">
      <c r="A2563" t="s">
        <v>3560</v>
      </c>
    </row>
    <row r="2564" spans="1:1" x14ac:dyDescent="0.25">
      <c r="A2564" t="s">
        <v>133</v>
      </c>
    </row>
    <row r="2565" spans="1:1" x14ac:dyDescent="0.25">
      <c r="A2565" t="s">
        <v>3561</v>
      </c>
    </row>
    <row r="2566" spans="1:1" x14ac:dyDescent="0.25">
      <c r="A2566" t="s">
        <v>135</v>
      </c>
    </row>
    <row r="2567" spans="1:1" x14ac:dyDescent="0.25">
      <c r="A2567" t="s">
        <v>3562</v>
      </c>
    </row>
    <row r="2568" spans="1:1" x14ac:dyDescent="0.25">
      <c r="A2568" t="s">
        <v>621</v>
      </c>
    </row>
    <row r="2569" spans="1:1" x14ac:dyDescent="0.25">
      <c r="A2569" t="s">
        <v>10089</v>
      </c>
    </row>
    <row r="2570" spans="1:1" x14ac:dyDescent="0.25">
      <c r="A2570" t="s">
        <v>1580</v>
      </c>
    </row>
    <row r="2571" spans="1:1" x14ac:dyDescent="0.25">
      <c r="A2571" t="s">
        <v>3702</v>
      </c>
    </row>
    <row r="2572" spans="1:1" x14ac:dyDescent="0.25">
      <c r="A2572" t="s">
        <v>3703</v>
      </c>
    </row>
    <row r="2573" spans="1:1" x14ac:dyDescent="0.25">
      <c r="A2573" t="s">
        <v>1584</v>
      </c>
    </row>
    <row r="2574" spans="1:1" x14ac:dyDescent="0.25">
      <c r="A2574" t="s">
        <v>1586</v>
      </c>
    </row>
    <row r="2575" spans="1:1" x14ac:dyDescent="0.25">
      <c r="A2575" t="s">
        <v>1588</v>
      </c>
    </row>
    <row r="2576" spans="1:1" x14ac:dyDescent="0.25">
      <c r="A2576" t="s">
        <v>4572</v>
      </c>
    </row>
    <row r="2577" spans="1:1" x14ac:dyDescent="0.25">
      <c r="A2577" t="s">
        <v>1839</v>
      </c>
    </row>
    <row r="2578" spans="1:1" x14ac:dyDescent="0.25">
      <c r="A2578" t="s">
        <v>1841</v>
      </c>
    </row>
    <row r="2579" spans="1:1" x14ac:dyDescent="0.25">
      <c r="A2579" t="s">
        <v>1843</v>
      </c>
    </row>
    <row r="2580" spans="1:1" x14ac:dyDescent="0.25">
      <c r="A2580" t="s">
        <v>1845</v>
      </c>
    </row>
    <row r="2581" spans="1:1" x14ac:dyDescent="0.25">
      <c r="A2581" t="s">
        <v>1847</v>
      </c>
    </row>
    <row r="2582" spans="1:1" x14ac:dyDescent="0.25">
      <c r="A2582" t="s">
        <v>3785</v>
      </c>
    </row>
    <row r="2583" spans="1:1" x14ac:dyDescent="0.25">
      <c r="A2583" t="s">
        <v>3792</v>
      </c>
    </row>
    <row r="2584" spans="1:1" x14ac:dyDescent="0.25">
      <c r="A2584" t="s">
        <v>2494</v>
      </c>
    </row>
    <row r="2585" spans="1:1" x14ac:dyDescent="0.25">
      <c r="A2585" t="s">
        <v>106</v>
      </c>
    </row>
    <row r="2586" spans="1:1" x14ac:dyDescent="0.25">
      <c r="A2586" t="s">
        <v>170</v>
      </c>
    </row>
    <row r="2587" spans="1:1" x14ac:dyDescent="0.25">
      <c r="A2587" t="s">
        <v>10641</v>
      </c>
    </row>
    <row r="2588" spans="1:1" x14ac:dyDescent="0.25">
      <c r="A2588" t="s">
        <v>3141</v>
      </c>
    </row>
    <row r="2589" spans="1:1" x14ac:dyDescent="0.25">
      <c r="A2589" t="s">
        <v>3143</v>
      </c>
    </row>
    <row r="2590" spans="1:1" x14ac:dyDescent="0.25">
      <c r="A2590" t="s">
        <v>3145</v>
      </c>
    </row>
    <row r="2591" spans="1:1" x14ac:dyDescent="0.25">
      <c r="A2591" t="s">
        <v>3147</v>
      </c>
    </row>
    <row r="2592" spans="1:1" x14ac:dyDescent="0.25">
      <c r="A2592" t="s">
        <v>4607</v>
      </c>
    </row>
    <row r="2593" spans="1:1" x14ac:dyDescent="0.25">
      <c r="A2593" t="s">
        <v>4608</v>
      </c>
    </row>
    <row r="2594" spans="1:1" x14ac:dyDescent="0.25">
      <c r="A2594" t="s">
        <v>4609</v>
      </c>
    </row>
    <row r="2595" spans="1:1" x14ac:dyDescent="0.25">
      <c r="A2595" t="s">
        <v>4610</v>
      </c>
    </row>
    <row r="2596" spans="1:1" x14ac:dyDescent="0.25">
      <c r="A2596" t="s">
        <v>4611</v>
      </c>
    </row>
    <row r="2597" spans="1:1" x14ac:dyDescent="0.25">
      <c r="A2597" t="s">
        <v>4754</v>
      </c>
    </row>
    <row r="2598" spans="1:1" x14ac:dyDescent="0.25">
      <c r="A2598" t="s">
        <v>4750</v>
      </c>
    </row>
    <row r="2599" spans="1:1" x14ac:dyDescent="0.25">
      <c r="A2599" t="s">
        <v>4750</v>
      </c>
    </row>
    <row r="2600" spans="1:1" x14ac:dyDescent="0.25">
      <c r="A2600" t="s">
        <v>4751</v>
      </c>
    </row>
    <row r="2601" spans="1:1" x14ac:dyDescent="0.25">
      <c r="A2601" t="s">
        <v>4751</v>
      </c>
    </row>
    <row r="2602" spans="1:1" x14ac:dyDescent="0.25">
      <c r="A2602" t="s">
        <v>4752</v>
      </c>
    </row>
    <row r="2603" spans="1:1" x14ac:dyDescent="0.25">
      <c r="A2603" t="s">
        <v>4753</v>
      </c>
    </row>
    <row r="2604" spans="1:1" x14ac:dyDescent="0.25">
      <c r="A2604" t="s">
        <v>4739</v>
      </c>
    </row>
    <row r="2605" spans="1:1" x14ac:dyDescent="0.25">
      <c r="A2605" t="s">
        <v>4561</v>
      </c>
    </row>
    <row r="2606" spans="1:1" x14ac:dyDescent="0.25">
      <c r="A2606" t="s">
        <v>4513</v>
      </c>
    </row>
    <row r="2607" spans="1:1" x14ac:dyDescent="0.25">
      <c r="A2607" t="s">
        <v>10137</v>
      </c>
    </row>
    <row r="2608" spans="1:1" x14ac:dyDescent="0.25">
      <c r="A2608" t="s">
        <v>10138</v>
      </c>
    </row>
    <row r="2609" spans="1:1" x14ac:dyDescent="0.25">
      <c r="A2609" t="s">
        <v>10139</v>
      </c>
    </row>
    <row r="2610" spans="1:1" x14ac:dyDescent="0.25">
      <c r="A2610" t="s">
        <v>10140</v>
      </c>
    </row>
    <row r="2611" spans="1:1" x14ac:dyDescent="0.25">
      <c r="A2611" t="s">
        <v>10141</v>
      </c>
    </row>
    <row r="2612" spans="1:1" x14ac:dyDescent="0.25">
      <c r="A2612" t="s">
        <v>10142</v>
      </c>
    </row>
    <row r="2613" spans="1:1" x14ac:dyDescent="0.25">
      <c r="A2613" t="s">
        <v>10143</v>
      </c>
    </row>
    <row r="2614" spans="1:1" x14ac:dyDescent="0.25">
      <c r="A2614" t="s">
        <v>10144</v>
      </c>
    </row>
    <row r="2615" spans="1:1" x14ac:dyDescent="0.25">
      <c r="A2615" t="s">
        <v>10514</v>
      </c>
    </row>
    <row r="2616" spans="1:1" x14ac:dyDescent="0.25">
      <c r="A2616" t="s">
        <v>11041</v>
      </c>
    </row>
    <row r="2617" spans="1:1" x14ac:dyDescent="0.25">
      <c r="A2617" t="s">
        <v>11042</v>
      </c>
    </row>
    <row r="2618" spans="1:1" x14ac:dyDescent="0.25">
      <c r="A2618" t="s">
        <v>11043</v>
      </c>
    </row>
    <row r="2619" spans="1:1" x14ac:dyDescent="0.25">
      <c r="A2619" t="s">
        <v>11044</v>
      </c>
    </row>
    <row r="2620" spans="1:1" x14ac:dyDescent="0.25">
      <c r="A2620" t="s">
        <v>11045</v>
      </c>
    </row>
    <row r="2621" spans="1:1" x14ac:dyDescent="0.25">
      <c r="A2621" t="s">
        <v>11046</v>
      </c>
    </row>
    <row r="2622" spans="1:1" x14ac:dyDescent="0.25">
      <c r="A2622" t="s">
        <v>11047</v>
      </c>
    </row>
    <row r="2623" spans="1:1" x14ac:dyDescent="0.25">
      <c r="A2623" t="s">
        <v>11048</v>
      </c>
    </row>
    <row r="2624" spans="1:1" x14ac:dyDescent="0.25">
      <c r="A2624" t="s">
        <v>11049</v>
      </c>
    </row>
    <row r="2625" spans="1:1" x14ac:dyDescent="0.25">
      <c r="A2625" t="s">
        <v>1003</v>
      </c>
    </row>
    <row r="2626" spans="1:1" x14ac:dyDescent="0.25">
      <c r="A2626" t="s">
        <v>4735</v>
      </c>
    </row>
    <row r="2627" spans="1:1" x14ac:dyDescent="0.25">
      <c r="A2627" t="s">
        <v>4736</v>
      </c>
    </row>
    <row r="2628" spans="1:1" x14ac:dyDescent="0.25">
      <c r="A2628" t="s">
        <v>4737</v>
      </c>
    </row>
    <row r="2629" spans="1:1" x14ac:dyDescent="0.25">
      <c r="A2629" t="s">
        <v>4738</v>
      </c>
    </row>
    <row r="2630" spans="1:1" x14ac:dyDescent="0.25">
      <c r="A2630" t="s">
        <v>10145</v>
      </c>
    </row>
    <row r="2631" spans="1:1" x14ac:dyDescent="0.25">
      <c r="A2631" t="s">
        <v>10146</v>
      </c>
    </row>
    <row r="2632" spans="1:1" x14ac:dyDescent="0.25">
      <c r="A2632" t="s">
        <v>10147</v>
      </c>
    </row>
    <row r="2633" spans="1:1" x14ac:dyDescent="0.25">
      <c r="A2633" t="s">
        <v>3826</v>
      </c>
    </row>
    <row r="2634" spans="1:1" x14ac:dyDescent="0.25">
      <c r="A2634" t="s">
        <v>1050</v>
      </c>
    </row>
    <row r="2635" spans="1:1" x14ac:dyDescent="0.25">
      <c r="A2635" t="s">
        <v>4519</v>
      </c>
    </row>
    <row r="2636" spans="1:1" x14ac:dyDescent="0.25">
      <c r="A2636" t="s">
        <v>4520</v>
      </c>
    </row>
    <row r="2637" spans="1:1" x14ac:dyDescent="0.25">
      <c r="A2637" t="s">
        <v>4522</v>
      </c>
    </row>
    <row r="2638" spans="1:1" x14ac:dyDescent="0.25">
      <c r="A2638" t="s">
        <v>4525</v>
      </c>
    </row>
    <row r="2639" spans="1:1" x14ac:dyDescent="0.25">
      <c r="A2639" t="s">
        <v>4524</v>
      </c>
    </row>
    <row r="2640" spans="1:1" x14ac:dyDescent="0.25">
      <c r="A2640" t="s">
        <v>4523</v>
      </c>
    </row>
    <row r="2641" spans="1:1" x14ac:dyDescent="0.25">
      <c r="A2641" t="s">
        <v>4521</v>
      </c>
    </row>
    <row r="2642" spans="1:1" x14ac:dyDescent="0.25">
      <c r="A2642" t="s">
        <v>4502</v>
      </c>
    </row>
    <row r="2643" spans="1:1" x14ac:dyDescent="0.25">
      <c r="A2643" t="s">
        <v>4503</v>
      </c>
    </row>
    <row r="2644" spans="1:1" x14ac:dyDescent="0.25">
      <c r="A2644" t="s">
        <v>4504</v>
      </c>
    </row>
    <row r="2645" spans="1:1" x14ac:dyDescent="0.25">
      <c r="A2645" t="s">
        <v>4505</v>
      </c>
    </row>
    <row r="2646" spans="1:1" x14ac:dyDescent="0.25">
      <c r="A2646" t="s">
        <v>4506</v>
      </c>
    </row>
    <row r="2647" spans="1:1" x14ac:dyDescent="0.25">
      <c r="A2647" t="s">
        <v>11050</v>
      </c>
    </row>
    <row r="2648" spans="1:1" x14ac:dyDescent="0.25">
      <c r="A2648" t="s">
        <v>11051</v>
      </c>
    </row>
    <row r="2649" spans="1:1" x14ac:dyDescent="0.25">
      <c r="A2649" t="s">
        <v>11052</v>
      </c>
    </row>
    <row r="2650" spans="1:1" x14ac:dyDescent="0.25">
      <c r="A2650" t="s">
        <v>11053</v>
      </c>
    </row>
    <row r="2651" spans="1:1" x14ac:dyDescent="0.25">
      <c r="A2651" t="s">
        <v>11054</v>
      </c>
    </row>
    <row r="2652" spans="1:1" x14ac:dyDescent="0.25">
      <c r="A2652" t="s">
        <v>11055</v>
      </c>
    </row>
    <row r="2653" spans="1:1" x14ac:dyDescent="0.25">
      <c r="A2653" t="s">
        <v>3864</v>
      </c>
    </row>
    <row r="2654" spans="1:1" x14ac:dyDescent="0.25">
      <c r="A2654" t="s">
        <v>3865</v>
      </c>
    </row>
    <row r="2655" spans="1:1" x14ac:dyDescent="0.25">
      <c r="A2655" t="s">
        <v>4496</v>
      </c>
    </row>
    <row r="2656" spans="1:1" x14ac:dyDescent="0.25">
      <c r="A2656" t="s">
        <v>4497</v>
      </c>
    </row>
    <row r="2657" spans="1:1" x14ac:dyDescent="0.25">
      <c r="A2657" t="s">
        <v>4498</v>
      </c>
    </row>
    <row r="2658" spans="1:1" x14ac:dyDescent="0.25">
      <c r="A2658" t="s">
        <v>4499</v>
      </c>
    </row>
    <row r="2659" spans="1:1" x14ac:dyDescent="0.25">
      <c r="A2659" t="s">
        <v>11056</v>
      </c>
    </row>
    <row r="2660" spans="1:1" x14ac:dyDescent="0.25">
      <c r="A2660" t="s">
        <v>11057</v>
      </c>
    </row>
    <row r="2661" spans="1:1" x14ac:dyDescent="0.25">
      <c r="A2661" t="s">
        <v>11058</v>
      </c>
    </row>
    <row r="2662" spans="1:1" x14ac:dyDescent="0.25">
      <c r="A2662" t="s">
        <v>11059</v>
      </c>
    </row>
    <row r="2663" spans="1:1" x14ac:dyDescent="0.25">
      <c r="A2663" t="s">
        <v>11060</v>
      </c>
    </row>
    <row r="2664" spans="1:1" x14ac:dyDescent="0.25">
      <c r="A2664" t="s">
        <v>11061</v>
      </c>
    </row>
    <row r="2665" spans="1:1" x14ac:dyDescent="0.25">
      <c r="A2665" t="s">
        <v>11062</v>
      </c>
    </row>
    <row r="2666" spans="1:1" x14ac:dyDescent="0.25">
      <c r="A2666" t="s">
        <v>11063</v>
      </c>
    </row>
    <row r="2667" spans="1:1" x14ac:dyDescent="0.25">
      <c r="A2667" t="s">
        <v>11064</v>
      </c>
    </row>
    <row r="2668" spans="1:1" x14ac:dyDescent="0.25">
      <c r="A2668" t="s">
        <v>11065</v>
      </c>
    </row>
    <row r="2669" spans="1:1" x14ac:dyDescent="0.25">
      <c r="A2669" t="s">
        <v>11066</v>
      </c>
    </row>
    <row r="2670" spans="1:1" x14ac:dyDescent="0.25">
      <c r="A2670" t="s">
        <v>11067</v>
      </c>
    </row>
    <row r="2671" spans="1:1" x14ac:dyDescent="0.25">
      <c r="A2671" t="s">
        <v>11068</v>
      </c>
    </row>
    <row r="2672" spans="1:1" x14ac:dyDescent="0.25">
      <c r="A2672" t="s">
        <v>10340</v>
      </c>
    </row>
    <row r="2673" spans="1:1" x14ac:dyDescent="0.25">
      <c r="A2673" t="s">
        <v>10341</v>
      </c>
    </row>
    <row r="2674" spans="1:1" x14ac:dyDescent="0.25">
      <c r="A2674" t="s">
        <v>10342</v>
      </c>
    </row>
    <row r="2675" spans="1:1" x14ac:dyDescent="0.25">
      <c r="A2675" t="s">
        <v>10343</v>
      </c>
    </row>
    <row r="2676" spans="1:1" x14ac:dyDescent="0.25">
      <c r="A2676" t="s">
        <v>10622</v>
      </c>
    </row>
    <row r="2677" spans="1:1" x14ac:dyDescent="0.25">
      <c r="A2677" t="s">
        <v>2836</v>
      </c>
    </row>
    <row r="2678" spans="1:1" x14ac:dyDescent="0.25">
      <c r="A2678" t="s">
        <v>2897</v>
      </c>
    </row>
    <row r="2679" spans="1:1" x14ac:dyDescent="0.25">
      <c r="A2679" t="s">
        <v>2899</v>
      </c>
    </row>
    <row r="2680" spans="1:1" x14ac:dyDescent="0.25">
      <c r="A2680" t="s">
        <v>857</v>
      </c>
    </row>
    <row r="2681" spans="1:1" x14ac:dyDescent="0.25">
      <c r="A2681" t="s">
        <v>857</v>
      </c>
    </row>
    <row r="2682" spans="1:1" x14ac:dyDescent="0.25">
      <c r="A2682" t="s">
        <v>11069</v>
      </c>
    </row>
    <row r="2683" spans="1:1" x14ac:dyDescent="0.25">
      <c r="A2683" t="s">
        <v>11069</v>
      </c>
    </row>
    <row r="2684" spans="1:1" x14ac:dyDescent="0.25">
      <c r="A2684" t="s">
        <v>2220</v>
      </c>
    </row>
    <row r="2685" spans="1:1" x14ac:dyDescent="0.25">
      <c r="A2685" t="s">
        <v>2222</v>
      </c>
    </row>
    <row r="2686" spans="1:1" x14ac:dyDescent="0.25">
      <c r="A2686" t="s">
        <v>181</v>
      </c>
    </row>
    <row r="2687" spans="1:1" x14ac:dyDescent="0.25">
      <c r="A2687" t="s">
        <v>500</v>
      </c>
    </row>
    <row r="2688" spans="1:1" x14ac:dyDescent="0.25">
      <c r="A2688" t="s">
        <v>502</v>
      </c>
    </row>
    <row r="2689" spans="1:1" x14ac:dyDescent="0.25">
      <c r="A2689" t="s">
        <v>551</v>
      </c>
    </row>
    <row r="2690" spans="1:1" x14ac:dyDescent="0.25">
      <c r="A2690" t="s">
        <v>3544</v>
      </c>
    </row>
    <row r="2691" spans="1:1" x14ac:dyDescent="0.25">
      <c r="A2691" t="s">
        <v>3545</v>
      </c>
    </row>
    <row r="2692" spans="1:1" x14ac:dyDescent="0.25">
      <c r="A2692" t="s">
        <v>9842</v>
      </c>
    </row>
    <row r="2693" spans="1:1" x14ac:dyDescent="0.25">
      <c r="A2693" t="s">
        <v>3563</v>
      </c>
    </row>
    <row r="2694" spans="1:1" x14ac:dyDescent="0.25">
      <c r="A2694" t="s">
        <v>3564</v>
      </c>
    </row>
    <row r="2695" spans="1:1" x14ac:dyDescent="0.25">
      <c r="A2695" t="s">
        <v>629</v>
      </c>
    </row>
    <row r="2696" spans="1:1" x14ac:dyDescent="0.25">
      <c r="A2696" t="s">
        <v>10679</v>
      </c>
    </row>
    <row r="2697" spans="1:1" x14ac:dyDescent="0.25">
      <c r="A2697" t="s">
        <v>10680</v>
      </c>
    </row>
    <row r="2698" spans="1:1" x14ac:dyDescent="0.25">
      <c r="A2698" t="s">
        <v>10725</v>
      </c>
    </row>
    <row r="2699" spans="1:1" x14ac:dyDescent="0.25">
      <c r="A2699" t="s">
        <v>797</v>
      </c>
    </row>
    <row r="2700" spans="1:1" x14ac:dyDescent="0.25">
      <c r="A2700" t="s">
        <v>1191</v>
      </c>
    </row>
    <row r="2701" spans="1:1" x14ac:dyDescent="0.25">
      <c r="A2701" t="s">
        <v>1189</v>
      </c>
    </row>
    <row r="2702" spans="1:1" x14ac:dyDescent="0.25">
      <c r="A2702" t="s">
        <v>9858</v>
      </c>
    </row>
    <row r="2703" spans="1:1" x14ac:dyDescent="0.25">
      <c r="A2703" t="s">
        <v>11070</v>
      </c>
    </row>
    <row r="2704" spans="1:1" x14ac:dyDescent="0.25">
      <c r="A2704" t="s">
        <v>11071</v>
      </c>
    </row>
    <row r="2705" spans="1:1" x14ac:dyDescent="0.25">
      <c r="A2705" t="s">
        <v>10369</v>
      </c>
    </row>
    <row r="2706" spans="1:1" x14ac:dyDescent="0.25">
      <c r="A2706" t="s">
        <v>9911</v>
      </c>
    </row>
    <row r="2707" spans="1:1" x14ac:dyDescent="0.25">
      <c r="A2707" t="s">
        <v>9912</v>
      </c>
    </row>
    <row r="2708" spans="1:1" x14ac:dyDescent="0.25">
      <c r="A2708" t="s">
        <v>9914</v>
      </c>
    </row>
    <row r="2709" spans="1:1" x14ac:dyDescent="0.25">
      <c r="A2709" t="s">
        <v>10683</v>
      </c>
    </row>
    <row r="2710" spans="1:1" x14ac:dyDescent="0.25">
      <c r="A2710" t="s">
        <v>10685</v>
      </c>
    </row>
    <row r="2711" spans="1:1" x14ac:dyDescent="0.25">
      <c r="A2711" t="s">
        <v>10704</v>
      </c>
    </row>
    <row r="2712" spans="1:1" x14ac:dyDescent="0.25">
      <c r="A2712" t="s">
        <v>10705</v>
      </c>
    </row>
    <row r="2713" spans="1:1" x14ac:dyDescent="0.25">
      <c r="A2713" t="s">
        <v>10058</v>
      </c>
    </row>
    <row r="2714" spans="1:1" x14ac:dyDescent="0.25">
      <c r="A2714" t="s">
        <v>10059</v>
      </c>
    </row>
    <row r="2715" spans="1:1" x14ac:dyDescent="0.25">
      <c r="A2715" t="s">
        <v>11072</v>
      </c>
    </row>
    <row r="2716" spans="1:1" x14ac:dyDescent="0.25">
      <c r="A2716" t="s">
        <v>10545</v>
      </c>
    </row>
    <row r="2717" spans="1:1" x14ac:dyDescent="0.25">
      <c r="A2717" t="s">
        <v>10546</v>
      </c>
    </row>
    <row r="2718" spans="1:1" x14ac:dyDescent="0.25">
      <c r="A2718" t="s">
        <v>10547</v>
      </c>
    </row>
    <row r="2719" spans="1:1" x14ac:dyDescent="0.25">
      <c r="A2719" t="s">
        <v>10548</v>
      </c>
    </row>
    <row r="2720" spans="1:1" x14ac:dyDescent="0.25">
      <c r="A2720" t="s">
        <v>10549</v>
      </c>
    </row>
    <row r="2721" spans="1:1" x14ac:dyDescent="0.25">
      <c r="A2721" t="s">
        <v>10550</v>
      </c>
    </row>
    <row r="2722" spans="1:1" x14ac:dyDescent="0.25">
      <c r="A2722" t="s">
        <v>1012</v>
      </c>
    </row>
    <row r="2723" spans="1:1" x14ac:dyDescent="0.25">
      <c r="A2723" t="s">
        <v>10594</v>
      </c>
    </row>
    <row r="2724" spans="1:1" x14ac:dyDescent="0.25">
      <c r="A2724" t="s">
        <v>1960</v>
      </c>
    </row>
    <row r="2725" spans="1:1" x14ac:dyDescent="0.25">
      <c r="A2725" t="s">
        <v>1962</v>
      </c>
    </row>
    <row r="2726" spans="1:1" x14ac:dyDescent="0.25">
      <c r="A2726" t="s">
        <v>1964</v>
      </c>
    </row>
    <row r="2727" spans="1:1" x14ac:dyDescent="0.25">
      <c r="A2727" t="s">
        <v>1390</v>
      </c>
    </row>
    <row r="2728" spans="1:1" x14ac:dyDescent="0.25">
      <c r="A2728" t="s">
        <v>1392</v>
      </c>
    </row>
    <row r="2729" spans="1:1" x14ac:dyDescent="0.25">
      <c r="A2729" t="s">
        <v>1394</v>
      </c>
    </row>
    <row r="2730" spans="1:1" x14ac:dyDescent="0.25">
      <c r="A2730" t="s">
        <v>9918</v>
      </c>
    </row>
    <row r="2731" spans="1:1" x14ac:dyDescent="0.25">
      <c r="A2731" t="s">
        <v>9919</v>
      </c>
    </row>
    <row r="2732" spans="1:1" x14ac:dyDescent="0.25">
      <c r="A2732" t="s">
        <v>10686</v>
      </c>
    </row>
    <row r="2733" spans="1:1" x14ac:dyDescent="0.25">
      <c r="A2733" t="s">
        <v>2416</v>
      </c>
    </row>
    <row r="2734" spans="1:1" x14ac:dyDescent="0.25">
      <c r="A2734" t="s">
        <v>9854</v>
      </c>
    </row>
    <row r="2735" spans="1:1" x14ac:dyDescent="0.25">
      <c r="A2735" t="s">
        <v>9855</v>
      </c>
    </row>
    <row r="2736" spans="1:1" x14ac:dyDescent="0.25">
      <c r="A2736" t="s">
        <v>9856</v>
      </c>
    </row>
    <row r="2737" spans="1:1" x14ac:dyDescent="0.25">
      <c r="A2737" t="s">
        <v>9857</v>
      </c>
    </row>
    <row r="2738" spans="1:1" x14ac:dyDescent="0.25">
      <c r="A2738" t="s">
        <v>9859</v>
      </c>
    </row>
    <row r="2739" spans="1:1" x14ac:dyDescent="0.25">
      <c r="A2739" t="s">
        <v>9860</v>
      </c>
    </row>
    <row r="2740" spans="1:1" x14ac:dyDescent="0.25">
      <c r="A2740" t="s">
        <v>9861</v>
      </c>
    </row>
    <row r="2741" spans="1:1" x14ac:dyDescent="0.25">
      <c r="A2741" t="s">
        <v>10609</v>
      </c>
    </row>
    <row r="2742" spans="1:1" x14ac:dyDescent="0.25">
      <c r="A2742" t="s">
        <v>10610</v>
      </c>
    </row>
    <row r="2743" spans="1:1" x14ac:dyDescent="0.25">
      <c r="A2743" t="s">
        <v>10611</v>
      </c>
    </row>
    <row r="2744" spans="1:1" x14ac:dyDescent="0.25">
      <c r="A2744" t="s">
        <v>10612</v>
      </c>
    </row>
    <row r="2745" spans="1:1" x14ac:dyDescent="0.25">
      <c r="A2745" t="s">
        <v>2556</v>
      </c>
    </row>
    <row r="2746" spans="1:1" x14ac:dyDescent="0.25">
      <c r="A2746" t="s">
        <v>2558</v>
      </c>
    </row>
    <row r="2747" spans="1:1" x14ac:dyDescent="0.25">
      <c r="A2747" t="s">
        <v>10618</v>
      </c>
    </row>
    <row r="2748" spans="1:1" x14ac:dyDescent="0.25">
      <c r="A2748" t="s">
        <v>10708</v>
      </c>
    </row>
    <row r="2749" spans="1:1" x14ac:dyDescent="0.25">
      <c r="A2749" t="s">
        <v>3124</v>
      </c>
    </row>
    <row r="2750" spans="1:1" x14ac:dyDescent="0.25">
      <c r="A2750" t="s">
        <v>10488</v>
      </c>
    </row>
    <row r="2751" spans="1:1" x14ac:dyDescent="0.25">
      <c r="A2751" t="s">
        <v>3380</v>
      </c>
    </row>
    <row r="2752" spans="1:1" x14ac:dyDescent="0.25">
      <c r="A2752" t="s">
        <v>3382</v>
      </c>
    </row>
    <row r="2753" spans="1:1" x14ac:dyDescent="0.25">
      <c r="A2753" t="s">
        <v>10489</v>
      </c>
    </row>
    <row r="2754" spans="1:1" x14ac:dyDescent="0.25">
      <c r="A2754" t="s">
        <v>3944</v>
      </c>
    </row>
    <row r="2755" spans="1:1" x14ac:dyDescent="0.25">
      <c r="A2755" t="s">
        <v>3370</v>
      </c>
    </row>
    <row r="2756" spans="1:1" x14ac:dyDescent="0.25">
      <c r="A2756" t="s">
        <v>2308</v>
      </c>
    </row>
    <row r="2757" spans="1:1" x14ac:dyDescent="0.25">
      <c r="A2757" t="s">
        <v>2310</v>
      </c>
    </row>
    <row r="2758" spans="1:1" x14ac:dyDescent="0.25">
      <c r="A2758" t="s">
        <v>2312</v>
      </c>
    </row>
    <row r="2759" spans="1:1" x14ac:dyDescent="0.25">
      <c r="A2759" t="s">
        <v>2314</v>
      </c>
    </row>
    <row r="2760" spans="1:1" x14ac:dyDescent="0.25">
      <c r="A2760" t="s">
        <v>2316</v>
      </c>
    </row>
    <row r="2761" spans="1:1" x14ac:dyDescent="0.25">
      <c r="A2761" t="s">
        <v>2318</v>
      </c>
    </row>
    <row r="2762" spans="1:1" x14ac:dyDescent="0.25">
      <c r="A2762" t="s">
        <v>2320</v>
      </c>
    </row>
    <row r="2763" spans="1:1" x14ac:dyDescent="0.25">
      <c r="A2763" t="s">
        <v>2322</v>
      </c>
    </row>
    <row r="2764" spans="1:1" x14ac:dyDescent="0.25">
      <c r="A2764" t="s">
        <v>2306</v>
      </c>
    </row>
    <row r="2765" spans="1:1" x14ac:dyDescent="0.25">
      <c r="A2765" t="s">
        <v>2300</v>
      </c>
    </row>
    <row r="2766" spans="1:1" x14ac:dyDescent="0.25">
      <c r="A2766" t="s">
        <v>2302</v>
      </c>
    </row>
    <row r="2767" spans="1:1" x14ac:dyDescent="0.25">
      <c r="A2767" t="s">
        <v>2304</v>
      </c>
    </row>
    <row r="2768" spans="1:1" x14ac:dyDescent="0.25">
      <c r="A2768" t="s">
        <v>10121</v>
      </c>
    </row>
    <row r="2769" spans="1:1" x14ac:dyDescent="0.25">
      <c r="A2769" t="s">
        <v>10122</v>
      </c>
    </row>
    <row r="2770" spans="1:1" x14ac:dyDescent="0.25">
      <c r="A2770" t="s">
        <v>1128</v>
      </c>
    </row>
    <row r="2771" spans="1:1" x14ac:dyDescent="0.25">
      <c r="A2771" t="s">
        <v>2296</v>
      </c>
    </row>
    <row r="2772" spans="1:1" x14ac:dyDescent="0.25">
      <c r="A2772" t="s">
        <v>2298</v>
      </c>
    </row>
    <row r="2773" spans="1:1" x14ac:dyDescent="0.25">
      <c r="A2773" t="s">
        <v>11</v>
      </c>
    </row>
    <row r="2774" spans="1:1" x14ac:dyDescent="0.25">
      <c r="A2774" t="s">
        <v>14</v>
      </c>
    </row>
    <row r="2775" spans="1:1" x14ac:dyDescent="0.25">
      <c r="A2775" t="s">
        <v>16</v>
      </c>
    </row>
    <row r="2776" spans="1:1" x14ac:dyDescent="0.25">
      <c r="A2776" t="s">
        <v>18</v>
      </c>
    </row>
    <row r="2777" spans="1:1" x14ac:dyDescent="0.25">
      <c r="A2777" t="s">
        <v>20</v>
      </c>
    </row>
    <row r="2778" spans="1:1" x14ac:dyDescent="0.25">
      <c r="A2778" t="s">
        <v>22</v>
      </c>
    </row>
    <row r="2779" spans="1:1" x14ac:dyDescent="0.25">
      <c r="A2779" t="s">
        <v>109</v>
      </c>
    </row>
    <row r="2780" spans="1:1" x14ac:dyDescent="0.25">
      <c r="A2780" t="s">
        <v>3574</v>
      </c>
    </row>
    <row r="2781" spans="1:1" x14ac:dyDescent="0.25">
      <c r="A2781" t="s">
        <v>3509</v>
      </c>
    </row>
    <row r="2782" spans="1:1" x14ac:dyDescent="0.25">
      <c r="A2782" t="s">
        <v>243</v>
      </c>
    </row>
    <row r="2783" spans="1:1" x14ac:dyDescent="0.25">
      <c r="A2783" t="s">
        <v>3175</v>
      </c>
    </row>
    <row r="2784" spans="1:1" x14ac:dyDescent="0.25">
      <c r="A2784" t="s">
        <v>881</v>
      </c>
    </row>
    <row r="2785" spans="1:1" x14ac:dyDescent="0.25">
      <c r="A2785" t="s">
        <v>607</v>
      </c>
    </row>
    <row r="2786" spans="1:1" x14ac:dyDescent="0.25">
      <c r="A2786" t="s">
        <v>1887</v>
      </c>
    </row>
    <row r="2787" spans="1:1" x14ac:dyDescent="0.25">
      <c r="A2787" t="s">
        <v>908</v>
      </c>
    </row>
    <row r="2788" spans="1:1" x14ac:dyDescent="0.25">
      <c r="A2788" t="s">
        <v>3671</v>
      </c>
    </row>
    <row r="2789" spans="1:1" x14ac:dyDescent="0.25">
      <c r="A2789" t="s">
        <v>1406</v>
      </c>
    </row>
    <row r="2790" spans="1:1" x14ac:dyDescent="0.25">
      <c r="A2790" t="s">
        <v>10643</v>
      </c>
    </row>
    <row r="2791" spans="1:1" x14ac:dyDescent="0.25">
      <c r="A2791" t="s">
        <v>1491</v>
      </c>
    </row>
    <row r="2792" spans="1:1" x14ac:dyDescent="0.25">
      <c r="A2792" t="s">
        <v>1010</v>
      </c>
    </row>
    <row r="2793" spans="1:1" x14ac:dyDescent="0.25">
      <c r="A2793" t="s">
        <v>2120</v>
      </c>
    </row>
    <row r="2794" spans="1:1" x14ac:dyDescent="0.25">
      <c r="A2794" t="s">
        <v>719</v>
      </c>
    </row>
    <row r="2795" spans="1:1" x14ac:dyDescent="0.25">
      <c r="A2795" t="s">
        <v>1026</v>
      </c>
    </row>
    <row r="2796" spans="1:1" x14ac:dyDescent="0.25">
      <c r="A2796" t="s">
        <v>2232</v>
      </c>
    </row>
    <row r="2797" spans="1:1" x14ac:dyDescent="0.25">
      <c r="A2797" t="s">
        <v>2234</v>
      </c>
    </row>
    <row r="2798" spans="1:1" x14ac:dyDescent="0.25">
      <c r="A2798" t="s">
        <v>3801</v>
      </c>
    </row>
    <row r="2799" spans="1:1" x14ac:dyDescent="0.25">
      <c r="A2799" t="s">
        <v>2330</v>
      </c>
    </row>
    <row r="2800" spans="1:1" x14ac:dyDescent="0.25">
      <c r="A2800" t="s">
        <v>1985</v>
      </c>
    </row>
    <row r="2801" spans="1:1" x14ac:dyDescent="0.25">
      <c r="A2801" t="s">
        <v>3818</v>
      </c>
    </row>
    <row r="2802" spans="1:1" x14ac:dyDescent="0.25">
      <c r="A2802" t="s">
        <v>1064</v>
      </c>
    </row>
    <row r="2803" spans="1:1" x14ac:dyDescent="0.25">
      <c r="A2803" t="s">
        <v>2542</v>
      </c>
    </row>
    <row r="2804" spans="1:1" x14ac:dyDescent="0.25">
      <c r="A2804" t="s">
        <v>2544</v>
      </c>
    </row>
    <row r="2805" spans="1:1" x14ac:dyDescent="0.25">
      <c r="A2805" t="s">
        <v>2546</v>
      </c>
    </row>
    <row r="2806" spans="1:1" x14ac:dyDescent="0.25">
      <c r="A2806" t="s">
        <v>2548</v>
      </c>
    </row>
    <row r="2807" spans="1:1" x14ac:dyDescent="0.25">
      <c r="A2807" t="s">
        <v>1082</v>
      </c>
    </row>
    <row r="2808" spans="1:1" x14ac:dyDescent="0.25">
      <c r="A2808" t="s">
        <v>1089</v>
      </c>
    </row>
    <row r="2809" spans="1:1" x14ac:dyDescent="0.25">
      <c r="A2809" t="s">
        <v>1141</v>
      </c>
    </row>
    <row r="2810" spans="1:1" x14ac:dyDescent="0.25">
      <c r="A2810" t="s">
        <v>3243</v>
      </c>
    </row>
    <row r="2811" spans="1:1" x14ac:dyDescent="0.25">
      <c r="A2811" t="s">
        <v>3258</v>
      </c>
    </row>
    <row r="2812" spans="1:1" x14ac:dyDescent="0.25">
      <c r="A2812" t="s">
        <v>3550</v>
      </c>
    </row>
    <row r="2813" spans="1:1" x14ac:dyDescent="0.25">
      <c r="A2813" t="s">
        <v>1420</v>
      </c>
    </row>
    <row r="2814" spans="1:1" x14ac:dyDescent="0.25">
      <c r="A2814" t="s">
        <v>568</v>
      </c>
    </row>
    <row r="2815" spans="1:1" x14ac:dyDescent="0.25">
      <c r="A2815" t="s">
        <v>10538</v>
      </c>
    </row>
    <row r="2816" spans="1:1" x14ac:dyDescent="0.25">
      <c r="A2816" t="s">
        <v>704</v>
      </c>
    </row>
    <row r="2817" spans="1:1" x14ac:dyDescent="0.25">
      <c r="A2817" t="s">
        <v>706</v>
      </c>
    </row>
    <row r="2818" spans="1:1" x14ac:dyDescent="0.25">
      <c r="A2818" t="s">
        <v>708</v>
      </c>
    </row>
    <row r="2819" spans="1:1" x14ac:dyDescent="0.25">
      <c r="A2819" t="s">
        <v>3606</v>
      </c>
    </row>
    <row r="2820" spans="1:1" x14ac:dyDescent="0.25">
      <c r="A2820" t="s">
        <v>710</v>
      </c>
    </row>
    <row r="2821" spans="1:1" x14ac:dyDescent="0.25">
      <c r="A2821" t="s">
        <v>712</v>
      </c>
    </row>
    <row r="2822" spans="1:1" x14ac:dyDescent="0.25">
      <c r="A2822" t="s">
        <v>3607</v>
      </c>
    </row>
    <row r="2823" spans="1:1" x14ac:dyDescent="0.25">
      <c r="A2823" t="s">
        <v>3608</v>
      </c>
    </row>
    <row r="2824" spans="1:1" x14ac:dyDescent="0.25">
      <c r="A2824" t="s">
        <v>3609</v>
      </c>
    </row>
    <row r="2825" spans="1:1" x14ac:dyDescent="0.25">
      <c r="A2825" t="s">
        <v>10544</v>
      </c>
    </row>
    <row r="2826" spans="1:1" x14ac:dyDescent="0.25">
      <c r="A2826" t="s">
        <v>11073</v>
      </c>
    </row>
    <row r="2827" spans="1:1" x14ac:dyDescent="0.25">
      <c r="A2827" t="s">
        <v>11074</v>
      </c>
    </row>
    <row r="2828" spans="1:1" x14ac:dyDescent="0.25">
      <c r="A2828" t="s">
        <v>11075</v>
      </c>
    </row>
    <row r="2829" spans="1:1" x14ac:dyDescent="0.25">
      <c r="A2829" t="s">
        <v>11076</v>
      </c>
    </row>
    <row r="2830" spans="1:1" x14ac:dyDescent="0.25">
      <c r="A2830" t="s">
        <v>11077</v>
      </c>
    </row>
    <row r="2831" spans="1:1" x14ac:dyDescent="0.25">
      <c r="A2831" t="s">
        <v>11078</v>
      </c>
    </row>
    <row r="2832" spans="1:1" x14ac:dyDescent="0.25">
      <c r="A2832" t="s">
        <v>11079</v>
      </c>
    </row>
    <row r="2833" spans="1:1" x14ac:dyDescent="0.25">
      <c r="A2833" t="s">
        <v>11080</v>
      </c>
    </row>
    <row r="2834" spans="1:1" x14ac:dyDescent="0.25">
      <c r="A2834" t="s">
        <v>10552</v>
      </c>
    </row>
    <row r="2835" spans="1:1" x14ac:dyDescent="0.25">
      <c r="A2835" t="s">
        <v>10553</v>
      </c>
    </row>
    <row r="2836" spans="1:1" x14ac:dyDescent="0.25">
      <c r="A2836" t="s">
        <v>10554</v>
      </c>
    </row>
    <row r="2837" spans="1:1" x14ac:dyDescent="0.25">
      <c r="A2837" t="s">
        <v>899</v>
      </c>
    </row>
    <row r="2838" spans="1:1" x14ac:dyDescent="0.25">
      <c r="A2838" t="s">
        <v>904</v>
      </c>
    </row>
    <row r="2839" spans="1:1" x14ac:dyDescent="0.25">
      <c r="A2839" t="s">
        <v>906</v>
      </c>
    </row>
    <row r="2840" spans="1:1" x14ac:dyDescent="0.25">
      <c r="A2840" t="s">
        <v>3680</v>
      </c>
    </row>
    <row r="2841" spans="1:1" x14ac:dyDescent="0.25">
      <c r="A2841" t="s">
        <v>1924</v>
      </c>
    </row>
    <row r="2842" spans="1:1" x14ac:dyDescent="0.25">
      <c r="A2842" t="s">
        <v>3722</v>
      </c>
    </row>
    <row r="2843" spans="1:1" x14ac:dyDescent="0.25">
      <c r="A2843" t="s">
        <v>3727</v>
      </c>
    </row>
    <row r="2844" spans="1:1" x14ac:dyDescent="0.25">
      <c r="A2844" t="s">
        <v>3747</v>
      </c>
    </row>
    <row r="2845" spans="1:1" x14ac:dyDescent="0.25">
      <c r="A2845" t="s">
        <v>1008</v>
      </c>
    </row>
    <row r="2846" spans="1:1" x14ac:dyDescent="0.25">
      <c r="A2846" t="s">
        <v>3803</v>
      </c>
    </row>
    <row r="2847" spans="1:1" x14ac:dyDescent="0.25">
      <c r="A2847" t="s">
        <v>2472</v>
      </c>
    </row>
    <row r="2848" spans="1:1" x14ac:dyDescent="0.25">
      <c r="A2848" t="s">
        <v>2474</v>
      </c>
    </row>
    <row r="2849" spans="1:1" x14ac:dyDescent="0.25">
      <c r="A2849" t="s">
        <v>1966</v>
      </c>
    </row>
    <row r="2850" spans="1:1" x14ac:dyDescent="0.25">
      <c r="A2850" t="s">
        <v>11081</v>
      </c>
    </row>
    <row r="2851" spans="1:1" x14ac:dyDescent="0.25">
      <c r="A2851" t="s">
        <v>11082</v>
      </c>
    </row>
    <row r="2852" spans="1:1" x14ac:dyDescent="0.25">
      <c r="A2852" t="s">
        <v>1167</v>
      </c>
    </row>
    <row r="2853" spans="1:1" x14ac:dyDescent="0.25">
      <c r="A2853" t="s">
        <v>2012</v>
      </c>
    </row>
    <row r="2854" spans="1:1" x14ac:dyDescent="0.25">
      <c r="A2854" t="s">
        <v>2015</v>
      </c>
    </row>
    <row r="2855" spans="1:1" x14ac:dyDescent="0.25">
      <c r="A2855" t="s">
        <v>3938</v>
      </c>
    </row>
    <row r="2856" spans="1:1" x14ac:dyDescent="0.25">
      <c r="A2856" t="s">
        <v>2017</v>
      </c>
    </row>
    <row r="2857" spans="1:1" x14ac:dyDescent="0.25">
      <c r="A2857" t="s">
        <v>2002</v>
      </c>
    </row>
    <row r="2858" spans="1:1" x14ac:dyDescent="0.25">
      <c r="A2858" t="s">
        <v>186</v>
      </c>
    </row>
    <row r="2859" spans="1:1" x14ac:dyDescent="0.25">
      <c r="A2859" t="s">
        <v>3639</v>
      </c>
    </row>
    <row r="2860" spans="1:1" x14ac:dyDescent="0.25">
      <c r="A2860" t="s">
        <v>3640</v>
      </c>
    </row>
    <row r="2861" spans="1:1" x14ac:dyDescent="0.25">
      <c r="A2861" t="s">
        <v>4510</v>
      </c>
    </row>
    <row r="2862" spans="1:1" x14ac:dyDescent="0.25">
      <c r="A2862" t="s">
        <v>4512</v>
      </c>
    </row>
    <row r="2863" spans="1:1" x14ac:dyDescent="0.25">
      <c r="A2863" t="s">
        <v>4511</v>
      </c>
    </row>
    <row r="2864" spans="1:1" x14ac:dyDescent="0.25">
      <c r="A2864" t="s">
        <v>2487</v>
      </c>
    </row>
    <row r="2865" spans="1:1" x14ac:dyDescent="0.25">
      <c r="A2865" t="s">
        <v>2489</v>
      </c>
    </row>
    <row r="2866" spans="1:1" x14ac:dyDescent="0.25">
      <c r="A2866" t="s">
        <v>2491</v>
      </c>
    </row>
    <row r="2867" spans="1:1" x14ac:dyDescent="0.25">
      <c r="A2867" t="s">
        <v>3834</v>
      </c>
    </row>
    <row r="2868" spans="1:1" x14ac:dyDescent="0.25">
      <c r="A2868" t="s">
        <v>3835</v>
      </c>
    </row>
    <row r="2869" spans="1:1" x14ac:dyDescent="0.25">
      <c r="A2869" t="s">
        <v>3835</v>
      </c>
    </row>
    <row r="2870" spans="1:1" x14ac:dyDescent="0.25">
      <c r="A2870" t="s">
        <v>2657</v>
      </c>
    </row>
    <row r="2871" spans="1:1" x14ac:dyDescent="0.25">
      <c r="A2871" t="s">
        <v>10583</v>
      </c>
    </row>
    <row r="2872" spans="1:1" x14ac:dyDescent="0.25">
      <c r="A2872" t="s">
        <v>10625</v>
      </c>
    </row>
    <row r="2873" spans="1:1" x14ac:dyDescent="0.25">
      <c r="A2873" t="s">
        <v>10626</v>
      </c>
    </row>
    <row r="2874" spans="1:1" x14ac:dyDescent="0.25">
      <c r="A2874" t="s">
        <v>10627</v>
      </c>
    </row>
    <row r="2875" spans="1:1" x14ac:dyDescent="0.25">
      <c r="A2875" t="s">
        <v>10628</v>
      </c>
    </row>
    <row r="2876" spans="1:1" x14ac:dyDescent="0.25">
      <c r="A2876" t="s">
        <v>10629</v>
      </c>
    </row>
    <row r="2877" spans="1:1" x14ac:dyDescent="0.25">
      <c r="A2877" t="s">
        <v>3314</v>
      </c>
    </row>
    <row r="2878" spans="1:1" x14ac:dyDescent="0.25">
      <c r="A2878" t="s">
        <v>2496</v>
      </c>
    </row>
    <row r="2879" spans="1:1" x14ac:dyDescent="0.25">
      <c r="A2879" t="s">
        <v>2511</v>
      </c>
    </row>
    <row r="2880" spans="1:1" x14ac:dyDescent="0.25">
      <c r="A2880" t="s">
        <v>2513</v>
      </c>
    </row>
    <row r="2881" spans="1:1" x14ac:dyDescent="0.25">
      <c r="A2881" t="s">
        <v>2515</v>
      </c>
    </row>
    <row r="2882" spans="1:1" x14ac:dyDescent="0.25">
      <c r="A2882" t="s">
        <v>2517</v>
      </c>
    </row>
    <row r="2883" spans="1:1" x14ac:dyDescent="0.25">
      <c r="A2883" t="s">
        <v>2519</v>
      </c>
    </row>
    <row r="2884" spans="1:1" x14ac:dyDescent="0.25">
      <c r="A2884" t="s">
        <v>2521</v>
      </c>
    </row>
    <row r="2885" spans="1:1" x14ac:dyDescent="0.25">
      <c r="A2885" t="s">
        <v>2523</v>
      </c>
    </row>
    <row r="2886" spans="1:1" x14ac:dyDescent="0.25">
      <c r="A2886" t="s">
        <v>2525</v>
      </c>
    </row>
    <row r="2887" spans="1:1" x14ac:dyDescent="0.25">
      <c r="A2887" t="s">
        <v>2499</v>
      </c>
    </row>
    <row r="2888" spans="1:1" x14ac:dyDescent="0.25">
      <c r="A2888" t="s">
        <v>2501</v>
      </c>
    </row>
    <row r="2889" spans="1:1" x14ac:dyDescent="0.25">
      <c r="A2889" t="s">
        <v>2503</v>
      </c>
    </row>
    <row r="2890" spans="1:1" x14ac:dyDescent="0.25">
      <c r="A2890" t="s">
        <v>2505</v>
      </c>
    </row>
    <row r="2891" spans="1:1" x14ac:dyDescent="0.25">
      <c r="A2891" t="s">
        <v>2507</v>
      </c>
    </row>
    <row r="2892" spans="1:1" x14ac:dyDescent="0.25">
      <c r="A2892" t="s">
        <v>2509</v>
      </c>
    </row>
    <row r="2893" spans="1:1" x14ac:dyDescent="0.25">
      <c r="A2893" t="s">
        <v>3836</v>
      </c>
    </row>
    <row r="2894" spans="1:1" x14ac:dyDescent="0.25">
      <c r="A2894" t="s">
        <v>2527</v>
      </c>
    </row>
    <row r="2895" spans="1:1" x14ac:dyDescent="0.25">
      <c r="A2895" t="s">
        <v>2529</v>
      </c>
    </row>
    <row r="2896" spans="1:1" x14ac:dyDescent="0.25">
      <c r="A2896" t="s">
        <v>2531</v>
      </c>
    </row>
    <row r="2897" spans="1:1" x14ac:dyDescent="0.25">
      <c r="A2897" t="s">
        <v>2533</v>
      </c>
    </row>
    <row r="2898" spans="1:1" x14ac:dyDescent="0.25">
      <c r="A2898" t="s">
        <v>3837</v>
      </c>
    </row>
    <row r="2899" spans="1:1" x14ac:dyDescent="0.25">
      <c r="A2899" t="s">
        <v>2535</v>
      </c>
    </row>
    <row r="2900" spans="1:1" x14ac:dyDescent="0.25">
      <c r="A2900" t="s">
        <v>2538</v>
      </c>
    </row>
    <row r="2901" spans="1:1" x14ac:dyDescent="0.25">
      <c r="A2901" t="s">
        <v>1968</v>
      </c>
    </row>
    <row r="2902" spans="1:1" x14ac:dyDescent="0.25">
      <c r="A2902" t="s">
        <v>1971</v>
      </c>
    </row>
    <row r="2903" spans="1:1" x14ac:dyDescent="0.25">
      <c r="A2903" t="s">
        <v>10517</v>
      </c>
    </row>
    <row r="2904" spans="1:1" x14ac:dyDescent="0.25">
      <c r="A2904" t="s">
        <v>3843</v>
      </c>
    </row>
    <row r="2905" spans="1:1" x14ac:dyDescent="0.25">
      <c r="A2905" t="s">
        <v>3844</v>
      </c>
    </row>
    <row r="2906" spans="1:1" x14ac:dyDescent="0.25">
      <c r="A2906" t="s">
        <v>2622</v>
      </c>
    </row>
    <row r="2907" spans="1:1" x14ac:dyDescent="0.25">
      <c r="A2907" t="s">
        <v>2625</v>
      </c>
    </row>
    <row r="2908" spans="1:1" x14ac:dyDescent="0.25">
      <c r="A2908" t="s">
        <v>2627</v>
      </c>
    </row>
    <row r="2909" spans="1:1" x14ac:dyDescent="0.25">
      <c r="A2909" t="s">
        <v>10169</v>
      </c>
    </row>
    <row r="2910" spans="1:1" x14ac:dyDescent="0.25">
      <c r="A2910" t="s">
        <v>10170</v>
      </c>
    </row>
    <row r="2911" spans="1:1" x14ac:dyDescent="0.25">
      <c r="A2911" t="s">
        <v>3245</v>
      </c>
    </row>
    <row r="2912" spans="1:1" x14ac:dyDescent="0.25">
      <c r="A2912" t="s">
        <v>2629</v>
      </c>
    </row>
    <row r="2913" spans="1:1" x14ac:dyDescent="0.25">
      <c r="A2913" t="s">
        <v>2631</v>
      </c>
    </row>
    <row r="2914" spans="1:1" x14ac:dyDescent="0.25">
      <c r="A2914" t="s">
        <v>10161</v>
      </c>
    </row>
    <row r="2915" spans="1:1" x14ac:dyDescent="0.25">
      <c r="A2915" t="s">
        <v>10159</v>
      </c>
    </row>
    <row r="2916" spans="1:1" x14ac:dyDescent="0.25">
      <c r="A2916" t="s">
        <v>10160</v>
      </c>
    </row>
    <row r="2917" spans="1:1" x14ac:dyDescent="0.25">
      <c r="A2917" t="s">
        <v>10163</v>
      </c>
    </row>
    <row r="2918" spans="1:1" x14ac:dyDescent="0.25">
      <c r="A2918" t="s">
        <v>10164</v>
      </c>
    </row>
    <row r="2919" spans="1:1" x14ac:dyDescent="0.25">
      <c r="A2919" t="s">
        <v>10162</v>
      </c>
    </row>
    <row r="2920" spans="1:1" x14ac:dyDescent="0.25">
      <c r="A2920" t="s">
        <v>10165</v>
      </c>
    </row>
    <row r="2921" spans="1:1" x14ac:dyDescent="0.25">
      <c r="A2921" t="s">
        <v>10166</v>
      </c>
    </row>
    <row r="2922" spans="1:1" x14ac:dyDescent="0.25">
      <c r="A2922" t="s">
        <v>10167</v>
      </c>
    </row>
    <row r="2923" spans="1:1" x14ac:dyDescent="0.25">
      <c r="A2923" t="s">
        <v>3255</v>
      </c>
    </row>
    <row r="2924" spans="1:1" x14ac:dyDescent="0.25">
      <c r="A2924" t="s">
        <v>10168</v>
      </c>
    </row>
    <row r="2925" spans="1:1" x14ac:dyDescent="0.25">
      <c r="A2925" t="s">
        <v>1777</v>
      </c>
    </row>
    <row r="2926" spans="1:1" x14ac:dyDescent="0.25">
      <c r="A2926" t="s">
        <v>2201</v>
      </c>
    </row>
    <row r="2927" spans="1:1" x14ac:dyDescent="0.25">
      <c r="A2927" t="s">
        <v>2203</v>
      </c>
    </row>
    <row r="2928" spans="1:1" x14ac:dyDescent="0.25">
      <c r="A2928" t="s">
        <v>2205</v>
      </c>
    </row>
    <row r="2929" spans="1:1" x14ac:dyDescent="0.25">
      <c r="A2929" t="s">
        <v>4677</v>
      </c>
    </row>
    <row r="2930" spans="1:1" x14ac:dyDescent="0.25">
      <c r="A2930" t="s">
        <v>4517</v>
      </c>
    </row>
    <row r="2931" spans="1:1" x14ac:dyDescent="0.25">
      <c r="A2931" t="s">
        <v>4421</v>
      </c>
    </row>
    <row r="2932" spans="1:1" x14ac:dyDescent="0.25">
      <c r="A2932" t="s">
        <v>4423</v>
      </c>
    </row>
    <row r="2933" spans="1:1" x14ac:dyDescent="0.25">
      <c r="A2933" t="s">
        <v>4422</v>
      </c>
    </row>
    <row r="2934" spans="1:1" x14ac:dyDescent="0.25">
      <c r="A2934" t="s">
        <v>4424</v>
      </c>
    </row>
    <row r="2935" spans="1:1" x14ac:dyDescent="0.25">
      <c r="A2935" t="s">
        <v>4425</v>
      </c>
    </row>
    <row r="2936" spans="1:1" x14ac:dyDescent="0.25">
      <c r="A2936" t="s">
        <v>4426</v>
      </c>
    </row>
    <row r="2937" spans="1:1" x14ac:dyDescent="0.25">
      <c r="A2937" t="s">
        <v>10356</v>
      </c>
    </row>
    <row r="2938" spans="1:1" x14ac:dyDescent="0.25">
      <c r="A2938" t="s">
        <v>10357</v>
      </c>
    </row>
    <row r="2939" spans="1:1" x14ac:dyDescent="0.25">
      <c r="A2939" t="s">
        <v>3390</v>
      </c>
    </row>
    <row r="2940" spans="1:1" x14ac:dyDescent="0.25">
      <c r="A2940" t="s">
        <v>3392</v>
      </c>
    </row>
    <row r="2941" spans="1:1" x14ac:dyDescent="0.25">
      <c r="A2941" t="s">
        <v>3394</v>
      </c>
    </row>
    <row r="2942" spans="1:1" x14ac:dyDescent="0.25">
      <c r="A2942" t="s">
        <v>10151</v>
      </c>
    </row>
    <row r="2943" spans="1:1" x14ac:dyDescent="0.25">
      <c r="A2943" t="s">
        <v>4635</v>
      </c>
    </row>
    <row r="2944" spans="1:1" x14ac:dyDescent="0.25">
      <c r="A2944" t="s">
        <v>4634</v>
      </c>
    </row>
    <row r="2945" spans="1:1" x14ac:dyDescent="0.25">
      <c r="A2945" t="s">
        <v>9797</v>
      </c>
    </row>
    <row r="2946" spans="1:1" x14ac:dyDescent="0.25">
      <c r="A2946" t="s">
        <v>9798</v>
      </c>
    </row>
    <row r="2947" spans="1:1" x14ac:dyDescent="0.25">
      <c r="A2947" t="s">
        <v>9799</v>
      </c>
    </row>
    <row r="2948" spans="1:1" x14ac:dyDescent="0.25">
      <c r="A2948" t="s">
        <v>11083</v>
      </c>
    </row>
    <row r="2949" spans="1:1" x14ac:dyDescent="0.25">
      <c r="A2949" t="s">
        <v>11084</v>
      </c>
    </row>
    <row r="2950" spans="1:1" x14ac:dyDescent="0.25">
      <c r="A2950" t="s">
        <v>6314</v>
      </c>
    </row>
    <row r="2951" spans="1:1" x14ac:dyDescent="0.25">
      <c r="A2951" t="s">
        <v>6313</v>
      </c>
    </row>
    <row r="2952" spans="1:1" x14ac:dyDescent="0.25">
      <c r="A2952" t="s">
        <v>11085</v>
      </c>
    </row>
    <row r="2953" spans="1:1" x14ac:dyDescent="0.25">
      <c r="A2953" t="s">
        <v>10519</v>
      </c>
    </row>
    <row r="2954" spans="1:1" x14ac:dyDescent="0.25">
      <c r="A2954" t="s">
        <v>9803</v>
      </c>
    </row>
    <row r="2955" spans="1:1" x14ac:dyDescent="0.25">
      <c r="A2955" t="s">
        <v>9804</v>
      </c>
    </row>
    <row r="2956" spans="1:1" x14ac:dyDescent="0.25">
      <c r="A2956" t="s">
        <v>10116</v>
      </c>
    </row>
    <row r="2957" spans="1:1" x14ac:dyDescent="0.25">
      <c r="A2957" t="s">
        <v>1224</v>
      </c>
    </row>
    <row r="2958" spans="1:1" x14ac:dyDescent="0.25">
      <c r="A2958" t="s">
        <v>1226</v>
      </c>
    </row>
    <row r="2959" spans="1:1" x14ac:dyDescent="0.25">
      <c r="A2959" t="s">
        <v>1228</v>
      </c>
    </row>
    <row r="2960" spans="1:1" x14ac:dyDescent="0.25">
      <c r="A2960" t="s">
        <v>10308</v>
      </c>
    </row>
    <row r="2961" spans="1:1" x14ac:dyDescent="0.25">
      <c r="A2961" t="s">
        <v>10018</v>
      </c>
    </row>
    <row r="2962" spans="1:1" x14ac:dyDescent="0.25">
      <c r="A2962" t="s">
        <v>10019</v>
      </c>
    </row>
    <row r="2963" spans="1:1" x14ac:dyDescent="0.25">
      <c r="A2963" t="s">
        <v>10022</v>
      </c>
    </row>
    <row r="2964" spans="1:1" x14ac:dyDescent="0.25">
      <c r="A2964" t="s">
        <v>10017</v>
      </c>
    </row>
    <row r="2965" spans="1:1" x14ac:dyDescent="0.25">
      <c r="A2965" t="s">
        <v>10020</v>
      </c>
    </row>
    <row r="2966" spans="1:1" x14ac:dyDescent="0.25">
      <c r="A2966" t="s">
        <v>10021</v>
      </c>
    </row>
    <row r="2967" spans="1:1" x14ac:dyDescent="0.25">
      <c r="A2967" t="s">
        <v>10015</v>
      </c>
    </row>
    <row r="2968" spans="1:1" x14ac:dyDescent="0.25">
      <c r="A2968" t="s">
        <v>10016</v>
      </c>
    </row>
    <row r="2969" spans="1:1" x14ac:dyDescent="0.25">
      <c r="A2969" t="s">
        <v>10024</v>
      </c>
    </row>
    <row r="2970" spans="1:1" x14ac:dyDescent="0.25">
      <c r="A2970" t="s">
        <v>10198</v>
      </c>
    </row>
    <row r="2971" spans="1:1" x14ac:dyDescent="0.25">
      <c r="A2971" t="s">
        <v>10197</v>
      </c>
    </row>
    <row r="2972" spans="1:1" x14ac:dyDescent="0.25">
      <c r="A2972" t="s">
        <v>10023</v>
      </c>
    </row>
    <row r="2973" spans="1:1" x14ac:dyDescent="0.25">
      <c r="A2973" t="s">
        <v>10199</v>
      </c>
    </row>
    <row r="2974" spans="1:1" x14ac:dyDescent="0.25">
      <c r="A2974" t="s">
        <v>10042</v>
      </c>
    </row>
    <row r="2975" spans="1:1" x14ac:dyDescent="0.25">
      <c r="A2975" t="s">
        <v>10041</v>
      </c>
    </row>
    <row r="2976" spans="1:1" x14ac:dyDescent="0.25">
      <c r="A2976" t="s">
        <v>10200</v>
      </c>
    </row>
    <row r="2977" spans="1:1" x14ac:dyDescent="0.25">
      <c r="A2977" t="s">
        <v>6309</v>
      </c>
    </row>
    <row r="2978" spans="1:1" x14ac:dyDescent="0.25">
      <c r="A2978" t="s">
        <v>10105</v>
      </c>
    </row>
    <row r="2979" spans="1:1" x14ac:dyDescent="0.25">
      <c r="A2979" t="s">
        <v>10309</v>
      </c>
    </row>
    <row r="2980" spans="1:1" x14ac:dyDescent="0.25">
      <c r="A2980" t="s">
        <v>4536</v>
      </c>
    </row>
    <row r="2981" spans="1:1" x14ac:dyDescent="0.25">
      <c r="A2981" t="s">
        <v>4538</v>
      </c>
    </row>
    <row r="2982" spans="1:1" x14ac:dyDescent="0.25">
      <c r="A2982" t="s">
        <v>4537</v>
      </c>
    </row>
    <row r="2983" spans="1:1" x14ac:dyDescent="0.25">
      <c r="A2983" t="s">
        <v>4534</v>
      </c>
    </row>
    <row r="2984" spans="1:1" x14ac:dyDescent="0.25">
      <c r="A2984" t="s">
        <v>4535</v>
      </c>
    </row>
    <row r="2985" spans="1:1" x14ac:dyDescent="0.25">
      <c r="A2985" t="s">
        <v>4532</v>
      </c>
    </row>
    <row r="2986" spans="1:1" x14ac:dyDescent="0.25">
      <c r="A2986" t="s">
        <v>4533</v>
      </c>
    </row>
    <row r="2987" spans="1:1" x14ac:dyDescent="0.25">
      <c r="A2987" t="s">
        <v>4526</v>
      </c>
    </row>
    <row r="2988" spans="1:1" x14ac:dyDescent="0.25">
      <c r="A2988" t="s">
        <v>3829</v>
      </c>
    </row>
    <row r="2989" spans="1:1" x14ac:dyDescent="0.25">
      <c r="A2989" t="s">
        <v>3855</v>
      </c>
    </row>
    <row r="2990" spans="1:1" x14ac:dyDescent="0.25">
      <c r="A2990" t="s">
        <v>2154</v>
      </c>
    </row>
    <row r="2991" spans="1:1" x14ac:dyDescent="0.25">
      <c r="A2991" t="s">
        <v>3856</v>
      </c>
    </row>
    <row r="2992" spans="1:1" x14ac:dyDescent="0.25">
      <c r="A2992" t="s">
        <v>3857</v>
      </c>
    </row>
    <row r="2993" spans="1:1" x14ac:dyDescent="0.25">
      <c r="A2993" t="s">
        <v>2157</v>
      </c>
    </row>
    <row r="2994" spans="1:1" x14ac:dyDescent="0.25">
      <c r="A2994" t="s">
        <v>2165</v>
      </c>
    </row>
    <row r="2995" spans="1:1" x14ac:dyDescent="0.25">
      <c r="A2995" t="s">
        <v>2167</v>
      </c>
    </row>
    <row r="2996" spans="1:1" x14ac:dyDescent="0.25">
      <c r="A2996" t="s">
        <v>2169</v>
      </c>
    </row>
    <row r="2997" spans="1:1" x14ac:dyDescent="0.25">
      <c r="A2997" t="s">
        <v>2171</v>
      </c>
    </row>
    <row r="2998" spans="1:1" x14ac:dyDescent="0.25">
      <c r="A2998" t="s">
        <v>3858</v>
      </c>
    </row>
    <row r="2999" spans="1:1" x14ac:dyDescent="0.25">
      <c r="A2999" t="s">
        <v>3859</v>
      </c>
    </row>
    <row r="3000" spans="1:1" x14ac:dyDescent="0.25">
      <c r="A3000" t="s">
        <v>3860</v>
      </c>
    </row>
    <row r="3001" spans="1:1" x14ac:dyDescent="0.25">
      <c r="A3001" t="s">
        <v>3861</v>
      </c>
    </row>
    <row r="3002" spans="1:1" x14ac:dyDescent="0.25">
      <c r="A3002" t="s">
        <v>3862</v>
      </c>
    </row>
    <row r="3003" spans="1:1" x14ac:dyDescent="0.25">
      <c r="A3003" t="s">
        <v>3863</v>
      </c>
    </row>
    <row r="3004" spans="1:1" x14ac:dyDescent="0.25">
      <c r="A3004" t="s">
        <v>6218</v>
      </c>
    </row>
    <row r="3005" spans="1:1" x14ac:dyDescent="0.25">
      <c r="A3005" t="s">
        <v>6217</v>
      </c>
    </row>
    <row r="3006" spans="1:1" x14ac:dyDescent="0.25">
      <c r="A3006" t="s">
        <v>10285</v>
      </c>
    </row>
    <row r="3007" spans="1:1" x14ac:dyDescent="0.25">
      <c r="A3007" t="s">
        <v>10287</v>
      </c>
    </row>
    <row r="3008" spans="1:1" x14ac:dyDescent="0.25">
      <c r="A3008" t="s">
        <v>10288</v>
      </c>
    </row>
    <row r="3009" spans="1:1" x14ac:dyDescent="0.25">
      <c r="A3009" t="s">
        <v>10289</v>
      </c>
    </row>
    <row r="3010" spans="1:1" x14ac:dyDescent="0.25">
      <c r="A3010" t="s">
        <v>10209</v>
      </c>
    </row>
    <row r="3011" spans="1:1" x14ac:dyDescent="0.25">
      <c r="A3011" t="s">
        <v>10290</v>
      </c>
    </row>
    <row r="3012" spans="1:1" x14ac:dyDescent="0.25">
      <c r="A3012" t="s">
        <v>10286</v>
      </c>
    </row>
    <row r="3013" spans="1:1" x14ac:dyDescent="0.25">
      <c r="A3013" t="s">
        <v>10291</v>
      </c>
    </row>
    <row r="3014" spans="1:1" x14ac:dyDescent="0.25">
      <c r="A3014" t="s">
        <v>10210</v>
      </c>
    </row>
    <row r="3015" spans="1:1" x14ac:dyDescent="0.25">
      <c r="A3015" t="s">
        <v>10274</v>
      </c>
    </row>
    <row r="3016" spans="1:1" x14ac:dyDescent="0.25">
      <c r="A3016" t="s">
        <v>10292</v>
      </c>
    </row>
    <row r="3017" spans="1:1" x14ac:dyDescent="0.25">
      <c r="A3017" t="s">
        <v>10216</v>
      </c>
    </row>
    <row r="3018" spans="1:1" x14ac:dyDescent="0.25">
      <c r="A3018" t="s">
        <v>10239</v>
      </c>
    </row>
    <row r="3019" spans="1:1" x14ac:dyDescent="0.25">
      <c r="A3019" t="s">
        <v>10242</v>
      </c>
    </row>
    <row r="3020" spans="1:1" x14ac:dyDescent="0.25">
      <c r="A3020" t="s">
        <v>10240</v>
      </c>
    </row>
    <row r="3021" spans="1:1" x14ac:dyDescent="0.25">
      <c r="A3021" t="s">
        <v>10241</v>
      </c>
    </row>
    <row r="3022" spans="1:1" x14ac:dyDescent="0.25">
      <c r="A3022" t="s">
        <v>10281</v>
      </c>
    </row>
    <row r="3023" spans="1:1" x14ac:dyDescent="0.25">
      <c r="A3023" t="s">
        <v>10282</v>
      </c>
    </row>
    <row r="3024" spans="1:1" x14ac:dyDescent="0.25">
      <c r="A3024" t="s">
        <v>10246</v>
      </c>
    </row>
    <row r="3025" spans="1:1" x14ac:dyDescent="0.25">
      <c r="A3025" t="s">
        <v>10244</v>
      </c>
    </row>
    <row r="3026" spans="1:1" x14ac:dyDescent="0.25">
      <c r="A3026" t="s">
        <v>10247</v>
      </c>
    </row>
    <row r="3027" spans="1:1" x14ac:dyDescent="0.25">
      <c r="A3027" t="s">
        <v>10264</v>
      </c>
    </row>
    <row r="3028" spans="1:1" x14ac:dyDescent="0.25">
      <c r="A3028" t="s">
        <v>10248</v>
      </c>
    </row>
    <row r="3029" spans="1:1" x14ac:dyDescent="0.25">
      <c r="A3029" t="s">
        <v>4439</v>
      </c>
    </row>
    <row r="3030" spans="1:1" x14ac:dyDescent="0.25">
      <c r="A3030" t="s">
        <v>4438</v>
      </c>
    </row>
    <row r="3031" spans="1:1" x14ac:dyDescent="0.25">
      <c r="A3031" t="s">
        <v>10263</v>
      </c>
    </row>
    <row r="3032" spans="1:1" x14ac:dyDescent="0.25">
      <c r="A3032" t="s">
        <v>10265</v>
      </c>
    </row>
    <row r="3033" spans="1:1" x14ac:dyDescent="0.25">
      <c r="A3033" t="s">
        <v>10262</v>
      </c>
    </row>
    <row r="3034" spans="1:1" x14ac:dyDescent="0.25">
      <c r="A3034" t="s">
        <v>10266</v>
      </c>
    </row>
    <row r="3035" spans="1:1" x14ac:dyDescent="0.25">
      <c r="A3035" t="s">
        <v>10387</v>
      </c>
    </row>
    <row r="3036" spans="1:1" x14ac:dyDescent="0.25">
      <c r="A3036" t="s">
        <v>10251</v>
      </c>
    </row>
    <row r="3037" spans="1:1" x14ac:dyDescent="0.25">
      <c r="A3037" t="s">
        <v>10218</v>
      </c>
    </row>
    <row r="3038" spans="1:1" x14ac:dyDescent="0.25">
      <c r="A3038" t="s">
        <v>10267</v>
      </c>
    </row>
    <row r="3039" spans="1:1" x14ac:dyDescent="0.25">
      <c r="A3039" t="s">
        <v>10293</v>
      </c>
    </row>
    <row r="3040" spans="1:1" x14ac:dyDescent="0.25">
      <c r="A3040" t="s">
        <v>10294</v>
      </c>
    </row>
    <row r="3041" spans="1:1" x14ac:dyDescent="0.25">
      <c r="A3041" t="s">
        <v>10385</v>
      </c>
    </row>
    <row r="3042" spans="1:1" x14ac:dyDescent="0.25">
      <c r="A3042" t="s">
        <v>10235</v>
      </c>
    </row>
    <row r="3043" spans="1:1" x14ac:dyDescent="0.25">
      <c r="A3043" t="s">
        <v>10268</v>
      </c>
    </row>
    <row r="3044" spans="1:1" x14ac:dyDescent="0.25">
      <c r="A3044" t="s">
        <v>10269</v>
      </c>
    </row>
    <row r="3045" spans="1:1" x14ac:dyDescent="0.25">
      <c r="A3045" t="s">
        <v>10196</v>
      </c>
    </row>
    <row r="3046" spans="1:1" x14ac:dyDescent="0.25">
      <c r="A3046" t="s">
        <v>10214</v>
      </c>
    </row>
    <row r="3047" spans="1:1" x14ac:dyDescent="0.25">
      <c r="A3047" t="s">
        <v>10270</v>
      </c>
    </row>
    <row r="3048" spans="1:1" x14ac:dyDescent="0.25">
      <c r="A3048" t="s">
        <v>10271</v>
      </c>
    </row>
    <row r="3049" spans="1:1" x14ac:dyDescent="0.25">
      <c r="A3049" t="s">
        <v>10217</v>
      </c>
    </row>
    <row r="3050" spans="1:1" x14ac:dyDescent="0.25">
      <c r="A3050" t="s">
        <v>10201</v>
      </c>
    </row>
    <row r="3051" spans="1:1" x14ac:dyDescent="0.25">
      <c r="A3051" t="s">
        <v>10202</v>
      </c>
    </row>
    <row r="3052" spans="1:1" x14ac:dyDescent="0.25">
      <c r="A3052" t="s">
        <v>10203</v>
      </c>
    </row>
    <row r="3053" spans="1:1" x14ac:dyDescent="0.25">
      <c r="A3053" t="s">
        <v>10204</v>
      </c>
    </row>
    <row r="3054" spans="1:1" x14ac:dyDescent="0.25">
      <c r="A3054" t="s">
        <v>10205</v>
      </c>
    </row>
    <row r="3055" spans="1:1" x14ac:dyDescent="0.25">
      <c r="A3055" t="s">
        <v>10273</v>
      </c>
    </row>
    <row r="3056" spans="1:1" x14ac:dyDescent="0.25">
      <c r="A3056" t="s">
        <v>10283</v>
      </c>
    </row>
    <row r="3057" spans="1:1" x14ac:dyDescent="0.25">
      <c r="A3057" t="s">
        <v>10249</v>
      </c>
    </row>
    <row r="3058" spans="1:1" x14ac:dyDescent="0.25">
      <c r="A3058" t="s">
        <v>4430</v>
      </c>
    </row>
    <row r="3059" spans="1:1" x14ac:dyDescent="0.25">
      <c r="A3059" t="s">
        <v>4430</v>
      </c>
    </row>
    <row r="3060" spans="1:1" x14ac:dyDescent="0.25">
      <c r="A3060" t="s">
        <v>4440</v>
      </c>
    </row>
    <row r="3061" spans="1:1" x14ac:dyDescent="0.25">
      <c r="A3061" t="s">
        <v>4432</v>
      </c>
    </row>
    <row r="3062" spans="1:1" x14ac:dyDescent="0.25">
      <c r="A3062" t="s">
        <v>4436</v>
      </c>
    </row>
    <row r="3063" spans="1:1" x14ac:dyDescent="0.25">
      <c r="A3063" t="s">
        <v>4434</v>
      </c>
    </row>
    <row r="3064" spans="1:1" x14ac:dyDescent="0.25">
      <c r="A3064" t="s">
        <v>10206</v>
      </c>
    </row>
    <row r="3065" spans="1:1" x14ac:dyDescent="0.25">
      <c r="A3065" t="s">
        <v>10221</v>
      </c>
    </row>
    <row r="3066" spans="1:1" x14ac:dyDescent="0.25">
      <c r="A3066" t="s">
        <v>10222</v>
      </c>
    </row>
    <row r="3067" spans="1:1" x14ac:dyDescent="0.25">
      <c r="A3067" t="s">
        <v>10272</v>
      </c>
    </row>
    <row r="3068" spans="1:1" x14ac:dyDescent="0.25">
      <c r="A3068" t="s">
        <v>10245</v>
      </c>
    </row>
    <row r="3069" spans="1:1" x14ac:dyDescent="0.25">
      <c r="A3069" t="s">
        <v>10250</v>
      </c>
    </row>
    <row r="3070" spans="1:1" x14ac:dyDescent="0.25">
      <c r="A3070" t="s">
        <v>4429</v>
      </c>
    </row>
    <row r="3071" spans="1:1" x14ac:dyDescent="0.25">
      <c r="A3071" t="s">
        <v>10215</v>
      </c>
    </row>
    <row r="3072" spans="1:1" x14ac:dyDescent="0.25">
      <c r="A3072" t="s">
        <v>10258</v>
      </c>
    </row>
    <row r="3073" spans="1:1" x14ac:dyDescent="0.25">
      <c r="A3073" t="s">
        <v>10243</v>
      </c>
    </row>
    <row r="3074" spans="1:1" x14ac:dyDescent="0.25">
      <c r="A3074" t="s">
        <v>10301</v>
      </c>
    </row>
    <row r="3075" spans="1:1" x14ac:dyDescent="0.25">
      <c r="A3075" t="s">
        <v>10225</v>
      </c>
    </row>
    <row r="3076" spans="1:1" x14ac:dyDescent="0.25">
      <c r="A3076" t="s">
        <v>10224</v>
      </c>
    </row>
    <row r="3077" spans="1:1" x14ac:dyDescent="0.25">
      <c r="A3077" t="s">
        <v>10223</v>
      </c>
    </row>
    <row r="3078" spans="1:1" x14ac:dyDescent="0.25">
      <c r="A3078" t="s">
        <v>10219</v>
      </c>
    </row>
    <row r="3079" spans="1:1" x14ac:dyDescent="0.25">
      <c r="A3079" t="s">
        <v>10220</v>
      </c>
    </row>
    <row r="3080" spans="1:1" x14ac:dyDescent="0.25">
      <c r="A3080" t="s">
        <v>10254</v>
      </c>
    </row>
    <row r="3081" spans="1:1" x14ac:dyDescent="0.25">
      <c r="A3081" t="s">
        <v>10237</v>
      </c>
    </row>
    <row r="3082" spans="1:1" x14ac:dyDescent="0.25">
      <c r="A3082" t="s">
        <v>10237</v>
      </c>
    </row>
    <row r="3083" spans="1:1" x14ac:dyDescent="0.25">
      <c r="A3083" t="s">
        <v>10237</v>
      </c>
    </row>
    <row r="3084" spans="1:1" x14ac:dyDescent="0.25">
      <c r="A3084" t="s">
        <v>10237</v>
      </c>
    </row>
    <row r="3085" spans="1:1" x14ac:dyDescent="0.25">
      <c r="A3085" t="s">
        <v>10296</v>
      </c>
    </row>
    <row r="3086" spans="1:1" x14ac:dyDescent="0.25">
      <c r="A3086" t="s">
        <v>10226</v>
      </c>
    </row>
    <row r="3087" spans="1:1" x14ac:dyDescent="0.25">
      <c r="A3087" t="s">
        <v>10259</v>
      </c>
    </row>
    <row r="3088" spans="1:1" x14ac:dyDescent="0.25">
      <c r="A3088" t="s">
        <v>10275</v>
      </c>
    </row>
    <row r="3089" spans="1:1" x14ac:dyDescent="0.25">
      <c r="A3089" t="s">
        <v>10232</v>
      </c>
    </row>
    <row r="3090" spans="1:1" x14ac:dyDescent="0.25">
      <c r="A3090" t="s">
        <v>10231</v>
      </c>
    </row>
    <row r="3091" spans="1:1" x14ac:dyDescent="0.25">
      <c r="A3091" t="s">
        <v>10230</v>
      </c>
    </row>
    <row r="3092" spans="1:1" x14ac:dyDescent="0.25">
      <c r="A3092" t="s">
        <v>10229</v>
      </c>
    </row>
    <row r="3093" spans="1:1" x14ac:dyDescent="0.25">
      <c r="A3093" t="s">
        <v>4431</v>
      </c>
    </row>
    <row r="3094" spans="1:1" x14ac:dyDescent="0.25">
      <c r="A3094" t="s">
        <v>10303</v>
      </c>
    </row>
    <row r="3095" spans="1:1" x14ac:dyDescent="0.25">
      <c r="A3095" t="s">
        <v>10302</v>
      </c>
    </row>
    <row r="3096" spans="1:1" x14ac:dyDescent="0.25">
      <c r="A3096" t="s">
        <v>10307</v>
      </c>
    </row>
    <row r="3097" spans="1:1" x14ac:dyDescent="0.25">
      <c r="A3097" t="s">
        <v>10207</v>
      </c>
    </row>
    <row r="3098" spans="1:1" x14ac:dyDescent="0.25">
      <c r="A3098" t="s">
        <v>10261</v>
      </c>
    </row>
    <row r="3099" spans="1:1" x14ac:dyDescent="0.25">
      <c r="A3099" t="s">
        <v>10252</v>
      </c>
    </row>
    <row r="3100" spans="1:1" x14ac:dyDescent="0.25">
      <c r="A3100" t="s">
        <v>10276</v>
      </c>
    </row>
    <row r="3101" spans="1:1" x14ac:dyDescent="0.25">
      <c r="A3101" t="s">
        <v>10253</v>
      </c>
    </row>
    <row r="3102" spans="1:1" x14ac:dyDescent="0.25">
      <c r="A3102" t="s">
        <v>10304</v>
      </c>
    </row>
    <row r="3103" spans="1:1" x14ac:dyDescent="0.25">
      <c r="A3103" t="s">
        <v>10305</v>
      </c>
    </row>
    <row r="3104" spans="1:1" x14ac:dyDescent="0.25">
      <c r="A3104" t="s">
        <v>10295</v>
      </c>
    </row>
    <row r="3105" spans="1:1" x14ac:dyDescent="0.25">
      <c r="A3105" t="s">
        <v>10234</v>
      </c>
    </row>
    <row r="3106" spans="1:1" x14ac:dyDescent="0.25">
      <c r="A3106" t="s">
        <v>4441</v>
      </c>
    </row>
    <row r="3107" spans="1:1" x14ac:dyDescent="0.25">
      <c r="A3107" t="s">
        <v>4433</v>
      </c>
    </row>
    <row r="3108" spans="1:1" x14ac:dyDescent="0.25">
      <c r="A3108" t="s">
        <v>4437</v>
      </c>
    </row>
    <row r="3109" spans="1:1" x14ac:dyDescent="0.25">
      <c r="A3109" t="s">
        <v>4435</v>
      </c>
    </row>
    <row r="3110" spans="1:1" x14ac:dyDescent="0.25">
      <c r="A3110" t="s">
        <v>10227</v>
      </c>
    </row>
    <row r="3111" spans="1:1" x14ac:dyDescent="0.25">
      <c r="A3111" t="s">
        <v>10310</v>
      </c>
    </row>
    <row r="3112" spans="1:1" x14ac:dyDescent="0.25">
      <c r="A3112" t="s">
        <v>10311</v>
      </c>
    </row>
    <row r="3113" spans="1:1" x14ac:dyDescent="0.25">
      <c r="A3113" t="s">
        <v>10312</v>
      </c>
    </row>
    <row r="3114" spans="1:1" x14ac:dyDescent="0.25">
      <c r="A3114" t="s">
        <v>10313</v>
      </c>
    </row>
    <row r="3115" spans="1:1" x14ac:dyDescent="0.25">
      <c r="A3115" t="s">
        <v>10255</v>
      </c>
    </row>
    <row r="3116" spans="1:1" x14ac:dyDescent="0.25">
      <c r="A3116" t="s">
        <v>10228</v>
      </c>
    </row>
    <row r="3117" spans="1:1" x14ac:dyDescent="0.25">
      <c r="A3117" t="s">
        <v>10277</v>
      </c>
    </row>
    <row r="3118" spans="1:1" x14ac:dyDescent="0.25">
      <c r="A3118" t="s">
        <v>10284</v>
      </c>
    </row>
    <row r="3119" spans="1:1" x14ac:dyDescent="0.25">
      <c r="A3119" t="s">
        <v>10236</v>
      </c>
    </row>
    <row r="3120" spans="1:1" x14ac:dyDescent="0.25">
      <c r="A3120" t="s">
        <v>10211</v>
      </c>
    </row>
    <row r="3121" spans="1:1" x14ac:dyDescent="0.25">
      <c r="A3121" t="s">
        <v>10208</v>
      </c>
    </row>
    <row r="3122" spans="1:1" x14ac:dyDescent="0.25">
      <c r="A3122" t="s">
        <v>10213</v>
      </c>
    </row>
    <row r="3123" spans="1:1" x14ac:dyDescent="0.25">
      <c r="A3123" t="s">
        <v>10350</v>
      </c>
    </row>
    <row r="3124" spans="1:1" x14ac:dyDescent="0.25">
      <c r="A3124" t="s">
        <v>10212</v>
      </c>
    </row>
    <row r="3125" spans="1:1" x14ac:dyDescent="0.25">
      <c r="A3125" t="s">
        <v>10320</v>
      </c>
    </row>
    <row r="3126" spans="1:1" x14ac:dyDescent="0.25">
      <c r="A3126" t="s">
        <v>10386</v>
      </c>
    </row>
    <row r="3127" spans="1:1" x14ac:dyDescent="0.25">
      <c r="A3127" t="s">
        <v>10260</v>
      </c>
    </row>
    <row r="3128" spans="1:1" x14ac:dyDescent="0.25">
      <c r="A3128" t="s">
        <v>10278</v>
      </c>
    </row>
    <row r="3129" spans="1:1" x14ac:dyDescent="0.25">
      <c r="A3129" t="s">
        <v>10279</v>
      </c>
    </row>
    <row r="3130" spans="1:1" x14ac:dyDescent="0.25">
      <c r="A3130" t="s">
        <v>10280</v>
      </c>
    </row>
    <row r="3131" spans="1:1" x14ac:dyDescent="0.25">
      <c r="A3131" t="s">
        <v>10298</v>
      </c>
    </row>
    <row r="3132" spans="1:1" x14ac:dyDescent="0.25">
      <c r="A3132" t="s">
        <v>10299</v>
      </c>
    </row>
    <row r="3133" spans="1:1" x14ac:dyDescent="0.25">
      <c r="A3133" t="s">
        <v>10300</v>
      </c>
    </row>
    <row r="3134" spans="1:1" x14ac:dyDescent="0.25">
      <c r="A3134" t="s">
        <v>10297</v>
      </c>
    </row>
    <row r="3135" spans="1:1" x14ac:dyDescent="0.25">
      <c r="A3135" t="s">
        <v>10256</v>
      </c>
    </row>
    <row r="3136" spans="1:1" x14ac:dyDescent="0.25">
      <c r="A3136" t="s">
        <v>10257</v>
      </c>
    </row>
    <row r="3137" spans="1:1" x14ac:dyDescent="0.25">
      <c r="A3137" t="s">
        <v>10238</v>
      </c>
    </row>
    <row r="3138" spans="1:1" x14ac:dyDescent="0.25">
      <c r="A3138" t="s">
        <v>10233</v>
      </c>
    </row>
    <row r="3139" spans="1:1" x14ac:dyDescent="0.25">
      <c r="A3139" t="s">
        <v>10306</v>
      </c>
    </row>
    <row r="3140" spans="1:1" x14ac:dyDescent="0.25">
      <c r="A3140" t="s">
        <v>9800</v>
      </c>
    </row>
    <row r="3141" spans="1:1" x14ac:dyDescent="0.25">
      <c r="A3141" t="s">
        <v>9801</v>
      </c>
    </row>
    <row r="3142" spans="1:1" x14ac:dyDescent="0.25">
      <c r="A3142" t="s">
        <v>4444</v>
      </c>
    </row>
    <row r="3143" spans="1:1" x14ac:dyDescent="0.25">
      <c r="A3143" t="s">
        <v>4445</v>
      </c>
    </row>
    <row r="3144" spans="1:1" x14ac:dyDescent="0.25">
      <c r="A3144" t="s">
        <v>11086</v>
      </c>
    </row>
    <row r="3145" spans="1:1" x14ac:dyDescent="0.25">
      <c r="A3145" t="s">
        <v>11087</v>
      </c>
    </row>
    <row r="3146" spans="1:1" x14ac:dyDescent="0.25">
      <c r="A3146" t="s">
        <v>11088</v>
      </c>
    </row>
    <row r="3147" spans="1:1" x14ac:dyDescent="0.25">
      <c r="A3147" t="s">
        <v>11089</v>
      </c>
    </row>
    <row r="3148" spans="1:1" x14ac:dyDescent="0.25">
      <c r="A3148" t="s">
        <v>4448</v>
      </c>
    </row>
    <row r="3149" spans="1:1" x14ac:dyDescent="0.25">
      <c r="A3149" t="s">
        <v>10192</v>
      </c>
    </row>
    <row r="3150" spans="1:1" x14ac:dyDescent="0.25">
      <c r="A3150" t="s">
        <v>4446</v>
      </c>
    </row>
    <row r="3151" spans="1:1" x14ac:dyDescent="0.25">
      <c r="A3151" t="s">
        <v>4447</v>
      </c>
    </row>
    <row r="3152" spans="1:1" x14ac:dyDescent="0.25">
      <c r="A3152" t="s">
        <v>4415</v>
      </c>
    </row>
    <row r="3153" spans="1:1" x14ac:dyDescent="0.25">
      <c r="A3153" t="s">
        <v>2437</v>
      </c>
    </row>
    <row r="3154" spans="1:1" x14ac:dyDescent="0.25">
      <c r="A3154" t="s">
        <v>9751</v>
      </c>
    </row>
    <row r="3155" spans="1:1" x14ac:dyDescent="0.25">
      <c r="A3155" t="s">
        <v>10352</v>
      </c>
    </row>
    <row r="3156" spans="1:1" x14ac:dyDescent="0.25">
      <c r="A3156" t="s">
        <v>4413</v>
      </c>
    </row>
    <row r="3157" spans="1:1" x14ac:dyDescent="0.25">
      <c r="A3157" t="s">
        <v>11090</v>
      </c>
    </row>
    <row r="3158" spans="1:1" x14ac:dyDescent="0.25">
      <c r="A3158" t="s">
        <v>10349</v>
      </c>
    </row>
    <row r="3159" spans="1:1" x14ac:dyDescent="0.25">
      <c r="A3159" t="s">
        <v>10348</v>
      </c>
    </row>
    <row r="3160" spans="1:1" x14ac:dyDescent="0.25">
      <c r="A3160" t="s">
        <v>11091</v>
      </c>
    </row>
    <row r="3161" spans="1:1" x14ac:dyDescent="0.25">
      <c r="A3161" t="s">
        <v>11092</v>
      </c>
    </row>
    <row r="3162" spans="1:1" x14ac:dyDescent="0.25">
      <c r="A3162" t="s">
        <v>10351</v>
      </c>
    </row>
    <row r="3163" spans="1:1" x14ac:dyDescent="0.25">
      <c r="A3163" t="s">
        <v>10173</v>
      </c>
    </row>
    <row r="3164" spans="1:1" x14ac:dyDescent="0.25">
      <c r="A3164" t="s">
        <v>4401</v>
      </c>
    </row>
    <row r="3165" spans="1:1" x14ac:dyDescent="0.25">
      <c r="A3165" t="s">
        <v>4402</v>
      </c>
    </row>
    <row r="3166" spans="1:1" x14ac:dyDescent="0.25">
      <c r="A3166" t="s">
        <v>4403</v>
      </c>
    </row>
    <row r="3167" spans="1:1" x14ac:dyDescent="0.25">
      <c r="A3167" t="s">
        <v>4404</v>
      </c>
    </row>
    <row r="3168" spans="1:1" x14ac:dyDescent="0.25">
      <c r="A3168" t="s">
        <v>4405</v>
      </c>
    </row>
    <row r="3169" spans="1:1" x14ac:dyDescent="0.25">
      <c r="A3169" t="s">
        <v>4406</v>
      </c>
    </row>
    <row r="3170" spans="1:1" x14ac:dyDescent="0.25">
      <c r="A3170" t="s">
        <v>4407</v>
      </c>
    </row>
    <row r="3171" spans="1:1" x14ac:dyDescent="0.25">
      <c r="A3171" t="s">
        <v>4408</v>
      </c>
    </row>
    <row r="3172" spans="1:1" x14ac:dyDescent="0.25">
      <c r="A3172" t="s">
        <v>4409</v>
      </c>
    </row>
    <row r="3173" spans="1:1" x14ac:dyDescent="0.25">
      <c r="A3173" t="s">
        <v>4410</v>
      </c>
    </row>
    <row r="3174" spans="1:1" x14ac:dyDescent="0.25">
      <c r="A3174" t="s">
        <v>4411</v>
      </c>
    </row>
    <row r="3175" spans="1:1" x14ac:dyDescent="0.25">
      <c r="A3175" t="s">
        <v>9802</v>
      </c>
    </row>
    <row r="3176" spans="1:1" x14ac:dyDescent="0.25">
      <c r="A3176" t="s">
        <v>10481</v>
      </c>
    </row>
    <row r="3177" spans="1:1" x14ac:dyDescent="0.25">
      <c r="A3177" t="s">
        <v>370</v>
      </c>
    </row>
    <row r="3178" spans="1:1" x14ac:dyDescent="0.25">
      <c r="A3178" t="s">
        <v>1879</v>
      </c>
    </row>
    <row r="3179" spans="1:1" x14ac:dyDescent="0.25">
      <c r="A3179" t="s">
        <v>3548</v>
      </c>
    </row>
    <row r="3180" spans="1:1" x14ac:dyDescent="0.25">
      <c r="A3180" t="s">
        <v>3549</v>
      </c>
    </row>
    <row r="3181" spans="1:1" x14ac:dyDescent="0.25">
      <c r="A3181" t="s">
        <v>1216</v>
      </c>
    </row>
    <row r="3182" spans="1:1" x14ac:dyDescent="0.25">
      <c r="A3182" t="s">
        <v>3686</v>
      </c>
    </row>
    <row r="3183" spans="1:1" x14ac:dyDescent="0.25">
      <c r="A3183" t="s">
        <v>3687</v>
      </c>
    </row>
    <row r="3184" spans="1:1" x14ac:dyDescent="0.25">
      <c r="A3184" t="s">
        <v>3720</v>
      </c>
    </row>
    <row r="3185" spans="1:1" x14ac:dyDescent="0.25">
      <c r="A3185" t="s">
        <v>3721</v>
      </c>
    </row>
    <row r="3186" spans="1:1" x14ac:dyDescent="0.25">
      <c r="A3186" t="s">
        <v>1939</v>
      </c>
    </row>
    <row r="3187" spans="1:1" x14ac:dyDescent="0.25">
      <c r="A3187" t="s">
        <v>1973</v>
      </c>
    </row>
    <row r="3188" spans="1:1" x14ac:dyDescent="0.25">
      <c r="A3188" t="s">
        <v>3867</v>
      </c>
    </row>
    <row r="3189" spans="1:1" x14ac:dyDescent="0.25">
      <c r="A3189" t="s">
        <v>3868</v>
      </c>
    </row>
    <row r="3190" spans="1:1" x14ac:dyDescent="0.25">
      <c r="A3190" t="s">
        <v>2680</v>
      </c>
    </row>
    <row r="3191" spans="1:1" x14ac:dyDescent="0.25">
      <c r="A3191" t="s">
        <v>2862</v>
      </c>
    </row>
    <row r="3192" spans="1:1" x14ac:dyDescent="0.25">
      <c r="A3192" t="s">
        <v>2968</v>
      </c>
    </row>
    <row r="3193" spans="1:1" x14ac:dyDescent="0.25">
      <c r="A3193" t="s">
        <v>3118</v>
      </c>
    </row>
    <row r="3194" spans="1:1" x14ac:dyDescent="0.25">
      <c r="A3194" t="s">
        <v>3262</v>
      </c>
    </row>
    <row r="3195" spans="1:1" x14ac:dyDescent="0.25">
      <c r="A3195" t="s">
        <v>3327</v>
      </c>
    </row>
    <row r="3196" spans="1:1" x14ac:dyDescent="0.25">
      <c r="A3196" t="s">
        <v>3340</v>
      </c>
    </row>
    <row r="3197" spans="1:1" x14ac:dyDescent="0.25">
      <c r="A3197" t="s">
        <v>3468</v>
      </c>
    </row>
    <row r="3198" spans="1:1" x14ac:dyDescent="0.25">
      <c r="A3198" t="s">
        <v>3466</v>
      </c>
    </row>
    <row r="3199" spans="1:1" x14ac:dyDescent="0.25">
      <c r="A3199" t="s">
        <v>9782</v>
      </c>
    </row>
    <row r="3200" spans="1:1" x14ac:dyDescent="0.25">
      <c r="A3200" t="s">
        <v>9783</v>
      </c>
    </row>
    <row r="3201" spans="1:1" x14ac:dyDescent="0.25">
      <c r="A3201" t="s">
        <v>10423</v>
      </c>
    </row>
    <row r="3202" spans="1:1" x14ac:dyDescent="0.25">
      <c r="A3202" t="s">
        <v>10046</v>
      </c>
    </row>
    <row r="3203" spans="1:1" x14ac:dyDescent="0.25">
      <c r="A3203" t="s">
        <v>10047</v>
      </c>
    </row>
    <row r="3204" spans="1:1" x14ac:dyDescent="0.25">
      <c r="A3204" t="s">
        <v>10358</v>
      </c>
    </row>
    <row r="3205" spans="1:1" x14ac:dyDescent="0.25">
      <c r="A3205" t="s">
        <v>9835</v>
      </c>
    </row>
    <row r="3206" spans="1:1" x14ac:dyDescent="0.25">
      <c r="A3206" t="s">
        <v>10459</v>
      </c>
    </row>
    <row r="3207" spans="1:1" x14ac:dyDescent="0.25">
      <c r="A3207" t="s">
        <v>10460</v>
      </c>
    </row>
    <row r="3208" spans="1:1" x14ac:dyDescent="0.25">
      <c r="A3208" t="s">
        <v>10461</v>
      </c>
    </row>
    <row r="3209" spans="1:1" x14ac:dyDescent="0.25">
      <c r="A3209" t="s">
        <v>10457</v>
      </c>
    </row>
    <row r="3210" spans="1:1" x14ac:dyDescent="0.25">
      <c r="A3210" t="s">
        <v>10458</v>
      </c>
    </row>
    <row r="3211" spans="1:1" x14ac:dyDescent="0.25">
      <c r="A3211" t="s">
        <v>10696</v>
      </c>
    </row>
    <row r="3212" spans="1:1" x14ac:dyDescent="0.25">
      <c r="A3212" t="s">
        <v>3554</v>
      </c>
    </row>
    <row r="3213" spans="1:1" x14ac:dyDescent="0.25">
      <c r="A3213" t="s">
        <v>10456</v>
      </c>
    </row>
    <row r="3214" spans="1:1" x14ac:dyDescent="0.25">
      <c r="A3214" t="s">
        <v>10462</v>
      </c>
    </row>
    <row r="3215" spans="1:1" x14ac:dyDescent="0.25">
      <c r="A3215" t="s">
        <v>10464</v>
      </c>
    </row>
    <row r="3216" spans="1:1" x14ac:dyDescent="0.25">
      <c r="A3216" t="s">
        <v>10455</v>
      </c>
    </row>
    <row r="3217" spans="1:1" x14ac:dyDescent="0.25">
      <c r="A3217" t="s">
        <v>10463</v>
      </c>
    </row>
    <row r="3218" spans="1:1" x14ac:dyDescent="0.25">
      <c r="A3218" t="s">
        <v>10412</v>
      </c>
    </row>
    <row r="3219" spans="1:1" x14ac:dyDescent="0.25">
      <c r="A3219" t="s">
        <v>10574</v>
      </c>
    </row>
    <row r="3220" spans="1:1" x14ac:dyDescent="0.25">
      <c r="A3220" t="s">
        <v>10422</v>
      </c>
    </row>
    <row r="3221" spans="1:1" x14ac:dyDescent="0.25">
      <c r="A3221" t="s">
        <v>10413</v>
      </c>
    </row>
    <row r="3222" spans="1:1" x14ac:dyDescent="0.25">
      <c r="A3222" t="s">
        <v>1266</v>
      </c>
    </row>
    <row r="3223" spans="1:1" x14ac:dyDescent="0.25">
      <c r="A3223" t="s">
        <v>1268</v>
      </c>
    </row>
    <row r="3224" spans="1:1" x14ac:dyDescent="0.25">
      <c r="A3224" t="s">
        <v>1270</v>
      </c>
    </row>
    <row r="3225" spans="1:1" x14ac:dyDescent="0.25">
      <c r="A3225" t="s">
        <v>1272</v>
      </c>
    </row>
    <row r="3226" spans="1:1" x14ac:dyDescent="0.25">
      <c r="A3226" t="s">
        <v>10426</v>
      </c>
    </row>
    <row r="3227" spans="1:1" x14ac:dyDescent="0.25">
      <c r="A3227" t="s">
        <v>10427</v>
      </c>
    </row>
    <row r="3228" spans="1:1" x14ac:dyDescent="0.25">
      <c r="A3228" t="s">
        <v>10428</v>
      </c>
    </row>
    <row r="3229" spans="1:1" x14ac:dyDescent="0.25">
      <c r="A3229" t="s">
        <v>10429</v>
      </c>
    </row>
    <row r="3230" spans="1:1" x14ac:dyDescent="0.25">
      <c r="A3230" t="s">
        <v>10430</v>
      </c>
    </row>
    <row r="3231" spans="1:1" x14ac:dyDescent="0.25">
      <c r="A3231" t="s">
        <v>10415</v>
      </c>
    </row>
    <row r="3232" spans="1:1" x14ac:dyDescent="0.25">
      <c r="A3232" t="s">
        <v>4586</v>
      </c>
    </row>
    <row r="3233" spans="1:1" x14ac:dyDescent="0.25">
      <c r="A3233" t="s">
        <v>4587</v>
      </c>
    </row>
    <row r="3234" spans="1:1" x14ac:dyDescent="0.25">
      <c r="A3234" t="s">
        <v>6203</v>
      </c>
    </row>
    <row r="3235" spans="1:1" x14ac:dyDescent="0.25">
      <c r="A3235" t="s">
        <v>4731</v>
      </c>
    </row>
    <row r="3236" spans="1:1" x14ac:dyDescent="0.25">
      <c r="A3236" t="s">
        <v>4730</v>
      </c>
    </row>
    <row r="3237" spans="1:1" x14ac:dyDescent="0.25">
      <c r="A3237" t="s">
        <v>10013</v>
      </c>
    </row>
    <row r="3238" spans="1:1" x14ac:dyDescent="0.25">
      <c r="A3238" t="s">
        <v>10431</v>
      </c>
    </row>
    <row r="3239" spans="1:1" x14ac:dyDescent="0.25">
      <c r="A3239" t="s">
        <v>10432</v>
      </c>
    </row>
    <row r="3240" spans="1:1" x14ac:dyDescent="0.25">
      <c r="A3240" t="s">
        <v>1643</v>
      </c>
    </row>
    <row r="3241" spans="1:1" x14ac:dyDescent="0.25">
      <c r="A3241" t="s">
        <v>1645</v>
      </c>
    </row>
    <row r="3242" spans="1:1" x14ac:dyDescent="0.25">
      <c r="A3242" t="s">
        <v>1647</v>
      </c>
    </row>
    <row r="3243" spans="1:1" x14ac:dyDescent="0.25">
      <c r="A3243" t="s">
        <v>10048</v>
      </c>
    </row>
    <row r="3244" spans="1:1" x14ac:dyDescent="0.25">
      <c r="A3244" t="s">
        <v>978</v>
      </c>
    </row>
    <row r="3245" spans="1:1" x14ac:dyDescent="0.25">
      <c r="A3245" t="s">
        <v>980</v>
      </c>
    </row>
    <row r="3246" spans="1:1" x14ac:dyDescent="0.25">
      <c r="A3246" t="s">
        <v>982</v>
      </c>
    </row>
    <row r="3247" spans="1:1" x14ac:dyDescent="0.25">
      <c r="A3247" t="s">
        <v>10416</v>
      </c>
    </row>
    <row r="3248" spans="1:1" x14ac:dyDescent="0.25">
      <c r="A3248" t="s">
        <v>10417</v>
      </c>
    </row>
    <row r="3249" spans="1:1" x14ac:dyDescent="0.25">
      <c r="A3249" t="s">
        <v>10418</v>
      </c>
    </row>
    <row r="3250" spans="1:1" x14ac:dyDescent="0.25">
      <c r="A3250" t="s">
        <v>1294</v>
      </c>
    </row>
    <row r="3251" spans="1:1" x14ac:dyDescent="0.25">
      <c r="A3251" t="s">
        <v>10419</v>
      </c>
    </row>
    <row r="3252" spans="1:1" x14ac:dyDescent="0.25">
      <c r="A3252" t="s">
        <v>10607</v>
      </c>
    </row>
    <row r="3253" spans="1:1" x14ac:dyDescent="0.25">
      <c r="A3253" t="s">
        <v>10608</v>
      </c>
    </row>
    <row r="3254" spans="1:1" x14ac:dyDescent="0.25">
      <c r="A3254" t="s">
        <v>10420</v>
      </c>
    </row>
    <row r="3255" spans="1:1" x14ac:dyDescent="0.25">
      <c r="A3255" t="s">
        <v>10421</v>
      </c>
    </row>
    <row r="3256" spans="1:1" x14ac:dyDescent="0.25">
      <c r="A3256" t="s">
        <v>3828</v>
      </c>
    </row>
    <row r="3257" spans="1:1" x14ac:dyDescent="0.25">
      <c r="A3257" t="s">
        <v>2554</v>
      </c>
    </row>
    <row r="3258" spans="1:1" x14ac:dyDescent="0.25">
      <c r="A3258" t="s">
        <v>10694</v>
      </c>
    </row>
    <row r="3259" spans="1:1" x14ac:dyDescent="0.25">
      <c r="A3259" t="s">
        <v>10695</v>
      </c>
    </row>
    <row r="3260" spans="1:1" x14ac:dyDescent="0.25">
      <c r="A3260" t="s">
        <v>3874</v>
      </c>
    </row>
    <row r="3261" spans="1:1" x14ac:dyDescent="0.25">
      <c r="A3261" t="s">
        <v>3157</v>
      </c>
    </row>
    <row r="3262" spans="1:1" x14ac:dyDescent="0.25">
      <c r="A3262" t="s">
        <v>3160</v>
      </c>
    </row>
    <row r="3263" spans="1:1" x14ac:dyDescent="0.25">
      <c r="A3263" t="s">
        <v>4414</v>
      </c>
    </row>
    <row r="3264" spans="1:1" x14ac:dyDescent="0.25">
      <c r="A3264" t="s">
        <v>1114</v>
      </c>
    </row>
    <row r="3265" spans="1:1" x14ac:dyDescent="0.25">
      <c r="A3265" t="s">
        <v>2809</v>
      </c>
    </row>
    <row r="3266" spans="1:1" x14ac:dyDescent="0.25">
      <c r="A3266" t="s">
        <v>2811</v>
      </c>
    </row>
    <row r="3267" spans="1:1" x14ac:dyDescent="0.25">
      <c r="A3267" t="s">
        <v>6106</v>
      </c>
    </row>
    <row r="3268" spans="1:1" x14ac:dyDescent="0.25">
      <c r="A3268" t="s">
        <v>10194</v>
      </c>
    </row>
    <row r="3269" spans="1:1" x14ac:dyDescent="0.25">
      <c r="A3269" t="s">
        <v>2720</v>
      </c>
    </row>
    <row r="3270" spans="1:1" x14ac:dyDescent="0.25">
      <c r="A3270" t="s">
        <v>10425</v>
      </c>
    </row>
    <row r="3271" spans="1:1" x14ac:dyDescent="0.25">
      <c r="A3271" t="s">
        <v>10700</v>
      </c>
    </row>
    <row r="3272" spans="1:1" x14ac:dyDescent="0.25">
      <c r="A3272" t="s">
        <v>10691</v>
      </c>
    </row>
    <row r="3273" spans="1:1" x14ac:dyDescent="0.25">
      <c r="A3273" t="s">
        <v>10699</v>
      </c>
    </row>
    <row r="3274" spans="1:1" x14ac:dyDescent="0.25">
      <c r="A3274" t="s">
        <v>10701</v>
      </c>
    </row>
    <row r="3275" spans="1:1" x14ac:dyDescent="0.25">
      <c r="A3275" t="s">
        <v>4646</v>
      </c>
    </row>
    <row r="3276" spans="1:1" x14ac:dyDescent="0.25">
      <c r="A3276" t="s">
        <v>296</v>
      </c>
    </row>
    <row r="3277" spans="1:1" x14ac:dyDescent="0.25">
      <c r="A3277" t="s">
        <v>298</v>
      </c>
    </row>
    <row r="3278" spans="1:1" x14ac:dyDescent="0.25">
      <c r="A3278" t="s">
        <v>300</v>
      </c>
    </row>
    <row r="3279" spans="1:1" x14ac:dyDescent="0.25">
      <c r="A3279" t="s">
        <v>302</v>
      </c>
    </row>
    <row r="3280" spans="1:1" x14ac:dyDescent="0.25">
      <c r="A3280" t="s">
        <v>315</v>
      </c>
    </row>
    <row r="3281" spans="1:1" x14ac:dyDescent="0.25">
      <c r="A3281" t="s">
        <v>9762</v>
      </c>
    </row>
    <row r="3282" spans="1:1" x14ac:dyDescent="0.25">
      <c r="A3282" t="s">
        <v>9761</v>
      </c>
    </row>
    <row r="3283" spans="1:1" x14ac:dyDescent="0.25">
      <c r="A3283" t="s">
        <v>10087</v>
      </c>
    </row>
    <row r="3284" spans="1:1" x14ac:dyDescent="0.25">
      <c r="A3284" t="s">
        <v>4725</v>
      </c>
    </row>
    <row r="3285" spans="1:1" x14ac:dyDescent="0.25">
      <c r="A3285" t="s">
        <v>4726</v>
      </c>
    </row>
    <row r="3286" spans="1:1" x14ac:dyDescent="0.25">
      <c r="A3286" t="s">
        <v>4727</v>
      </c>
    </row>
    <row r="3287" spans="1:1" x14ac:dyDescent="0.25">
      <c r="A3287" t="s">
        <v>4728</v>
      </c>
    </row>
    <row r="3288" spans="1:1" x14ac:dyDescent="0.25">
      <c r="A3288" t="s">
        <v>4729</v>
      </c>
    </row>
    <row r="3289" spans="1:1" x14ac:dyDescent="0.25">
      <c r="A3289" t="s">
        <v>9992</v>
      </c>
    </row>
    <row r="3290" spans="1:1" x14ac:dyDescent="0.25">
      <c r="A3290" t="s">
        <v>10005</v>
      </c>
    </row>
    <row r="3291" spans="1:1" x14ac:dyDescent="0.25">
      <c r="A3291" t="s">
        <v>4659</v>
      </c>
    </row>
    <row r="3292" spans="1:1" x14ac:dyDescent="0.25">
      <c r="A3292" t="s">
        <v>9995</v>
      </c>
    </row>
    <row r="3293" spans="1:1" x14ac:dyDescent="0.25">
      <c r="A3293" t="s">
        <v>9996</v>
      </c>
    </row>
    <row r="3294" spans="1:1" x14ac:dyDescent="0.25">
      <c r="A3294" t="s">
        <v>9997</v>
      </c>
    </row>
    <row r="3295" spans="1:1" x14ac:dyDescent="0.25">
      <c r="A3295" t="s">
        <v>9998</v>
      </c>
    </row>
    <row r="3296" spans="1:1" x14ac:dyDescent="0.25">
      <c r="A3296" t="s">
        <v>9999</v>
      </c>
    </row>
    <row r="3297" spans="1:1" x14ac:dyDescent="0.25">
      <c r="A3297" t="s">
        <v>10000</v>
      </c>
    </row>
    <row r="3298" spans="1:1" x14ac:dyDescent="0.25">
      <c r="A3298" t="s">
        <v>10001</v>
      </c>
    </row>
    <row r="3299" spans="1:1" x14ac:dyDescent="0.25">
      <c r="A3299" t="s">
        <v>10002</v>
      </c>
    </row>
    <row r="3300" spans="1:1" x14ac:dyDescent="0.25">
      <c r="A3300" t="s">
        <v>10003</v>
      </c>
    </row>
    <row r="3301" spans="1:1" x14ac:dyDescent="0.25">
      <c r="A3301" t="s">
        <v>10004</v>
      </c>
    </row>
    <row r="3302" spans="1:1" x14ac:dyDescent="0.25">
      <c r="A3302" t="s">
        <v>9985</v>
      </c>
    </row>
    <row r="3303" spans="1:1" x14ac:dyDescent="0.25">
      <c r="A3303" t="s">
        <v>9986</v>
      </c>
    </row>
    <row r="3304" spans="1:1" x14ac:dyDescent="0.25">
      <c r="A3304" t="s">
        <v>9987</v>
      </c>
    </row>
    <row r="3305" spans="1:1" x14ac:dyDescent="0.25">
      <c r="A3305" t="s">
        <v>9988</v>
      </c>
    </row>
    <row r="3306" spans="1:1" x14ac:dyDescent="0.25">
      <c r="A3306" t="s">
        <v>9989</v>
      </c>
    </row>
    <row r="3307" spans="1:1" x14ac:dyDescent="0.25">
      <c r="A3307" t="s">
        <v>9990</v>
      </c>
    </row>
    <row r="3308" spans="1:1" x14ac:dyDescent="0.25">
      <c r="A3308" t="s">
        <v>9991</v>
      </c>
    </row>
    <row r="3309" spans="1:1" x14ac:dyDescent="0.25">
      <c r="A3309" t="s">
        <v>9993</v>
      </c>
    </row>
    <row r="3310" spans="1:1" x14ac:dyDescent="0.25">
      <c r="A3310" t="s">
        <v>9994</v>
      </c>
    </row>
    <row r="3311" spans="1:1" x14ac:dyDescent="0.25">
      <c r="A3311" t="s">
        <v>10012</v>
      </c>
    </row>
    <row r="3312" spans="1:1" x14ac:dyDescent="0.25">
      <c r="A3312" t="s">
        <v>10064</v>
      </c>
    </row>
    <row r="3313" spans="1:1" x14ac:dyDescent="0.25">
      <c r="A3313" t="s">
        <v>2032</v>
      </c>
    </row>
    <row r="3314" spans="1:1" x14ac:dyDescent="0.25">
      <c r="A3314" t="s">
        <v>2028</v>
      </c>
    </row>
    <row r="3315" spans="1:1" x14ac:dyDescent="0.25">
      <c r="A3315" t="s">
        <v>2034</v>
      </c>
    </row>
    <row r="3316" spans="1:1" x14ac:dyDescent="0.25">
      <c r="A3316" t="s">
        <v>2030</v>
      </c>
    </row>
    <row r="3317" spans="1:1" x14ac:dyDescent="0.25">
      <c r="A3317" t="s">
        <v>294</v>
      </c>
    </row>
    <row r="3318" spans="1:1" x14ac:dyDescent="0.25">
      <c r="A3318" t="s">
        <v>2360</v>
      </c>
    </row>
    <row r="3319" spans="1:1" x14ac:dyDescent="0.25">
      <c r="A3319" t="s">
        <v>2362</v>
      </c>
    </row>
    <row r="3320" spans="1:1" x14ac:dyDescent="0.25">
      <c r="A3320" t="s">
        <v>3827</v>
      </c>
    </row>
    <row r="3321" spans="1:1" x14ac:dyDescent="0.25">
      <c r="A3321" t="s">
        <v>1073</v>
      </c>
    </row>
    <row r="3322" spans="1:1" x14ac:dyDescent="0.25">
      <c r="A3322" t="s">
        <v>1075</v>
      </c>
    </row>
    <row r="3323" spans="1:1" x14ac:dyDescent="0.25">
      <c r="A3323" t="s">
        <v>1078</v>
      </c>
    </row>
    <row r="3324" spans="1:1" x14ac:dyDescent="0.25">
      <c r="A3324" t="s">
        <v>3839</v>
      </c>
    </row>
    <row r="3325" spans="1:1" x14ac:dyDescent="0.25">
      <c r="A3325" t="s">
        <v>3840</v>
      </c>
    </row>
    <row r="3326" spans="1:1" x14ac:dyDescent="0.25">
      <c r="A3326" t="s">
        <v>3841</v>
      </c>
    </row>
    <row r="3327" spans="1:1" x14ac:dyDescent="0.25">
      <c r="A3327" t="s">
        <v>3842</v>
      </c>
    </row>
    <row r="3328" spans="1:1" x14ac:dyDescent="0.25">
      <c r="A3328" t="s">
        <v>9752</v>
      </c>
    </row>
    <row r="3329" spans="1:1" x14ac:dyDescent="0.25">
      <c r="A3329" t="s">
        <v>9753</v>
      </c>
    </row>
    <row r="3330" spans="1:1" x14ac:dyDescent="0.25">
      <c r="A3330" t="s">
        <v>9754</v>
      </c>
    </row>
    <row r="3331" spans="1:1" x14ac:dyDescent="0.25">
      <c r="A3331" t="s">
        <v>9755</v>
      </c>
    </row>
    <row r="3332" spans="1:1" x14ac:dyDescent="0.25">
      <c r="A3332" t="s">
        <v>9756</v>
      </c>
    </row>
    <row r="3333" spans="1:1" x14ac:dyDescent="0.25">
      <c r="A3333" t="s">
        <v>9757</v>
      </c>
    </row>
    <row r="3334" spans="1:1" x14ac:dyDescent="0.25">
      <c r="A3334" t="s">
        <v>9758</v>
      </c>
    </row>
    <row r="3335" spans="1:1" x14ac:dyDescent="0.25">
      <c r="A3335" t="s">
        <v>9759</v>
      </c>
    </row>
    <row r="3336" spans="1:1" x14ac:dyDescent="0.25">
      <c r="A3336" t="s">
        <v>9760</v>
      </c>
    </row>
    <row r="3337" spans="1:1" x14ac:dyDescent="0.25">
      <c r="A3337" t="s">
        <v>11093</v>
      </c>
    </row>
    <row r="3338" spans="1:1" x14ac:dyDescent="0.25">
      <c r="A3338" t="s">
        <v>31</v>
      </c>
    </row>
    <row r="3339" spans="1:1" x14ac:dyDescent="0.25">
      <c r="A3339" t="s">
        <v>31</v>
      </c>
    </row>
    <row r="3340" spans="1:1" x14ac:dyDescent="0.25">
      <c r="A3340" t="s">
        <v>34</v>
      </c>
    </row>
    <row r="3341" spans="1:1" x14ac:dyDescent="0.25">
      <c r="A3341" t="s">
        <v>10195</v>
      </c>
    </row>
    <row r="3342" spans="1:1" x14ac:dyDescent="0.25">
      <c r="A3342" t="s">
        <v>10314</v>
      </c>
    </row>
    <row r="3343" spans="1:1" x14ac:dyDescent="0.25">
      <c r="A3343" t="s">
        <v>10315</v>
      </c>
    </row>
    <row r="3344" spans="1:1" x14ac:dyDescent="0.25">
      <c r="A3344" t="s">
        <v>10316</v>
      </c>
    </row>
    <row r="3345" spans="1:1" x14ac:dyDescent="0.25">
      <c r="A3345" t="s">
        <v>10317</v>
      </c>
    </row>
    <row r="3346" spans="1:1" x14ac:dyDescent="0.25">
      <c r="A3346" t="s">
        <v>10318</v>
      </c>
    </row>
    <row r="3347" spans="1:1" x14ac:dyDescent="0.25">
      <c r="A3347" t="s">
        <v>10319</v>
      </c>
    </row>
    <row r="3348" spans="1:1" x14ac:dyDescent="0.25">
      <c r="A3348" t="s">
        <v>10467</v>
      </c>
    </row>
    <row r="3349" spans="1:1" x14ac:dyDescent="0.25">
      <c r="A3349" t="s">
        <v>10468</v>
      </c>
    </row>
    <row r="3350" spans="1:1" x14ac:dyDescent="0.25">
      <c r="A3350" t="s">
        <v>10466</v>
      </c>
    </row>
    <row r="3351" spans="1:1" x14ac:dyDescent="0.25">
      <c r="A3351" t="s">
        <v>3354</v>
      </c>
    </row>
    <row r="3352" spans="1:1" x14ac:dyDescent="0.25">
      <c r="A3352" t="s">
        <v>3356</v>
      </c>
    </row>
    <row r="3353" spans="1:1" x14ac:dyDescent="0.25">
      <c r="A3353" t="s">
        <v>3358</v>
      </c>
    </row>
    <row r="3354" spans="1:1" x14ac:dyDescent="0.25">
      <c r="A3354" t="s">
        <v>10479</v>
      </c>
    </row>
    <row r="3355" spans="1:1" x14ac:dyDescent="0.25">
      <c r="A3355" t="s">
        <v>10472</v>
      </c>
    </row>
    <row r="3356" spans="1:1" x14ac:dyDescent="0.25">
      <c r="A3356" t="s">
        <v>10476</v>
      </c>
    </row>
    <row r="3357" spans="1:1" x14ac:dyDescent="0.25">
      <c r="A3357" t="s">
        <v>10474</v>
      </c>
    </row>
    <row r="3358" spans="1:1" x14ac:dyDescent="0.25">
      <c r="A3358" t="s">
        <v>10477</v>
      </c>
    </row>
    <row r="3359" spans="1:1" x14ac:dyDescent="0.25">
      <c r="A3359" t="s">
        <v>10475</v>
      </c>
    </row>
    <row r="3360" spans="1:1" x14ac:dyDescent="0.25">
      <c r="A3360" t="s">
        <v>10473</v>
      </c>
    </row>
    <row r="3361" spans="1:1" x14ac:dyDescent="0.25">
      <c r="A3361" t="s">
        <v>10478</v>
      </c>
    </row>
    <row r="3362" spans="1:1" x14ac:dyDescent="0.25">
      <c r="A3362" t="s">
        <v>10471</v>
      </c>
    </row>
    <row r="3363" spans="1:1" x14ac:dyDescent="0.25">
      <c r="A3363" t="s">
        <v>3928</v>
      </c>
    </row>
    <row r="3364" spans="1:1" x14ac:dyDescent="0.25">
      <c r="A3364" t="s">
        <v>3929</v>
      </c>
    </row>
    <row r="3365" spans="1:1" x14ac:dyDescent="0.25">
      <c r="A3365" t="s">
        <v>3930</v>
      </c>
    </row>
    <row r="3366" spans="1:1" x14ac:dyDescent="0.25">
      <c r="A3366" t="s">
        <v>3931</v>
      </c>
    </row>
    <row r="3367" spans="1:1" x14ac:dyDescent="0.25">
      <c r="A3367" t="s">
        <v>3932</v>
      </c>
    </row>
    <row r="3368" spans="1:1" x14ac:dyDescent="0.25">
      <c r="A3368" t="s">
        <v>3933</v>
      </c>
    </row>
    <row r="3369" spans="1:1" x14ac:dyDescent="0.25">
      <c r="A3369" t="s">
        <v>3934</v>
      </c>
    </row>
    <row r="3370" spans="1:1" x14ac:dyDescent="0.25">
      <c r="A3370" t="s">
        <v>3935</v>
      </c>
    </row>
    <row r="3371" spans="1:1" x14ac:dyDescent="0.25">
      <c r="A3371" t="s">
        <v>38</v>
      </c>
    </row>
    <row r="3372" spans="1:1" x14ac:dyDescent="0.25">
      <c r="A3372" t="s">
        <v>40</v>
      </c>
    </row>
    <row r="3373" spans="1:1" x14ac:dyDescent="0.25">
      <c r="A3373" t="s">
        <v>36</v>
      </c>
    </row>
    <row r="3374" spans="1:1" x14ac:dyDescent="0.25">
      <c r="A3374" t="s">
        <v>10573</v>
      </c>
    </row>
    <row r="3375" spans="1:1" x14ac:dyDescent="0.25">
      <c r="A3375" t="s">
        <v>203</v>
      </c>
    </row>
    <row r="3376" spans="1:1" x14ac:dyDescent="0.25">
      <c r="A3376" t="s">
        <v>205</v>
      </c>
    </row>
    <row r="3377" spans="1:1" x14ac:dyDescent="0.25">
      <c r="A3377" t="s">
        <v>207</v>
      </c>
    </row>
    <row r="3378" spans="1:1" x14ac:dyDescent="0.25">
      <c r="A3378" t="s">
        <v>209</v>
      </c>
    </row>
    <row r="3379" spans="1:1" x14ac:dyDescent="0.25">
      <c r="A3379" t="s">
        <v>211</v>
      </c>
    </row>
    <row r="3380" spans="1:1" x14ac:dyDescent="0.25">
      <c r="A3380" t="s">
        <v>213</v>
      </c>
    </row>
    <row r="3381" spans="1:1" x14ac:dyDescent="0.25">
      <c r="A3381" t="s">
        <v>215</v>
      </c>
    </row>
    <row r="3382" spans="1:1" x14ac:dyDescent="0.25">
      <c r="A3382" t="s">
        <v>217</v>
      </c>
    </row>
    <row r="3383" spans="1:1" x14ac:dyDescent="0.25">
      <c r="A3383" t="s">
        <v>219</v>
      </c>
    </row>
    <row r="3384" spans="1:1" x14ac:dyDescent="0.25">
      <c r="A3384" t="s">
        <v>221</v>
      </c>
    </row>
    <row r="3385" spans="1:1" x14ac:dyDescent="0.25">
      <c r="A3385" t="s">
        <v>3582</v>
      </c>
    </row>
    <row r="3386" spans="1:1" x14ac:dyDescent="0.25">
      <c r="A3386" t="s">
        <v>10541</v>
      </c>
    </row>
    <row r="3387" spans="1:1" x14ac:dyDescent="0.25">
      <c r="A3387" t="s">
        <v>506</v>
      </c>
    </row>
    <row r="3388" spans="1:1" x14ac:dyDescent="0.25">
      <c r="A3388" t="s">
        <v>262</v>
      </c>
    </row>
    <row r="3389" spans="1:1" x14ac:dyDescent="0.25">
      <c r="A3389" t="s">
        <v>264</v>
      </c>
    </row>
    <row r="3390" spans="1:1" x14ac:dyDescent="0.25">
      <c r="A3390" t="s">
        <v>268</v>
      </c>
    </row>
    <row r="3391" spans="1:1" x14ac:dyDescent="0.25">
      <c r="A3391" t="s">
        <v>270</v>
      </c>
    </row>
    <row r="3392" spans="1:1" x14ac:dyDescent="0.25">
      <c r="A3392" t="s">
        <v>287</v>
      </c>
    </row>
    <row r="3393" spans="1:1" x14ac:dyDescent="0.25">
      <c r="A3393" t="s">
        <v>289</v>
      </c>
    </row>
    <row r="3394" spans="1:1" x14ac:dyDescent="0.25">
      <c r="A3394" t="s">
        <v>444</v>
      </c>
    </row>
    <row r="3395" spans="1:1" x14ac:dyDescent="0.25">
      <c r="A3395" t="s">
        <v>448</v>
      </c>
    </row>
    <row r="3396" spans="1:1" x14ac:dyDescent="0.25">
      <c r="A3396" t="s">
        <v>450</v>
      </c>
    </row>
    <row r="3397" spans="1:1" x14ac:dyDescent="0.25">
      <c r="A3397" t="s">
        <v>452</v>
      </c>
    </row>
    <row r="3398" spans="1:1" x14ac:dyDescent="0.25">
      <c r="A3398" t="s">
        <v>454</v>
      </c>
    </row>
    <row r="3399" spans="1:1" x14ac:dyDescent="0.25">
      <c r="A3399" t="s">
        <v>456</v>
      </c>
    </row>
    <row r="3400" spans="1:1" x14ac:dyDescent="0.25">
      <c r="A3400" t="s">
        <v>458</v>
      </c>
    </row>
    <row r="3401" spans="1:1" x14ac:dyDescent="0.25">
      <c r="A3401" t="s">
        <v>460</v>
      </c>
    </row>
    <row r="3402" spans="1:1" x14ac:dyDescent="0.25">
      <c r="A3402" t="s">
        <v>462</v>
      </c>
    </row>
    <row r="3403" spans="1:1" x14ac:dyDescent="0.25">
      <c r="A3403" t="s">
        <v>446</v>
      </c>
    </row>
    <row r="3404" spans="1:1" x14ac:dyDescent="0.25">
      <c r="A3404" t="s">
        <v>440</v>
      </c>
    </row>
    <row r="3405" spans="1:1" x14ac:dyDescent="0.25">
      <c r="A3405" t="s">
        <v>442</v>
      </c>
    </row>
    <row r="3406" spans="1:1" x14ac:dyDescent="0.25">
      <c r="A3406" t="s">
        <v>496</v>
      </c>
    </row>
    <row r="3407" spans="1:1" x14ac:dyDescent="0.25">
      <c r="A3407" t="s">
        <v>570</v>
      </c>
    </row>
    <row r="3408" spans="1:1" x14ac:dyDescent="0.25">
      <c r="A3408" t="s">
        <v>1196</v>
      </c>
    </row>
    <row r="3409" spans="1:1" x14ac:dyDescent="0.25">
      <c r="A3409" t="s">
        <v>1202</v>
      </c>
    </row>
    <row r="3410" spans="1:1" x14ac:dyDescent="0.25">
      <c r="A3410" t="s">
        <v>1204</v>
      </c>
    </row>
    <row r="3411" spans="1:1" x14ac:dyDescent="0.25">
      <c r="A3411" t="s">
        <v>1206</v>
      </c>
    </row>
    <row r="3412" spans="1:1" x14ac:dyDescent="0.25">
      <c r="A3412" t="s">
        <v>1208</v>
      </c>
    </row>
    <row r="3413" spans="1:1" x14ac:dyDescent="0.25">
      <c r="A3413" t="s">
        <v>10332</v>
      </c>
    </row>
    <row r="3414" spans="1:1" x14ac:dyDescent="0.25">
      <c r="A3414" t="s">
        <v>3672</v>
      </c>
    </row>
    <row r="3415" spans="1:1" x14ac:dyDescent="0.25">
      <c r="A3415" t="s">
        <v>10582</v>
      </c>
    </row>
    <row r="3416" spans="1:1" x14ac:dyDescent="0.25">
      <c r="A3416" t="s">
        <v>1493</v>
      </c>
    </row>
    <row r="3417" spans="1:1" x14ac:dyDescent="0.25">
      <c r="A3417" t="s">
        <v>1495</v>
      </c>
    </row>
    <row r="3418" spans="1:1" x14ac:dyDescent="0.25">
      <c r="A3418" t="s">
        <v>10040</v>
      </c>
    </row>
    <row r="3419" spans="1:1" x14ac:dyDescent="0.25">
      <c r="A3419" t="s">
        <v>10638</v>
      </c>
    </row>
    <row r="3420" spans="1:1" x14ac:dyDescent="0.25">
      <c r="A3420" t="s">
        <v>2589</v>
      </c>
    </row>
    <row r="3421" spans="1:1" x14ac:dyDescent="0.25">
      <c r="A3421" t="s">
        <v>2591</v>
      </c>
    </row>
    <row r="3422" spans="1:1" x14ac:dyDescent="0.25">
      <c r="A3422" t="s">
        <v>2612</v>
      </c>
    </row>
    <row r="3423" spans="1:1" x14ac:dyDescent="0.25">
      <c r="A3423" t="s">
        <v>3854</v>
      </c>
    </row>
    <row r="3424" spans="1:1" x14ac:dyDescent="0.25">
      <c r="A3424" t="s">
        <v>2672</v>
      </c>
    </row>
    <row r="3425" spans="1:1" x14ac:dyDescent="0.25">
      <c r="A3425" t="s">
        <v>3893</v>
      </c>
    </row>
    <row r="3426" spans="1:1" x14ac:dyDescent="0.25">
      <c r="A3426" t="s">
        <v>3017</v>
      </c>
    </row>
    <row r="3427" spans="1:1" x14ac:dyDescent="0.25">
      <c r="A3427" t="s">
        <v>3017</v>
      </c>
    </row>
    <row r="3428" spans="1:1" x14ac:dyDescent="0.25">
      <c r="A3428" t="s">
        <v>3019</v>
      </c>
    </row>
    <row r="3429" spans="1:1" x14ac:dyDescent="0.25">
      <c r="A3429" t="s">
        <v>3019</v>
      </c>
    </row>
    <row r="3430" spans="1:1" x14ac:dyDescent="0.25">
      <c r="A3430" t="s">
        <v>3021</v>
      </c>
    </row>
    <row r="3431" spans="1:1" x14ac:dyDescent="0.25">
      <c r="A3431" t="s">
        <v>3021</v>
      </c>
    </row>
    <row r="3432" spans="1:1" x14ac:dyDescent="0.25">
      <c r="A3432" t="s">
        <v>3023</v>
      </c>
    </row>
    <row r="3433" spans="1:1" x14ac:dyDescent="0.25">
      <c r="A3433" t="s">
        <v>4371</v>
      </c>
    </row>
    <row r="3434" spans="1:1" x14ac:dyDescent="0.25">
      <c r="A3434" t="s">
        <v>3055</v>
      </c>
    </row>
    <row r="3435" spans="1:1" x14ac:dyDescent="0.25">
      <c r="A3435" t="s">
        <v>2441</v>
      </c>
    </row>
    <row r="3436" spans="1:1" x14ac:dyDescent="0.25">
      <c r="A3436" t="s">
        <v>3053</v>
      </c>
    </row>
    <row r="3437" spans="1:1" x14ac:dyDescent="0.25">
      <c r="A3437" t="s">
        <v>3133</v>
      </c>
    </row>
    <row r="3438" spans="1:1" x14ac:dyDescent="0.25">
      <c r="A3438" t="s">
        <v>3135</v>
      </c>
    </row>
    <row r="3439" spans="1:1" x14ac:dyDescent="0.25">
      <c r="A3439" t="s">
        <v>3137</v>
      </c>
    </row>
    <row r="3440" spans="1:1" x14ac:dyDescent="0.25">
      <c r="A3440" t="s">
        <v>3139</v>
      </c>
    </row>
    <row r="3441" spans="1:1" x14ac:dyDescent="0.25">
      <c r="A3441" t="s">
        <v>3264</v>
      </c>
    </row>
    <row r="3442" spans="1:1" x14ac:dyDescent="0.25">
      <c r="A3442" t="s">
        <v>3266</v>
      </c>
    </row>
    <row r="3443" spans="1:1" x14ac:dyDescent="0.25">
      <c r="A3443" t="s">
        <v>3922</v>
      </c>
    </row>
    <row r="3444" spans="1:1" x14ac:dyDescent="0.25">
      <c r="A3444" t="s">
        <v>3413</v>
      </c>
    </row>
    <row r="3445" spans="1:1" x14ac:dyDescent="0.25">
      <c r="A3445" t="s">
        <v>3415</v>
      </c>
    </row>
    <row r="3446" spans="1:1" x14ac:dyDescent="0.25">
      <c r="A3446" t="s">
        <v>3417</v>
      </c>
    </row>
    <row r="3447" spans="1:1" x14ac:dyDescent="0.25">
      <c r="A3447" t="s">
        <v>3421</v>
      </c>
    </row>
    <row r="3448" spans="1:1" x14ac:dyDescent="0.25">
      <c r="A3448" t="s">
        <v>3423</v>
      </c>
    </row>
    <row r="3449" spans="1:1" x14ac:dyDescent="0.25">
      <c r="A3449" t="s">
        <v>3419</v>
      </c>
    </row>
    <row r="3450" spans="1:1" x14ac:dyDescent="0.25">
      <c r="A3450" t="s">
        <v>3941</v>
      </c>
    </row>
    <row r="3451" spans="1:1" x14ac:dyDescent="0.25">
      <c r="A3451" t="s">
        <v>10490</v>
      </c>
    </row>
    <row r="3452" spans="1:1" x14ac:dyDescent="0.25">
      <c r="A3452" t="s">
        <v>2218</v>
      </c>
    </row>
    <row r="3453" spans="1:1" x14ac:dyDescent="0.25">
      <c r="A3453" t="s">
        <v>3500</v>
      </c>
    </row>
    <row r="3454" spans="1:1" x14ac:dyDescent="0.25">
      <c r="A3454" t="s">
        <v>3502</v>
      </c>
    </row>
    <row r="3455" spans="1:1" x14ac:dyDescent="0.25">
      <c r="A3455" t="s">
        <v>3504</v>
      </c>
    </row>
    <row r="3456" spans="1:1" x14ac:dyDescent="0.25">
      <c r="A3456" t="s">
        <v>10115</v>
      </c>
    </row>
    <row r="3457" spans="1:1" x14ac:dyDescent="0.25">
      <c r="A3457" t="s">
        <v>3511</v>
      </c>
    </row>
    <row r="3458" spans="1:1" x14ac:dyDescent="0.25">
      <c r="A3458" t="s">
        <v>3512</v>
      </c>
    </row>
    <row r="3459" spans="1:1" x14ac:dyDescent="0.25">
      <c r="A3459" t="s">
        <v>3513</v>
      </c>
    </row>
    <row r="3460" spans="1:1" x14ac:dyDescent="0.25">
      <c r="A3460" t="s">
        <v>307</v>
      </c>
    </row>
    <row r="3461" spans="1:1" x14ac:dyDescent="0.25">
      <c r="A3461" t="s">
        <v>309</v>
      </c>
    </row>
    <row r="3462" spans="1:1" x14ac:dyDescent="0.25">
      <c r="A3462" t="s">
        <v>4619</v>
      </c>
    </row>
    <row r="3463" spans="1:1" x14ac:dyDescent="0.25">
      <c r="A3463" t="s">
        <v>4620</v>
      </c>
    </row>
    <row r="3464" spans="1:1" x14ac:dyDescent="0.25">
      <c r="A3464" t="s">
        <v>4621</v>
      </c>
    </row>
    <row r="3465" spans="1:1" x14ac:dyDescent="0.25">
      <c r="A3465" t="s">
        <v>311</v>
      </c>
    </row>
    <row r="3466" spans="1:1" x14ac:dyDescent="0.25">
      <c r="A3466" t="s">
        <v>6270</v>
      </c>
    </row>
    <row r="3467" spans="1:1" x14ac:dyDescent="0.25">
      <c r="A3467" t="s">
        <v>6269</v>
      </c>
    </row>
    <row r="3468" spans="1:1" x14ac:dyDescent="0.25">
      <c r="A3468" t="s">
        <v>11094</v>
      </c>
    </row>
    <row r="3469" spans="1:1" x14ac:dyDescent="0.25">
      <c r="A3469" t="s">
        <v>11095</v>
      </c>
    </row>
    <row r="3470" spans="1:1" x14ac:dyDescent="0.25">
      <c r="A3470" t="s">
        <v>11096</v>
      </c>
    </row>
    <row r="3471" spans="1:1" x14ac:dyDescent="0.25">
      <c r="A3471" t="s">
        <v>9820</v>
      </c>
    </row>
    <row r="3472" spans="1:1" x14ac:dyDescent="0.25">
      <c r="A3472" t="s">
        <v>9836</v>
      </c>
    </row>
    <row r="3473" spans="1:1" x14ac:dyDescent="0.25">
      <c r="A3473" t="s">
        <v>9837</v>
      </c>
    </row>
    <row r="3474" spans="1:1" x14ac:dyDescent="0.25">
      <c r="A3474" t="s">
        <v>9838</v>
      </c>
    </row>
    <row r="3475" spans="1:1" x14ac:dyDescent="0.25">
      <c r="A3475" t="s">
        <v>6312</v>
      </c>
    </row>
    <row r="3476" spans="1:1" x14ac:dyDescent="0.25">
      <c r="A3476" t="s">
        <v>10128</v>
      </c>
    </row>
    <row r="3477" spans="1:1" x14ac:dyDescent="0.25">
      <c r="A3477" t="s">
        <v>4386</v>
      </c>
    </row>
    <row r="3478" spans="1:1" x14ac:dyDescent="0.25">
      <c r="A3478" t="s">
        <v>9896</v>
      </c>
    </row>
    <row r="3479" spans="1:1" x14ac:dyDescent="0.25">
      <c r="A3479" t="s">
        <v>9897</v>
      </c>
    </row>
    <row r="3480" spans="1:1" x14ac:dyDescent="0.25">
      <c r="A3480" t="s">
        <v>9898</v>
      </c>
    </row>
    <row r="3481" spans="1:1" x14ac:dyDescent="0.25">
      <c r="A3481" t="s">
        <v>9899</v>
      </c>
    </row>
    <row r="3482" spans="1:1" x14ac:dyDescent="0.25">
      <c r="A3482" t="s">
        <v>9900</v>
      </c>
    </row>
    <row r="3483" spans="1:1" x14ac:dyDescent="0.25">
      <c r="A3483" t="s">
        <v>9901</v>
      </c>
    </row>
    <row r="3484" spans="1:1" x14ac:dyDescent="0.25">
      <c r="A3484" t="s">
        <v>9902</v>
      </c>
    </row>
    <row r="3485" spans="1:1" x14ac:dyDescent="0.25">
      <c r="A3485" t="s">
        <v>9903</v>
      </c>
    </row>
    <row r="3486" spans="1:1" x14ac:dyDescent="0.25">
      <c r="A3486" t="s">
        <v>9904</v>
      </c>
    </row>
    <row r="3487" spans="1:1" x14ac:dyDescent="0.25">
      <c r="A3487" t="s">
        <v>9905</v>
      </c>
    </row>
    <row r="3488" spans="1:1" x14ac:dyDescent="0.25">
      <c r="A3488" t="s">
        <v>9906</v>
      </c>
    </row>
    <row r="3489" spans="1:1" x14ac:dyDescent="0.25">
      <c r="A3489" t="s">
        <v>6311</v>
      </c>
    </row>
    <row r="3490" spans="1:1" x14ac:dyDescent="0.25">
      <c r="A3490" t="s">
        <v>6310</v>
      </c>
    </row>
    <row r="3491" spans="1:1" x14ac:dyDescent="0.25">
      <c r="A3491" t="s">
        <v>9923</v>
      </c>
    </row>
    <row r="3492" spans="1:1" x14ac:dyDescent="0.25">
      <c r="A3492" t="s">
        <v>10043</v>
      </c>
    </row>
    <row r="3493" spans="1:1" x14ac:dyDescent="0.25">
      <c r="A3493" t="s">
        <v>10044</v>
      </c>
    </row>
    <row r="3494" spans="1:1" x14ac:dyDescent="0.25">
      <c r="A3494" t="s">
        <v>10045</v>
      </c>
    </row>
    <row r="3495" spans="1:1" x14ac:dyDescent="0.25">
      <c r="A3495" t="s">
        <v>2901</v>
      </c>
    </row>
    <row r="3496" spans="1:1" x14ac:dyDescent="0.25">
      <c r="A3496" t="s">
        <v>4733</v>
      </c>
    </row>
    <row r="3497" spans="1:1" x14ac:dyDescent="0.25">
      <c r="A3497" t="s">
        <v>4734</v>
      </c>
    </row>
    <row r="3498" spans="1:1" x14ac:dyDescent="0.25">
      <c r="A3498" t="s">
        <v>4539</v>
      </c>
    </row>
    <row r="3499" spans="1:1" x14ac:dyDescent="0.25">
      <c r="A3499" t="s">
        <v>4540</v>
      </c>
    </row>
    <row r="3500" spans="1:1" x14ac:dyDescent="0.25">
      <c r="A3500" t="s">
        <v>4541</v>
      </c>
    </row>
    <row r="3501" spans="1:1" x14ac:dyDescent="0.25">
      <c r="A3501" t="s">
        <v>4542</v>
      </c>
    </row>
    <row r="3502" spans="1:1" x14ac:dyDescent="0.25">
      <c r="A3502" t="s">
        <v>4543</v>
      </c>
    </row>
    <row r="3503" spans="1:1" x14ac:dyDescent="0.25">
      <c r="A3503" t="s">
        <v>4544</v>
      </c>
    </row>
    <row r="3504" spans="1:1" x14ac:dyDescent="0.25">
      <c r="A3504" t="s">
        <v>4545</v>
      </c>
    </row>
    <row r="3505" spans="1:1" x14ac:dyDescent="0.25">
      <c r="A3505" t="s">
        <v>4546</v>
      </c>
    </row>
    <row r="3506" spans="1:1" x14ac:dyDescent="0.25">
      <c r="A3506" t="s">
        <v>4547</v>
      </c>
    </row>
    <row r="3507" spans="1:1" x14ac:dyDescent="0.25">
      <c r="A3507" t="s">
        <v>4548</v>
      </c>
    </row>
    <row r="3508" spans="1:1" x14ac:dyDescent="0.25">
      <c r="A3508" t="s">
        <v>4549</v>
      </c>
    </row>
    <row r="3509" spans="1:1" x14ac:dyDescent="0.25">
      <c r="A3509" t="s">
        <v>10109</v>
      </c>
    </row>
    <row r="3510" spans="1:1" x14ac:dyDescent="0.25">
      <c r="A3510" t="s">
        <v>10111</v>
      </c>
    </row>
    <row r="3511" spans="1:1" x14ac:dyDescent="0.25">
      <c r="A3511" t="s">
        <v>10110</v>
      </c>
    </row>
    <row r="3512" spans="1:1" x14ac:dyDescent="0.25">
      <c r="A3512" t="s">
        <v>2903</v>
      </c>
    </row>
    <row r="3513" spans="1:1" x14ac:dyDescent="0.25">
      <c r="A3513" t="s">
        <v>4526</v>
      </c>
    </row>
    <row r="3514" spans="1:1" x14ac:dyDescent="0.25">
      <c r="A3514" t="s">
        <v>10129</v>
      </c>
    </row>
    <row r="3515" spans="1:1" x14ac:dyDescent="0.25">
      <c r="A3515" t="s">
        <v>10130</v>
      </c>
    </row>
    <row r="3516" spans="1:1" x14ac:dyDescent="0.25">
      <c r="A3516" t="s">
        <v>11097</v>
      </c>
    </row>
    <row r="3517" spans="1:1" x14ac:dyDescent="0.25">
      <c r="A3517" t="s">
        <v>11098</v>
      </c>
    </row>
    <row r="3518" spans="1:1" x14ac:dyDescent="0.25">
      <c r="A3518" t="s">
        <v>11099</v>
      </c>
    </row>
    <row r="3519" spans="1:1" x14ac:dyDescent="0.25">
      <c r="A3519" t="s">
        <v>11100</v>
      </c>
    </row>
    <row r="3520" spans="1:1" x14ac:dyDescent="0.25">
      <c r="A3520" t="s">
        <v>11101</v>
      </c>
    </row>
    <row r="3521" spans="1:1" x14ac:dyDescent="0.25">
      <c r="A3521" t="s">
        <v>11102</v>
      </c>
    </row>
    <row r="3522" spans="1:1" x14ac:dyDescent="0.25">
      <c r="A3522" t="s">
        <v>11103</v>
      </c>
    </row>
    <row r="3523" spans="1:1" x14ac:dyDescent="0.25">
      <c r="A3523" t="s">
        <v>4508</v>
      </c>
    </row>
    <row r="3524" spans="1:1" x14ac:dyDescent="0.25">
      <c r="A3524" t="s">
        <v>4509</v>
      </c>
    </row>
    <row r="3525" spans="1:1" x14ac:dyDescent="0.25">
      <c r="A3525" t="s">
        <v>10377</v>
      </c>
    </row>
    <row r="3526" spans="1:1" x14ac:dyDescent="0.25">
      <c r="A3526" t="s">
        <v>11104</v>
      </c>
    </row>
    <row r="3527" spans="1:1" x14ac:dyDescent="0.25">
      <c r="A3527" t="s">
        <v>11105</v>
      </c>
    </row>
    <row r="3528" spans="1:1" x14ac:dyDescent="0.25">
      <c r="A3528" t="s">
        <v>11106</v>
      </c>
    </row>
    <row r="3529" spans="1:1" x14ac:dyDescent="0.25">
      <c r="A3529" t="s">
        <v>11107</v>
      </c>
    </row>
    <row r="3530" spans="1:1" x14ac:dyDescent="0.25">
      <c r="A3530" t="s">
        <v>11108</v>
      </c>
    </row>
    <row r="3531" spans="1:1" x14ac:dyDescent="0.25">
      <c r="A3531" t="s">
        <v>11109</v>
      </c>
    </row>
    <row r="3532" spans="1:1" x14ac:dyDescent="0.25">
      <c r="A3532" t="s">
        <v>11110</v>
      </c>
    </row>
    <row r="3533" spans="1:1" x14ac:dyDescent="0.25">
      <c r="A3533" t="s">
        <v>11111</v>
      </c>
    </row>
    <row r="3534" spans="1:1" x14ac:dyDescent="0.25">
      <c r="A3534" t="s">
        <v>11112</v>
      </c>
    </row>
    <row r="3535" spans="1:1" x14ac:dyDescent="0.25">
      <c r="A3535" t="s">
        <v>11113</v>
      </c>
    </row>
    <row r="3536" spans="1:1" x14ac:dyDescent="0.25">
      <c r="A3536" t="s">
        <v>11114</v>
      </c>
    </row>
    <row r="3537" spans="1:1" x14ac:dyDescent="0.25">
      <c r="A3537" t="s">
        <v>11115</v>
      </c>
    </row>
    <row r="3538" spans="1:1" x14ac:dyDescent="0.25">
      <c r="A3538" t="s">
        <v>11116</v>
      </c>
    </row>
    <row r="3539" spans="1:1" x14ac:dyDescent="0.25">
      <c r="A3539" t="s">
        <v>11117</v>
      </c>
    </row>
    <row r="3540" spans="1:1" x14ac:dyDescent="0.25">
      <c r="A3540" t="s">
        <v>11118</v>
      </c>
    </row>
    <row r="3541" spans="1:1" x14ac:dyDescent="0.25">
      <c r="A3541" t="s">
        <v>11119</v>
      </c>
    </row>
    <row r="3542" spans="1:1" x14ac:dyDescent="0.25">
      <c r="A3542" t="s">
        <v>11120</v>
      </c>
    </row>
    <row r="3543" spans="1:1" x14ac:dyDescent="0.25">
      <c r="A3543" t="s">
        <v>11121</v>
      </c>
    </row>
    <row r="3544" spans="1:1" x14ac:dyDescent="0.25">
      <c r="A3544" t="s">
        <v>11122</v>
      </c>
    </row>
    <row r="3545" spans="1:1" x14ac:dyDescent="0.25">
      <c r="A3545" t="s">
        <v>11123</v>
      </c>
    </row>
    <row r="3546" spans="1:1" x14ac:dyDescent="0.25">
      <c r="A3546" t="s">
        <v>11124</v>
      </c>
    </row>
    <row r="3547" spans="1:1" x14ac:dyDescent="0.25">
      <c r="A3547" t="s">
        <v>11125</v>
      </c>
    </row>
    <row r="3548" spans="1:1" x14ac:dyDescent="0.25">
      <c r="A3548" t="s">
        <v>11126</v>
      </c>
    </row>
    <row r="3549" spans="1:1" x14ac:dyDescent="0.25">
      <c r="A3549" t="s">
        <v>11127</v>
      </c>
    </row>
    <row r="3550" spans="1:1" x14ac:dyDescent="0.25">
      <c r="A3550" t="s">
        <v>11128</v>
      </c>
    </row>
    <row r="3551" spans="1:1" x14ac:dyDescent="0.25">
      <c r="A3551" t="s">
        <v>11129</v>
      </c>
    </row>
    <row r="3552" spans="1:1" x14ac:dyDescent="0.25">
      <c r="A3552" t="s">
        <v>3126</v>
      </c>
    </row>
    <row r="3553" spans="1:1" x14ac:dyDescent="0.25">
      <c r="A3553" t="s">
        <v>3128</v>
      </c>
    </row>
    <row r="3554" spans="1:1" x14ac:dyDescent="0.25">
      <c r="A3554" t="s">
        <v>148</v>
      </c>
    </row>
    <row r="3555" spans="1:1" x14ac:dyDescent="0.25">
      <c r="A3555" t="s">
        <v>10564</v>
      </c>
    </row>
    <row r="3556" spans="1:1" x14ac:dyDescent="0.25">
      <c r="A3556" t="s">
        <v>4601</v>
      </c>
    </row>
    <row r="3557" spans="1:1" x14ac:dyDescent="0.25">
      <c r="A3557" t="s">
        <v>10336</v>
      </c>
    </row>
    <row r="3558" spans="1:1" x14ac:dyDescent="0.25">
      <c r="A3558" t="s">
        <v>3026</v>
      </c>
    </row>
    <row r="3559" spans="1:1" x14ac:dyDescent="0.25">
      <c r="A3559" t="s">
        <v>10333</v>
      </c>
    </row>
    <row r="3560" spans="1:1" x14ac:dyDescent="0.25">
      <c r="A3560" t="s">
        <v>3755</v>
      </c>
    </row>
    <row r="3561" spans="1:1" x14ac:dyDescent="0.25">
      <c r="A3561" t="s">
        <v>1386</v>
      </c>
    </row>
    <row r="3562" spans="1:1" x14ac:dyDescent="0.25">
      <c r="A3562" t="s">
        <v>10338</v>
      </c>
    </row>
    <row r="3563" spans="1:1" x14ac:dyDescent="0.25">
      <c r="A3563" t="s">
        <v>11130</v>
      </c>
    </row>
    <row r="3564" spans="1:1" x14ac:dyDescent="0.25">
      <c r="A3564" t="s">
        <v>11131</v>
      </c>
    </row>
    <row r="3565" spans="1:1" x14ac:dyDescent="0.25">
      <c r="A3565" t="s">
        <v>2374</v>
      </c>
    </row>
    <row r="3566" spans="1:1" x14ac:dyDescent="0.25">
      <c r="A3566" t="s">
        <v>10132</v>
      </c>
    </row>
    <row r="3567" spans="1:1" x14ac:dyDescent="0.25">
      <c r="A3567" t="s">
        <v>2606</v>
      </c>
    </row>
    <row r="3568" spans="1:1" x14ac:dyDescent="0.25">
      <c r="A3568" t="s">
        <v>2610</v>
      </c>
    </row>
    <row r="3569" spans="1:1" x14ac:dyDescent="0.25">
      <c r="A3569" t="s">
        <v>3913</v>
      </c>
    </row>
    <row r="3570" spans="1:1" x14ac:dyDescent="0.25">
      <c r="A3570" t="s">
        <v>3032</v>
      </c>
    </row>
    <row r="3571" spans="1:1" x14ac:dyDescent="0.25">
      <c r="A3571" t="s">
        <v>3912</v>
      </c>
    </row>
    <row r="3572" spans="1:1" x14ac:dyDescent="0.25">
      <c r="A3572" t="s">
        <v>3912</v>
      </c>
    </row>
    <row r="3573" spans="1:1" x14ac:dyDescent="0.25">
      <c r="A3573" t="s">
        <v>3034</v>
      </c>
    </row>
    <row r="3574" spans="1:1" x14ac:dyDescent="0.25">
      <c r="A3574" t="s">
        <v>3037</v>
      </c>
    </row>
    <row r="3575" spans="1:1" x14ac:dyDescent="0.25">
      <c r="A3575" t="s">
        <v>3039</v>
      </c>
    </row>
    <row r="3576" spans="1:1" x14ac:dyDescent="0.25">
      <c r="A3576" t="s">
        <v>3041</v>
      </c>
    </row>
    <row r="3577" spans="1:1" x14ac:dyDescent="0.25">
      <c r="A3577" t="s">
        <v>3043</v>
      </c>
    </row>
    <row r="3578" spans="1:1" x14ac:dyDescent="0.25">
      <c r="A3578" t="s">
        <v>3914</v>
      </c>
    </row>
    <row r="3579" spans="1:1" x14ac:dyDescent="0.25">
      <c r="A3579" t="s">
        <v>3915</v>
      </c>
    </row>
    <row r="3580" spans="1:1" x14ac:dyDescent="0.25">
      <c r="A3580" t="s">
        <v>4418</v>
      </c>
    </row>
    <row r="3581" spans="1:1" x14ac:dyDescent="0.25">
      <c r="A3581" t="s">
        <v>10085</v>
      </c>
    </row>
    <row r="3582" spans="1:1" x14ac:dyDescent="0.25">
      <c r="A3582" t="s">
        <v>3051</v>
      </c>
    </row>
    <row r="3583" spans="1:1" x14ac:dyDescent="0.25">
      <c r="A3583" t="s">
        <v>10084</v>
      </c>
    </row>
    <row r="3584" spans="1:1" x14ac:dyDescent="0.25">
      <c r="A3584" t="s">
        <v>3344</v>
      </c>
    </row>
    <row r="3585" spans="1:1" x14ac:dyDescent="0.25">
      <c r="A3585" t="s">
        <v>3493</v>
      </c>
    </row>
    <row r="3586" spans="1:1" x14ac:dyDescent="0.25">
      <c r="A3586" t="s">
        <v>3495</v>
      </c>
    </row>
    <row r="3587" spans="1:1" x14ac:dyDescent="0.25">
      <c r="A3587" t="s">
        <v>3497</v>
      </c>
    </row>
    <row r="3588" spans="1:1" x14ac:dyDescent="0.25">
      <c r="A3588" t="s">
        <v>3992</v>
      </c>
    </row>
    <row r="3589" spans="1:1" x14ac:dyDescent="0.25">
      <c r="A3589" t="s">
        <v>4416</v>
      </c>
    </row>
    <row r="3590" spans="1:1" x14ac:dyDescent="0.25">
      <c r="A3590" t="s">
        <v>433</v>
      </c>
    </row>
    <row r="3591" spans="1:1" x14ac:dyDescent="0.25">
      <c r="A3591" t="s">
        <v>3993</v>
      </c>
    </row>
    <row r="3592" spans="1:1" x14ac:dyDescent="0.25">
      <c r="A3592" t="s">
        <v>3994</v>
      </c>
    </row>
    <row r="3593" spans="1:1" x14ac:dyDescent="0.25">
      <c r="A3593" t="s">
        <v>3995</v>
      </c>
    </row>
    <row r="3594" spans="1:1" x14ac:dyDescent="0.25">
      <c r="A3594" t="s">
        <v>3539</v>
      </c>
    </row>
    <row r="3595" spans="1:1" x14ac:dyDescent="0.25">
      <c r="A3595" t="s">
        <v>3540</v>
      </c>
    </row>
    <row r="3596" spans="1:1" x14ac:dyDescent="0.25">
      <c r="A3596" t="s">
        <v>3541</v>
      </c>
    </row>
    <row r="3597" spans="1:1" x14ac:dyDescent="0.25">
      <c r="A3597" t="s">
        <v>3590</v>
      </c>
    </row>
    <row r="3598" spans="1:1" x14ac:dyDescent="0.25">
      <c r="A3598" t="s">
        <v>3996</v>
      </c>
    </row>
    <row r="3599" spans="1:1" x14ac:dyDescent="0.25">
      <c r="A3599" t="s">
        <v>3997</v>
      </c>
    </row>
    <row r="3600" spans="1:1" x14ac:dyDescent="0.25">
      <c r="A3600" t="s">
        <v>3998</v>
      </c>
    </row>
    <row r="3601" spans="1:1" x14ac:dyDescent="0.25">
      <c r="A3601" t="s">
        <v>803</v>
      </c>
    </row>
    <row r="3602" spans="1:1" x14ac:dyDescent="0.25">
      <c r="A3602" t="s">
        <v>1905</v>
      </c>
    </row>
    <row r="3603" spans="1:1" x14ac:dyDescent="0.25">
      <c r="A3603" t="s">
        <v>1903</v>
      </c>
    </row>
    <row r="3604" spans="1:1" x14ac:dyDescent="0.25">
      <c r="A3604" t="s">
        <v>1733</v>
      </c>
    </row>
    <row r="3605" spans="1:1" x14ac:dyDescent="0.25">
      <c r="A3605" t="s">
        <v>3999</v>
      </c>
    </row>
    <row r="3606" spans="1:1" x14ac:dyDescent="0.25">
      <c r="A3606" t="s">
        <v>3665</v>
      </c>
    </row>
    <row r="3607" spans="1:1" x14ac:dyDescent="0.25">
      <c r="A3607" t="s">
        <v>1918</v>
      </c>
    </row>
    <row r="3608" spans="1:1" x14ac:dyDescent="0.25">
      <c r="A3608" t="s">
        <v>1918</v>
      </c>
    </row>
    <row r="3609" spans="1:1" x14ac:dyDescent="0.25">
      <c r="A3609" t="s">
        <v>1342</v>
      </c>
    </row>
    <row r="3610" spans="1:1" x14ac:dyDescent="0.25">
      <c r="A3610" t="s">
        <v>1344</v>
      </c>
    </row>
    <row r="3611" spans="1:1" x14ac:dyDescent="0.25">
      <c r="A3611" t="s">
        <v>3690</v>
      </c>
    </row>
    <row r="3612" spans="1:1" x14ac:dyDescent="0.25">
      <c r="A3612" t="s">
        <v>2821</v>
      </c>
    </row>
    <row r="3613" spans="1:1" x14ac:dyDescent="0.25">
      <c r="A3613" t="s">
        <v>1110</v>
      </c>
    </row>
    <row r="3614" spans="1:1" x14ac:dyDescent="0.25">
      <c r="A3614" t="s">
        <v>951</v>
      </c>
    </row>
    <row r="3615" spans="1:1" x14ac:dyDescent="0.25">
      <c r="A3615" t="s">
        <v>953</v>
      </c>
    </row>
    <row r="3616" spans="1:1" x14ac:dyDescent="0.25">
      <c r="A3616" t="s">
        <v>1573</v>
      </c>
    </row>
    <row r="3617" spans="1:1" x14ac:dyDescent="0.25">
      <c r="A3617" t="s">
        <v>1571</v>
      </c>
    </row>
    <row r="3618" spans="1:1" x14ac:dyDescent="0.25">
      <c r="A3618" t="s">
        <v>4000</v>
      </c>
    </row>
    <row r="3619" spans="1:1" x14ac:dyDescent="0.25">
      <c r="A3619" t="s">
        <v>965</v>
      </c>
    </row>
    <row r="3620" spans="1:1" x14ac:dyDescent="0.25">
      <c r="A3620" t="s">
        <v>11132</v>
      </c>
    </row>
    <row r="3621" spans="1:1" x14ac:dyDescent="0.25">
      <c r="A3621" t="s">
        <v>11133</v>
      </c>
    </row>
    <row r="3622" spans="1:1" x14ac:dyDescent="0.25">
      <c r="A3622" t="s">
        <v>1641</v>
      </c>
    </row>
    <row r="3623" spans="1:1" x14ac:dyDescent="0.25">
      <c r="A3623" t="s">
        <v>4001</v>
      </c>
    </row>
    <row r="3624" spans="1:1" x14ac:dyDescent="0.25">
      <c r="A3624" t="s">
        <v>1948</v>
      </c>
    </row>
    <row r="3625" spans="1:1" x14ac:dyDescent="0.25">
      <c r="A3625" t="s">
        <v>1948</v>
      </c>
    </row>
    <row r="3626" spans="1:1" x14ac:dyDescent="0.25">
      <c r="A3626" t="s">
        <v>2019</v>
      </c>
    </row>
    <row r="3627" spans="1:1" x14ac:dyDescent="0.25">
      <c r="A3627" t="s">
        <v>2040</v>
      </c>
    </row>
    <row r="3628" spans="1:1" x14ac:dyDescent="0.25">
      <c r="A3628" t="s">
        <v>4002</v>
      </c>
    </row>
    <row r="3629" spans="1:1" x14ac:dyDescent="0.25">
      <c r="A3629" t="s">
        <v>3770</v>
      </c>
    </row>
    <row r="3630" spans="1:1" x14ac:dyDescent="0.25">
      <c r="A3630" t="s">
        <v>876</v>
      </c>
    </row>
    <row r="3631" spans="1:1" x14ac:dyDescent="0.25">
      <c r="A3631" t="s">
        <v>4003</v>
      </c>
    </row>
    <row r="3632" spans="1:1" x14ac:dyDescent="0.25">
      <c r="A3632" t="s">
        <v>1033</v>
      </c>
    </row>
    <row r="3633" spans="1:1" x14ac:dyDescent="0.25">
      <c r="A3633" t="s">
        <v>2284</v>
      </c>
    </row>
    <row r="3634" spans="1:1" x14ac:dyDescent="0.25">
      <c r="A3634" t="s">
        <v>2286</v>
      </c>
    </row>
    <row r="3635" spans="1:1" x14ac:dyDescent="0.25">
      <c r="A3635" t="s">
        <v>2288</v>
      </c>
    </row>
    <row r="3636" spans="1:1" x14ac:dyDescent="0.25">
      <c r="A3636" t="s">
        <v>2290</v>
      </c>
    </row>
    <row r="3637" spans="1:1" x14ac:dyDescent="0.25">
      <c r="A3637" t="s">
        <v>2292</v>
      </c>
    </row>
    <row r="3638" spans="1:1" x14ac:dyDescent="0.25">
      <c r="A3638" t="s">
        <v>2294</v>
      </c>
    </row>
    <row r="3639" spans="1:1" x14ac:dyDescent="0.25">
      <c r="A3639" t="s">
        <v>2324</v>
      </c>
    </row>
    <row r="3640" spans="1:1" x14ac:dyDescent="0.25">
      <c r="A3640" t="s">
        <v>4004</v>
      </c>
    </row>
    <row r="3641" spans="1:1" x14ac:dyDescent="0.25">
      <c r="A3641" t="s">
        <v>2439</v>
      </c>
    </row>
    <row r="3642" spans="1:1" x14ac:dyDescent="0.25">
      <c r="A3642" t="s">
        <v>3833</v>
      </c>
    </row>
    <row r="3643" spans="1:1" x14ac:dyDescent="0.25">
      <c r="A3643" t="s">
        <v>3833</v>
      </c>
    </row>
    <row r="3644" spans="1:1" x14ac:dyDescent="0.25">
      <c r="A3644" t="s">
        <v>4005</v>
      </c>
    </row>
    <row r="3645" spans="1:1" x14ac:dyDescent="0.25">
      <c r="A3645" t="s">
        <v>4006</v>
      </c>
    </row>
    <row r="3646" spans="1:1" x14ac:dyDescent="0.25">
      <c r="A3646" t="s">
        <v>10614</v>
      </c>
    </row>
    <row r="3647" spans="1:1" x14ac:dyDescent="0.25">
      <c r="A3647" t="s">
        <v>2737</v>
      </c>
    </row>
    <row r="3648" spans="1:1" x14ac:dyDescent="0.25">
      <c r="A3648" t="s">
        <v>4007</v>
      </c>
    </row>
    <row r="3649" spans="1:1" x14ac:dyDescent="0.25">
      <c r="A3649" t="s">
        <v>2765</v>
      </c>
    </row>
    <row r="3650" spans="1:1" x14ac:dyDescent="0.25">
      <c r="A3650" t="s">
        <v>1102</v>
      </c>
    </row>
    <row r="3651" spans="1:1" x14ac:dyDescent="0.25">
      <c r="A3651" t="s">
        <v>4008</v>
      </c>
    </row>
    <row r="3652" spans="1:1" x14ac:dyDescent="0.25">
      <c r="A3652" t="s">
        <v>4009</v>
      </c>
    </row>
    <row r="3653" spans="1:1" x14ac:dyDescent="0.25">
      <c r="A3653" t="s">
        <v>4010</v>
      </c>
    </row>
    <row r="3654" spans="1:1" x14ac:dyDescent="0.25">
      <c r="A3654" t="s">
        <v>4011</v>
      </c>
    </row>
    <row r="3655" spans="1:1" x14ac:dyDescent="0.25">
      <c r="A3655" t="s">
        <v>4012</v>
      </c>
    </row>
    <row r="3656" spans="1:1" x14ac:dyDescent="0.25">
      <c r="A3656" t="s">
        <v>4013</v>
      </c>
    </row>
    <row r="3657" spans="1:1" x14ac:dyDescent="0.25">
      <c r="A3657" t="s">
        <v>4014</v>
      </c>
    </row>
    <row r="3658" spans="1:1" x14ac:dyDescent="0.25">
      <c r="A3658" t="s">
        <v>4015</v>
      </c>
    </row>
    <row r="3659" spans="1:1" x14ac:dyDescent="0.25">
      <c r="A3659" t="s">
        <v>4016</v>
      </c>
    </row>
    <row r="3660" spans="1:1" x14ac:dyDescent="0.25">
      <c r="A3660" t="s">
        <v>11134</v>
      </c>
    </row>
    <row r="3661" spans="1:1" x14ac:dyDescent="0.25">
      <c r="A3661" t="s">
        <v>2833</v>
      </c>
    </row>
    <row r="3662" spans="1:1" x14ac:dyDescent="0.25">
      <c r="A3662" t="s">
        <v>4017</v>
      </c>
    </row>
    <row r="3663" spans="1:1" x14ac:dyDescent="0.25">
      <c r="A3663" t="s">
        <v>4018</v>
      </c>
    </row>
    <row r="3664" spans="1:1" x14ac:dyDescent="0.25">
      <c r="A3664" t="s">
        <v>4019</v>
      </c>
    </row>
    <row r="3665" spans="1:1" x14ac:dyDescent="0.25">
      <c r="A3665" t="s">
        <v>4020</v>
      </c>
    </row>
    <row r="3666" spans="1:1" x14ac:dyDescent="0.25">
      <c r="A3666" t="s">
        <v>2937</v>
      </c>
    </row>
    <row r="3667" spans="1:1" x14ac:dyDescent="0.25">
      <c r="A3667" t="s">
        <v>3895</v>
      </c>
    </row>
    <row r="3668" spans="1:1" x14ac:dyDescent="0.25">
      <c r="A3668" t="s">
        <v>2946</v>
      </c>
    </row>
    <row r="3669" spans="1:1" x14ac:dyDescent="0.25">
      <c r="A3669" t="s">
        <v>2540</v>
      </c>
    </row>
    <row r="3670" spans="1:1" x14ac:dyDescent="0.25">
      <c r="A3670" t="s">
        <v>3921</v>
      </c>
    </row>
    <row r="3671" spans="1:1" x14ac:dyDescent="0.25">
      <c r="A3671" t="s">
        <v>3177</v>
      </c>
    </row>
    <row r="3672" spans="1:1" x14ac:dyDescent="0.25">
      <c r="A3672" t="s">
        <v>3179</v>
      </c>
    </row>
    <row r="3673" spans="1:1" x14ac:dyDescent="0.25">
      <c r="A3673" t="s">
        <v>3181</v>
      </c>
    </row>
    <row r="3674" spans="1:1" x14ac:dyDescent="0.25">
      <c r="A3674" t="s">
        <v>3183</v>
      </c>
    </row>
    <row r="3675" spans="1:1" x14ac:dyDescent="0.25">
      <c r="A3675" t="s">
        <v>3185</v>
      </c>
    </row>
    <row r="3676" spans="1:1" x14ac:dyDescent="0.25">
      <c r="A3676" t="s">
        <v>3187</v>
      </c>
    </row>
    <row r="3677" spans="1:1" x14ac:dyDescent="0.25">
      <c r="A3677" t="s">
        <v>3189</v>
      </c>
    </row>
    <row r="3678" spans="1:1" x14ac:dyDescent="0.25">
      <c r="A3678" t="s">
        <v>3196</v>
      </c>
    </row>
    <row r="3679" spans="1:1" x14ac:dyDescent="0.25">
      <c r="A3679" t="s">
        <v>3198</v>
      </c>
    </row>
    <row r="3680" spans="1:1" x14ac:dyDescent="0.25">
      <c r="A3680" t="s">
        <v>3200</v>
      </c>
    </row>
    <row r="3681" spans="1:1" x14ac:dyDescent="0.25">
      <c r="A3681" t="s">
        <v>3202</v>
      </c>
    </row>
    <row r="3682" spans="1:1" x14ac:dyDescent="0.25">
      <c r="A3682" t="s">
        <v>3204</v>
      </c>
    </row>
    <row r="3683" spans="1:1" x14ac:dyDescent="0.25">
      <c r="A3683" t="s">
        <v>4021</v>
      </c>
    </row>
    <row r="3684" spans="1:1" x14ac:dyDescent="0.25">
      <c r="A3684" t="s">
        <v>3239</v>
      </c>
    </row>
    <row r="3685" spans="1:1" x14ac:dyDescent="0.25">
      <c r="A3685" t="s">
        <v>3923</v>
      </c>
    </row>
    <row r="3686" spans="1:1" x14ac:dyDescent="0.25">
      <c r="A3686" t="s">
        <v>3937</v>
      </c>
    </row>
    <row r="3687" spans="1:1" x14ac:dyDescent="0.25">
      <c r="A3687" t="s">
        <v>1165</v>
      </c>
    </row>
    <row r="3688" spans="1:1" x14ac:dyDescent="0.25">
      <c r="A3688" t="s">
        <v>3425</v>
      </c>
    </row>
    <row r="3689" spans="1:1" x14ac:dyDescent="0.25">
      <c r="A3689" t="s">
        <v>4744</v>
      </c>
    </row>
    <row r="3690" spans="1:1" x14ac:dyDescent="0.25">
      <c r="A3690" t="s">
        <v>3427</v>
      </c>
    </row>
    <row r="3691" spans="1:1" x14ac:dyDescent="0.25">
      <c r="A3691" t="s">
        <v>1173</v>
      </c>
    </row>
    <row r="3692" spans="1:1" x14ac:dyDescent="0.25">
      <c r="A3692" t="s">
        <v>1173</v>
      </c>
    </row>
    <row r="3693" spans="1:1" x14ac:dyDescent="0.25">
      <c r="A3693" t="s">
        <v>9871</v>
      </c>
    </row>
    <row r="3694" spans="1:1" x14ac:dyDescent="0.25">
      <c r="A3694" t="s">
        <v>11135</v>
      </c>
    </row>
    <row r="3695" spans="1:1" x14ac:dyDescent="0.25">
      <c r="A3695" t="s">
        <v>11136</v>
      </c>
    </row>
    <row r="3696" spans="1:1" x14ac:dyDescent="0.25">
      <c r="A3696" t="s">
        <v>11137</v>
      </c>
    </row>
    <row r="3697" spans="1:1" x14ac:dyDescent="0.25">
      <c r="A3697" t="s">
        <v>11138</v>
      </c>
    </row>
    <row r="3698" spans="1:1" x14ac:dyDescent="0.25">
      <c r="A3698" t="s">
        <v>2723</v>
      </c>
    </row>
    <row r="3699" spans="1:1" x14ac:dyDescent="0.25">
      <c r="A3699" t="s">
        <v>1673</v>
      </c>
    </row>
    <row r="3700" spans="1:1" x14ac:dyDescent="0.25">
      <c r="A3700" t="s">
        <v>2733</v>
      </c>
    </row>
    <row r="3701" spans="1:1" x14ac:dyDescent="0.25">
      <c r="A3701" t="s">
        <v>2735</v>
      </c>
    </row>
    <row r="3702" spans="1:1" x14ac:dyDescent="0.25">
      <c r="A3702" t="s">
        <v>11139</v>
      </c>
    </row>
    <row r="3703" spans="1:1" x14ac:dyDescent="0.25">
      <c r="A3703" t="s">
        <v>10325</v>
      </c>
    </row>
    <row r="3704" spans="1:1" x14ac:dyDescent="0.25">
      <c r="A3704" t="s">
        <v>10326</v>
      </c>
    </row>
    <row r="3705" spans="1:1" x14ac:dyDescent="0.25">
      <c r="A3705" t="s">
        <v>126</v>
      </c>
    </row>
    <row r="3706" spans="1:1" x14ac:dyDescent="0.25">
      <c r="A3706" t="s">
        <v>313</v>
      </c>
    </row>
    <row r="3707" spans="1:1" x14ac:dyDescent="0.25">
      <c r="A3707" t="s">
        <v>464</v>
      </c>
    </row>
    <row r="3708" spans="1:1" x14ac:dyDescent="0.25">
      <c r="A3708" t="s">
        <v>926</v>
      </c>
    </row>
    <row r="3709" spans="1:1" x14ac:dyDescent="0.25">
      <c r="A3709" t="s">
        <v>928</v>
      </c>
    </row>
    <row r="3710" spans="1:1" x14ac:dyDescent="0.25">
      <c r="A3710" t="s">
        <v>930</v>
      </c>
    </row>
    <row r="3711" spans="1:1" x14ac:dyDescent="0.25">
      <c r="A3711" t="s">
        <v>10360</v>
      </c>
    </row>
    <row r="3712" spans="1:1" x14ac:dyDescent="0.25">
      <c r="A3712" t="s">
        <v>1424</v>
      </c>
    </row>
    <row r="3713" spans="1:1" x14ac:dyDescent="0.25">
      <c r="A3713" t="s">
        <v>3688</v>
      </c>
    </row>
    <row r="3714" spans="1:1" x14ac:dyDescent="0.25">
      <c r="A3714" t="s">
        <v>3689</v>
      </c>
    </row>
    <row r="3715" spans="1:1" x14ac:dyDescent="0.25">
      <c r="A3715" t="s">
        <v>3308</v>
      </c>
    </row>
    <row r="3716" spans="1:1" x14ac:dyDescent="0.25">
      <c r="A3716" t="s">
        <v>3302</v>
      </c>
    </row>
    <row r="3717" spans="1:1" x14ac:dyDescent="0.25">
      <c r="A3717" t="s">
        <v>3306</v>
      </c>
    </row>
    <row r="3718" spans="1:1" x14ac:dyDescent="0.25">
      <c r="A3718" t="s">
        <v>3304</v>
      </c>
    </row>
    <row r="3719" spans="1:1" x14ac:dyDescent="0.25">
      <c r="A3719" t="s">
        <v>763</v>
      </c>
    </row>
    <row r="3720" spans="1:1" x14ac:dyDescent="0.25">
      <c r="A3720" t="s">
        <v>793</v>
      </c>
    </row>
    <row r="3721" spans="1:1" x14ac:dyDescent="0.25">
      <c r="A3721" t="s">
        <v>11140</v>
      </c>
    </row>
    <row r="3722" spans="1:1" x14ac:dyDescent="0.25">
      <c r="A3722" t="s">
        <v>11141</v>
      </c>
    </row>
    <row r="3723" spans="1:1" x14ac:dyDescent="0.25">
      <c r="A3723" t="s">
        <v>10640</v>
      </c>
    </row>
    <row r="3724" spans="1:1" x14ac:dyDescent="0.25">
      <c r="A3724" t="s">
        <v>1637</v>
      </c>
    </row>
    <row r="3725" spans="1:1" x14ac:dyDescent="0.25">
      <c r="A3725" t="s">
        <v>1639</v>
      </c>
    </row>
    <row r="3726" spans="1:1" x14ac:dyDescent="0.25">
      <c r="A3726" t="s">
        <v>1649</v>
      </c>
    </row>
    <row r="3727" spans="1:1" x14ac:dyDescent="0.25">
      <c r="A3727" t="s">
        <v>1793</v>
      </c>
    </row>
    <row r="3728" spans="1:1" x14ac:dyDescent="0.25">
      <c r="A3728" t="s">
        <v>1795</v>
      </c>
    </row>
    <row r="3729" spans="1:1" x14ac:dyDescent="0.25">
      <c r="A3729" t="s">
        <v>10672</v>
      </c>
    </row>
    <row r="3730" spans="1:1" x14ac:dyDescent="0.25">
      <c r="A3730" t="s">
        <v>2122</v>
      </c>
    </row>
    <row r="3731" spans="1:1" x14ac:dyDescent="0.25">
      <c r="A3731" t="s">
        <v>3774</v>
      </c>
    </row>
    <row r="3732" spans="1:1" x14ac:dyDescent="0.25">
      <c r="A3732" t="s">
        <v>1017</v>
      </c>
    </row>
    <row r="3733" spans="1:1" x14ac:dyDescent="0.25">
      <c r="A3733" t="s">
        <v>2212</v>
      </c>
    </row>
    <row r="3734" spans="1:1" x14ac:dyDescent="0.25">
      <c r="A3734" t="s">
        <v>3310</v>
      </c>
    </row>
    <row r="3735" spans="1:1" x14ac:dyDescent="0.25">
      <c r="A3735" t="s">
        <v>2477</v>
      </c>
    </row>
    <row r="3736" spans="1:1" x14ac:dyDescent="0.25">
      <c r="A3736" t="s">
        <v>2550</v>
      </c>
    </row>
    <row r="3737" spans="1:1" x14ac:dyDescent="0.25">
      <c r="A3737" t="s">
        <v>4501</v>
      </c>
    </row>
    <row r="3738" spans="1:1" x14ac:dyDescent="0.25">
      <c r="A3738" t="s">
        <v>10397</v>
      </c>
    </row>
    <row r="3739" spans="1:1" x14ac:dyDescent="0.25">
      <c r="A3739" t="s">
        <v>10373</v>
      </c>
    </row>
    <row r="3740" spans="1:1" x14ac:dyDescent="0.25">
      <c r="A3740" t="s">
        <v>2917</v>
      </c>
    </row>
    <row r="3741" spans="1:1" x14ac:dyDescent="0.25">
      <c r="A3741" t="s">
        <v>2919</v>
      </c>
    </row>
    <row r="3742" spans="1:1" x14ac:dyDescent="0.25">
      <c r="A3742" t="s">
        <v>2921</v>
      </c>
    </row>
    <row r="3743" spans="1:1" x14ac:dyDescent="0.25">
      <c r="A3743" t="s">
        <v>2923</v>
      </c>
    </row>
    <row r="3744" spans="1:1" x14ac:dyDescent="0.25">
      <c r="A3744" t="s">
        <v>2925</v>
      </c>
    </row>
    <row r="3745" spans="1:1" x14ac:dyDescent="0.25">
      <c r="A3745" t="s">
        <v>2927</v>
      </c>
    </row>
    <row r="3746" spans="1:1" x14ac:dyDescent="0.25">
      <c r="A3746" t="s">
        <v>2929</v>
      </c>
    </row>
    <row r="3747" spans="1:1" x14ac:dyDescent="0.25">
      <c r="A3747" t="s">
        <v>3049</v>
      </c>
    </row>
    <row r="3748" spans="1:1" x14ac:dyDescent="0.25">
      <c r="A3748" t="s">
        <v>3916</v>
      </c>
    </row>
    <row r="3749" spans="1:1" x14ac:dyDescent="0.25">
      <c r="A3749" t="s">
        <v>3916</v>
      </c>
    </row>
    <row r="3750" spans="1:1" x14ac:dyDescent="0.25">
      <c r="A3750" t="s">
        <v>3260</v>
      </c>
    </row>
    <row r="3751" spans="1:1" x14ac:dyDescent="0.25">
      <c r="A3751" t="s">
        <v>3926</v>
      </c>
    </row>
    <row r="3752" spans="1:1" x14ac:dyDescent="0.25">
      <c r="A3752" t="s">
        <v>3286</v>
      </c>
    </row>
    <row r="3753" spans="1:1" x14ac:dyDescent="0.25">
      <c r="A3753" t="s">
        <v>4412</v>
      </c>
    </row>
    <row r="3754" spans="1:1" x14ac:dyDescent="0.25">
      <c r="A3754" t="s">
        <v>3288</v>
      </c>
    </row>
    <row r="3755" spans="1:1" x14ac:dyDescent="0.25">
      <c r="A3755" t="s">
        <v>3290</v>
      </c>
    </row>
    <row r="3756" spans="1:1" x14ac:dyDescent="0.25">
      <c r="A3756" t="s">
        <v>3292</v>
      </c>
    </row>
    <row r="3757" spans="1:1" x14ac:dyDescent="0.25">
      <c r="A3757" t="s">
        <v>3294</v>
      </c>
    </row>
    <row r="3758" spans="1:1" x14ac:dyDescent="0.25">
      <c r="A3758" t="s">
        <v>3296</v>
      </c>
    </row>
    <row r="3759" spans="1:1" x14ac:dyDescent="0.25">
      <c r="A3759" t="s">
        <v>3323</v>
      </c>
    </row>
    <row r="3760" spans="1:1" x14ac:dyDescent="0.25">
      <c r="A3760" t="s">
        <v>3927</v>
      </c>
    </row>
    <row r="3761" spans="1:1" x14ac:dyDescent="0.25">
      <c r="A3761" t="s">
        <v>3277</v>
      </c>
    </row>
    <row r="3762" spans="1:1" x14ac:dyDescent="0.25">
      <c r="A3762" t="s">
        <v>1158</v>
      </c>
    </row>
    <row r="3763" spans="1:1" x14ac:dyDescent="0.25">
      <c r="A3763" t="s">
        <v>10726</v>
      </c>
    </row>
    <row r="3764" spans="1:1" x14ac:dyDescent="0.25">
      <c r="A3764" t="s">
        <v>10727</v>
      </c>
    </row>
    <row r="3765" spans="1:1" x14ac:dyDescent="0.25">
      <c r="A3765" t="s">
        <v>3575</v>
      </c>
    </row>
    <row r="3766" spans="1:1" x14ac:dyDescent="0.25">
      <c r="A3766" t="s">
        <v>3576</v>
      </c>
    </row>
    <row r="3767" spans="1:1" x14ac:dyDescent="0.25">
      <c r="A3767" t="s">
        <v>4024</v>
      </c>
    </row>
    <row r="3768" spans="1:1" x14ac:dyDescent="0.25">
      <c r="A3768" t="s">
        <v>3577</v>
      </c>
    </row>
    <row r="3769" spans="1:1" x14ac:dyDescent="0.25">
      <c r="A3769" t="s">
        <v>3578</v>
      </c>
    </row>
    <row r="3770" spans="1:1" x14ac:dyDescent="0.25">
      <c r="A3770" t="s">
        <v>3579</v>
      </c>
    </row>
    <row r="3771" spans="1:1" x14ac:dyDescent="0.25">
      <c r="A3771" t="s">
        <v>3580</v>
      </c>
    </row>
    <row r="3772" spans="1:1" x14ac:dyDescent="0.25">
      <c r="A3772" t="s">
        <v>4022</v>
      </c>
    </row>
    <row r="3773" spans="1:1" x14ac:dyDescent="0.25">
      <c r="A3773" t="s">
        <v>4023</v>
      </c>
    </row>
    <row r="3774" spans="1:1" x14ac:dyDescent="0.25">
      <c r="A3774" t="s">
        <v>1857</v>
      </c>
    </row>
    <row r="3775" spans="1:1" x14ac:dyDescent="0.25">
      <c r="A3775" t="s">
        <v>1859</v>
      </c>
    </row>
    <row r="3776" spans="1:1" x14ac:dyDescent="0.25">
      <c r="A3776" t="s">
        <v>1861</v>
      </c>
    </row>
    <row r="3777" spans="1:1" x14ac:dyDescent="0.25">
      <c r="A3777" t="s">
        <v>1863</v>
      </c>
    </row>
    <row r="3778" spans="1:1" x14ac:dyDescent="0.25">
      <c r="A3778" t="s">
        <v>153</v>
      </c>
    </row>
    <row r="3779" spans="1:1" x14ac:dyDescent="0.25">
      <c r="A3779" t="s">
        <v>1276</v>
      </c>
    </row>
    <row r="3780" spans="1:1" x14ac:dyDescent="0.25">
      <c r="A3780" t="s">
        <v>1274</v>
      </c>
    </row>
    <row r="3781" spans="1:1" x14ac:dyDescent="0.25">
      <c r="A3781" t="s">
        <v>373</v>
      </c>
    </row>
    <row r="3782" spans="1:1" x14ac:dyDescent="0.25">
      <c r="A3782" t="s">
        <v>3532</v>
      </c>
    </row>
    <row r="3783" spans="1:1" x14ac:dyDescent="0.25">
      <c r="A3783" t="s">
        <v>421</v>
      </c>
    </row>
    <row r="3784" spans="1:1" x14ac:dyDescent="0.25">
      <c r="A3784" t="s">
        <v>423</v>
      </c>
    </row>
    <row r="3785" spans="1:1" x14ac:dyDescent="0.25">
      <c r="A3785" t="s">
        <v>425</v>
      </c>
    </row>
    <row r="3786" spans="1:1" x14ac:dyDescent="0.25">
      <c r="A3786" t="s">
        <v>427</v>
      </c>
    </row>
    <row r="3787" spans="1:1" x14ac:dyDescent="0.25">
      <c r="A3787" t="s">
        <v>430</v>
      </c>
    </row>
    <row r="3788" spans="1:1" x14ac:dyDescent="0.25">
      <c r="A3788" t="s">
        <v>3533</v>
      </c>
    </row>
    <row r="3789" spans="1:1" x14ac:dyDescent="0.25">
      <c r="A3789" t="s">
        <v>3534</v>
      </c>
    </row>
    <row r="3790" spans="1:1" x14ac:dyDescent="0.25">
      <c r="A3790" t="s">
        <v>863</v>
      </c>
    </row>
    <row r="3791" spans="1:1" x14ac:dyDescent="0.25">
      <c r="A3791" t="s">
        <v>4396</v>
      </c>
    </row>
    <row r="3792" spans="1:1" x14ac:dyDescent="0.25">
      <c r="A3792" t="s">
        <v>3542</v>
      </c>
    </row>
    <row r="3793" spans="1:1" x14ac:dyDescent="0.25">
      <c r="A3793" t="s">
        <v>3543</v>
      </c>
    </row>
    <row r="3794" spans="1:1" x14ac:dyDescent="0.25">
      <c r="A3794" t="s">
        <v>4395</v>
      </c>
    </row>
    <row r="3795" spans="1:1" x14ac:dyDescent="0.25">
      <c r="A3795" t="s">
        <v>1417</v>
      </c>
    </row>
    <row r="3796" spans="1:1" x14ac:dyDescent="0.25">
      <c r="A3796" t="s">
        <v>3685</v>
      </c>
    </row>
    <row r="3797" spans="1:1" x14ac:dyDescent="0.25">
      <c r="A3797" t="s">
        <v>1538</v>
      </c>
    </row>
    <row r="3798" spans="1:1" x14ac:dyDescent="0.25">
      <c r="A3798" t="s">
        <v>1616</v>
      </c>
    </row>
    <row r="3799" spans="1:1" x14ac:dyDescent="0.25">
      <c r="A3799" t="s">
        <v>1618</v>
      </c>
    </row>
    <row r="3800" spans="1:1" x14ac:dyDescent="0.25">
      <c r="A3800" t="s">
        <v>3716</v>
      </c>
    </row>
    <row r="3801" spans="1:1" x14ac:dyDescent="0.25">
      <c r="A3801" t="s">
        <v>3717</v>
      </c>
    </row>
    <row r="3802" spans="1:1" x14ac:dyDescent="0.25">
      <c r="A3802" t="s">
        <v>3718</v>
      </c>
    </row>
    <row r="3803" spans="1:1" x14ac:dyDescent="0.25">
      <c r="A3803" t="s">
        <v>1620</v>
      </c>
    </row>
    <row r="3804" spans="1:1" x14ac:dyDescent="0.25">
      <c r="A3804" t="s">
        <v>962</v>
      </c>
    </row>
    <row r="3805" spans="1:1" x14ac:dyDescent="0.25">
      <c r="A3805" t="s">
        <v>4394</v>
      </c>
    </row>
    <row r="3806" spans="1:1" x14ac:dyDescent="0.25">
      <c r="A3806" t="s">
        <v>1655</v>
      </c>
    </row>
    <row r="3807" spans="1:1" x14ac:dyDescent="0.25">
      <c r="A3807" t="s">
        <v>3740</v>
      </c>
    </row>
    <row r="3808" spans="1:1" x14ac:dyDescent="0.25">
      <c r="A3808" t="s">
        <v>1822</v>
      </c>
    </row>
    <row r="3809" spans="1:1" x14ac:dyDescent="0.25">
      <c r="A3809" t="s">
        <v>2010</v>
      </c>
    </row>
    <row r="3810" spans="1:1" x14ac:dyDescent="0.25">
      <c r="A3810" t="s">
        <v>2139</v>
      </c>
    </row>
    <row r="3811" spans="1:1" x14ac:dyDescent="0.25">
      <c r="A3811" t="s">
        <v>2452</v>
      </c>
    </row>
    <row r="3812" spans="1:1" x14ac:dyDescent="0.25">
      <c r="A3812" t="s">
        <v>2608</v>
      </c>
    </row>
    <row r="3813" spans="1:1" x14ac:dyDescent="0.25">
      <c r="A3813" t="s">
        <v>10615</v>
      </c>
    </row>
    <row r="3814" spans="1:1" x14ac:dyDescent="0.25">
      <c r="A3814" t="s">
        <v>10616</v>
      </c>
    </row>
    <row r="3815" spans="1:1" x14ac:dyDescent="0.25">
      <c r="A3815" t="s">
        <v>3891</v>
      </c>
    </row>
    <row r="3816" spans="1:1" x14ac:dyDescent="0.25">
      <c r="A3816" t="s">
        <v>10563</v>
      </c>
    </row>
    <row r="3817" spans="1:1" x14ac:dyDescent="0.25">
      <c r="A3817" t="s">
        <v>2913</v>
      </c>
    </row>
    <row r="3818" spans="1:1" x14ac:dyDescent="0.25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topLeftCell="A34" workbookViewId="0">
      <selection activeCell="A215" sqref="A215:XFD398"/>
    </sheetView>
  </sheetViews>
  <sheetFormatPr defaultRowHeight="15" x14ac:dyDescent="0.25"/>
  <cols>
    <col min="4" max="4" width="7.5703125" bestFit="1" customWidth="1"/>
    <col min="5" max="5" width="5.28515625" bestFit="1" customWidth="1"/>
    <col min="6" max="6" width="26.7109375" bestFit="1" customWidth="1"/>
  </cols>
  <sheetData>
    <row r="1" spans="1:8" ht="39.75" thickBot="1" x14ac:dyDescent="0.3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" thickBot="1" x14ac:dyDescent="0.3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" thickBot="1" x14ac:dyDescent="0.3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" thickBot="1" x14ac:dyDescent="0.3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39.75" thickBot="1" x14ac:dyDescent="0.3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" thickBot="1" x14ac:dyDescent="0.3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" thickBot="1" x14ac:dyDescent="0.3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" thickBot="1" x14ac:dyDescent="0.3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27" thickBot="1" x14ac:dyDescent="0.3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" thickBot="1" x14ac:dyDescent="0.3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39.75" thickBot="1" x14ac:dyDescent="0.3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" thickBot="1" x14ac:dyDescent="0.3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39.75" thickBot="1" x14ac:dyDescent="0.3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" thickBot="1" x14ac:dyDescent="0.3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" thickBot="1" x14ac:dyDescent="0.3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" thickBot="1" x14ac:dyDescent="0.3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" thickBot="1" x14ac:dyDescent="0.3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" thickBot="1" x14ac:dyDescent="0.3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" thickBot="1" x14ac:dyDescent="0.3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39.75" thickBot="1" x14ac:dyDescent="0.3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39.75" thickBot="1" x14ac:dyDescent="0.3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" thickBot="1" x14ac:dyDescent="0.3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39.75" thickBot="1" x14ac:dyDescent="0.3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" thickBot="1" x14ac:dyDescent="0.3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" thickBot="1" x14ac:dyDescent="0.3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" thickBot="1" x14ac:dyDescent="0.3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" thickBot="1" x14ac:dyDescent="0.3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" thickBot="1" x14ac:dyDescent="0.3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" thickBot="1" x14ac:dyDescent="0.3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" thickBot="1" x14ac:dyDescent="0.3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" thickBot="1" x14ac:dyDescent="0.3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39.75" thickBot="1" x14ac:dyDescent="0.3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" thickBot="1" x14ac:dyDescent="0.3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27" thickBot="1" x14ac:dyDescent="0.3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" thickBot="1" x14ac:dyDescent="0.3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" thickBot="1" x14ac:dyDescent="0.3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" thickBot="1" x14ac:dyDescent="0.3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" thickBot="1" x14ac:dyDescent="0.3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" thickBot="1" x14ac:dyDescent="0.3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" thickBot="1" x14ac:dyDescent="0.3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" thickBot="1" x14ac:dyDescent="0.3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" thickBot="1" x14ac:dyDescent="0.3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39.75" thickBot="1" x14ac:dyDescent="0.3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39.75" thickBot="1" x14ac:dyDescent="0.3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" thickBot="1" x14ac:dyDescent="0.3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39.75" thickBot="1" x14ac:dyDescent="0.3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39.75" thickBot="1" x14ac:dyDescent="0.3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39.75" thickBot="1" x14ac:dyDescent="0.3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" thickBot="1" x14ac:dyDescent="0.3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" thickBot="1" x14ac:dyDescent="0.3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" thickBot="1" x14ac:dyDescent="0.3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" thickBot="1" x14ac:dyDescent="0.3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39.75" thickBot="1" x14ac:dyDescent="0.3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39.75" thickBot="1" x14ac:dyDescent="0.3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39.75" thickBot="1" x14ac:dyDescent="0.3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39.75" thickBot="1" x14ac:dyDescent="0.3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39.75" thickBot="1" x14ac:dyDescent="0.3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39.75" thickBot="1" x14ac:dyDescent="0.3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39.75" thickBot="1" x14ac:dyDescent="0.3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39.75" thickBot="1" x14ac:dyDescent="0.3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39.75" thickBot="1" x14ac:dyDescent="0.3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39.75" thickBot="1" x14ac:dyDescent="0.3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39.75" thickBot="1" x14ac:dyDescent="0.3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39.75" thickBot="1" x14ac:dyDescent="0.3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39.75" thickBot="1" x14ac:dyDescent="0.3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39.75" thickBot="1" x14ac:dyDescent="0.3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39.75" thickBot="1" x14ac:dyDescent="0.3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" thickBot="1" x14ac:dyDescent="0.3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39.75" thickBot="1" x14ac:dyDescent="0.3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39.75" thickBot="1" x14ac:dyDescent="0.3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39.75" thickBot="1" x14ac:dyDescent="0.3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39.75" thickBot="1" x14ac:dyDescent="0.3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39.75" thickBot="1" x14ac:dyDescent="0.3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39.75" thickBot="1" x14ac:dyDescent="0.3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39.75" thickBot="1" x14ac:dyDescent="0.3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" thickBot="1" x14ac:dyDescent="0.3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" thickBot="1" x14ac:dyDescent="0.3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" thickBot="1" x14ac:dyDescent="0.3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39.75" thickBot="1" x14ac:dyDescent="0.3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39.75" thickBot="1" x14ac:dyDescent="0.3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39.75" thickBot="1" x14ac:dyDescent="0.3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39.75" thickBot="1" x14ac:dyDescent="0.3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39.75" thickBot="1" x14ac:dyDescent="0.3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39.75" thickBot="1" x14ac:dyDescent="0.3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39.75" thickBot="1" x14ac:dyDescent="0.3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39.75" thickBot="1" x14ac:dyDescent="0.3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39.75" thickBot="1" x14ac:dyDescent="0.3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39.75" thickBot="1" x14ac:dyDescent="0.3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39.75" thickBot="1" x14ac:dyDescent="0.3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39.75" thickBot="1" x14ac:dyDescent="0.3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39.75" thickBot="1" x14ac:dyDescent="0.3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39.75" thickBot="1" x14ac:dyDescent="0.3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39.75" thickBot="1" x14ac:dyDescent="0.3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39.75" thickBot="1" x14ac:dyDescent="0.3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" thickBot="1" x14ac:dyDescent="0.3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" thickBot="1" x14ac:dyDescent="0.3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" thickBot="1" x14ac:dyDescent="0.3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39.75" thickBot="1" x14ac:dyDescent="0.3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39.75" thickBot="1" x14ac:dyDescent="0.3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39.75" thickBot="1" x14ac:dyDescent="0.3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39.75" thickBot="1" x14ac:dyDescent="0.3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39.75" thickBot="1" x14ac:dyDescent="0.3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39.75" thickBot="1" x14ac:dyDescent="0.3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39.75" thickBot="1" x14ac:dyDescent="0.3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" thickBot="1" x14ac:dyDescent="0.3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39.75" thickBot="1" x14ac:dyDescent="0.3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" thickBot="1" x14ac:dyDescent="0.3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39.75" thickBot="1" x14ac:dyDescent="0.3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39.75" thickBot="1" x14ac:dyDescent="0.3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39.75" thickBot="1" x14ac:dyDescent="0.3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2.5" thickBot="1" x14ac:dyDescent="0.3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39.75" thickBot="1" x14ac:dyDescent="0.3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39.75" thickBot="1" x14ac:dyDescent="0.3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27" thickBot="1" x14ac:dyDescent="0.3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" thickBot="1" x14ac:dyDescent="0.3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" thickBot="1" x14ac:dyDescent="0.3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" thickBot="1" x14ac:dyDescent="0.3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39.75" thickBot="1" x14ac:dyDescent="0.3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" thickBot="1" x14ac:dyDescent="0.3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" thickBot="1" x14ac:dyDescent="0.3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" thickBot="1" x14ac:dyDescent="0.3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" thickBot="1" x14ac:dyDescent="0.3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" thickBot="1" x14ac:dyDescent="0.3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" thickBot="1" x14ac:dyDescent="0.3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" thickBot="1" x14ac:dyDescent="0.3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" thickBot="1" x14ac:dyDescent="0.3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" thickBot="1" x14ac:dyDescent="0.3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30.75" thickBot="1" x14ac:dyDescent="0.3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30.75" thickBot="1" x14ac:dyDescent="0.3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30.75" thickBot="1" x14ac:dyDescent="0.3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5.75" thickBot="1" x14ac:dyDescent="0.3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5.75" thickBot="1" x14ac:dyDescent="0.3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5.75" thickBot="1" x14ac:dyDescent="0.3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5.75" thickBot="1" x14ac:dyDescent="0.3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5.75" thickBot="1" x14ac:dyDescent="0.3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5.75" thickBot="1" x14ac:dyDescent="0.3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5.75" thickBot="1" x14ac:dyDescent="0.3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5.75" thickBot="1" x14ac:dyDescent="0.3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5.75" thickBot="1" x14ac:dyDescent="0.3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5.75" thickBot="1" x14ac:dyDescent="0.3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5.75" thickBot="1" x14ac:dyDescent="0.3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5.75" thickBot="1" x14ac:dyDescent="0.3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5.75" thickBot="1" x14ac:dyDescent="0.3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5.75" thickBot="1" x14ac:dyDescent="0.3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5.75" thickBot="1" x14ac:dyDescent="0.3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5.75" thickBot="1" x14ac:dyDescent="0.3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5.75" thickBot="1" x14ac:dyDescent="0.3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60.75" thickBot="1" x14ac:dyDescent="0.3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5.75" thickBot="1" x14ac:dyDescent="0.3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45.75" thickBot="1" x14ac:dyDescent="0.3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30.75" thickBot="1" x14ac:dyDescent="0.3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60.75" thickBot="1" x14ac:dyDescent="0.3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5.75" thickBot="1" x14ac:dyDescent="0.3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5.75" thickBot="1" x14ac:dyDescent="0.3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5.75" thickBot="1" x14ac:dyDescent="0.3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30.75" thickBot="1" x14ac:dyDescent="0.3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5.75" thickBot="1" x14ac:dyDescent="0.3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5.75" thickBot="1" x14ac:dyDescent="0.3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5.75" thickBot="1" x14ac:dyDescent="0.3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5.75" thickBot="1" x14ac:dyDescent="0.3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5.75" thickBot="1" x14ac:dyDescent="0.3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5.75" thickBot="1" x14ac:dyDescent="0.3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30.75" thickBot="1" x14ac:dyDescent="0.3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5.75" thickBot="1" x14ac:dyDescent="0.3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5.75" thickBot="1" x14ac:dyDescent="0.3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5.75" thickBot="1" x14ac:dyDescent="0.3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5.75" thickBot="1" x14ac:dyDescent="0.3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5.75" thickBot="1" x14ac:dyDescent="0.3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5.75" thickBot="1" x14ac:dyDescent="0.3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5.75" thickBot="1" x14ac:dyDescent="0.3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5.75" thickBot="1" x14ac:dyDescent="0.3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5.75" thickBot="1" x14ac:dyDescent="0.3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5.75" thickBot="1" x14ac:dyDescent="0.3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5.75" thickBot="1" x14ac:dyDescent="0.3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5.75" thickBot="1" x14ac:dyDescent="0.3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5.75" thickBot="1" x14ac:dyDescent="0.3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5.75" thickBot="1" x14ac:dyDescent="0.3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5.75" thickBot="1" x14ac:dyDescent="0.3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5.75" thickBot="1" x14ac:dyDescent="0.3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5.75" thickBot="1" x14ac:dyDescent="0.3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5.75" thickBot="1" x14ac:dyDescent="0.3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5.75" thickBot="1" x14ac:dyDescent="0.3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5.75" thickBot="1" x14ac:dyDescent="0.3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5.75" thickBot="1" x14ac:dyDescent="0.3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5.75" thickBot="1" x14ac:dyDescent="0.3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5.75" thickBot="1" x14ac:dyDescent="0.3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5.75" thickBot="1" x14ac:dyDescent="0.3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5.75" thickBot="1" x14ac:dyDescent="0.3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30.75" thickBot="1" x14ac:dyDescent="0.3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5.75" thickBot="1" x14ac:dyDescent="0.3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5.75" thickBot="1" x14ac:dyDescent="0.3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5.75" thickBot="1" x14ac:dyDescent="0.3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60.75" thickBot="1" x14ac:dyDescent="0.3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5.75" thickBot="1" x14ac:dyDescent="0.3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30.75" thickBot="1" x14ac:dyDescent="0.3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30.75" thickBot="1" x14ac:dyDescent="0.3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30.75" thickBot="1" x14ac:dyDescent="0.3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5.75" thickBot="1" x14ac:dyDescent="0.3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45.75" thickBot="1" x14ac:dyDescent="0.3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30.75" thickBot="1" x14ac:dyDescent="0.3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30.75" thickBot="1" x14ac:dyDescent="0.3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30.75" thickBot="1" x14ac:dyDescent="0.3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30.75" thickBot="1" x14ac:dyDescent="0.3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30.75" thickBot="1" x14ac:dyDescent="0.3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30.75" thickBot="1" x14ac:dyDescent="0.3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30.75" thickBot="1" x14ac:dyDescent="0.3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5.75" thickBot="1" x14ac:dyDescent="0.3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30.75" thickBot="1" x14ac:dyDescent="0.3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30.75" thickBot="1" x14ac:dyDescent="0.3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30.75" thickBot="1" x14ac:dyDescent="0.3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45.75" thickBot="1" x14ac:dyDescent="0.3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30.75" thickBot="1" x14ac:dyDescent="0.3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30.75" thickBot="1" x14ac:dyDescent="0.3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30.75" thickBot="1" x14ac:dyDescent="0.3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30.75" thickBot="1" x14ac:dyDescent="0.3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5.75" thickBot="1" x14ac:dyDescent="0.3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5.75" thickBot="1" x14ac:dyDescent="0.3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30.75" thickBot="1" x14ac:dyDescent="0.3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45.75" thickBot="1" x14ac:dyDescent="0.3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5.75" thickBot="1" x14ac:dyDescent="0.3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5.75" thickBot="1" x14ac:dyDescent="0.3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5.75" thickBot="1" x14ac:dyDescent="0.3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30.75" thickBot="1" x14ac:dyDescent="0.3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30.75" thickBot="1" x14ac:dyDescent="0.3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30.75" thickBot="1" x14ac:dyDescent="0.3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30.75" thickBot="1" x14ac:dyDescent="0.3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30.75" thickBot="1" x14ac:dyDescent="0.3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30.75" thickBot="1" x14ac:dyDescent="0.3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30.75" thickBot="1" x14ac:dyDescent="0.3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5.75" thickBot="1" x14ac:dyDescent="0.3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5.75" thickBot="1" x14ac:dyDescent="0.3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.75" thickBot="1" x14ac:dyDescent="0.3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30.75" thickBot="1" x14ac:dyDescent="0.3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5.75" thickBot="1" x14ac:dyDescent="0.3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5.75" thickBot="1" x14ac:dyDescent="0.3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5.75" thickBot="1" x14ac:dyDescent="0.3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5.75" thickBot="1" x14ac:dyDescent="0.3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30.75" thickBot="1" x14ac:dyDescent="0.3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30.75" thickBot="1" x14ac:dyDescent="0.3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30.75" thickBot="1" x14ac:dyDescent="0.3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5.75" thickBot="1" x14ac:dyDescent="0.3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5.75" thickBot="1" x14ac:dyDescent="0.3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5.75" thickBot="1" x14ac:dyDescent="0.3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5.75" thickBot="1" x14ac:dyDescent="0.3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5.75" thickBot="1" x14ac:dyDescent="0.3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5.75" thickBot="1" x14ac:dyDescent="0.3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30.75" thickBot="1" x14ac:dyDescent="0.3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5.75" thickBot="1" x14ac:dyDescent="0.3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5.75" thickBot="1" x14ac:dyDescent="0.3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30.75" thickBot="1" x14ac:dyDescent="0.3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45.75" thickBot="1" x14ac:dyDescent="0.3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30.75" thickBot="1" x14ac:dyDescent="0.3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30.75" thickBot="1" x14ac:dyDescent="0.3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5.75" thickBot="1" x14ac:dyDescent="0.3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30.75" thickBot="1" x14ac:dyDescent="0.3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30.75" thickBot="1" x14ac:dyDescent="0.3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30.75" thickBot="1" x14ac:dyDescent="0.3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30.75" thickBot="1" x14ac:dyDescent="0.3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30.75" thickBot="1" x14ac:dyDescent="0.3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30.75" thickBot="1" x14ac:dyDescent="0.3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45.75" thickBot="1" x14ac:dyDescent="0.3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30.75" thickBot="1" x14ac:dyDescent="0.3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30.75" thickBot="1" x14ac:dyDescent="0.3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5.75" thickBot="1" x14ac:dyDescent="0.3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5.75" thickBot="1" x14ac:dyDescent="0.3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30.75" thickBot="1" x14ac:dyDescent="0.3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5.75" thickBot="1" x14ac:dyDescent="0.3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5.75" thickBot="1" x14ac:dyDescent="0.3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5.75" thickBot="1" x14ac:dyDescent="0.3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5.75" thickBot="1" x14ac:dyDescent="0.3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30.75" thickBot="1" x14ac:dyDescent="0.3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5.75" thickBot="1" x14ac:dyDescent="0.3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45.75" thickBot="1" x14ac:dyDescent="0.3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5.75" thickBot="1" x14ac:dyDescent="0.3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5.75" thickBot="1" x14ac:dyDescent="0.3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30.75" thickBot="1" x14ac:dyDescent="0.3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30.75" thickBot="1" x14ac:dyDescent="0.3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5.75" thickBot="1" x14ac:dyDescent="0.3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30.75" thickBot="1" x14ac:dyDescent="0.3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30.75" thickBot="1" x14ac:dyDescent="0.3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5.75" thickBot="1" x14ac:dyDescent="0.3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30.75" thickBot="1" x14ac:dyDescent="0.3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5.75" thickBot="1" x14ac:dyDescent="0.3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30.75" thickBot="1" x14ac:dyDescent="0.3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30.75" thickBot="1" x14ac:dyDescent="0.3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5.75" thickBot="1" x14ac:dyDescent="0.3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30.75" thickBot="1" x14ac:dyDescent="0.3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5.75" thickBot="1" x14ac:dyDescent="0.3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5.75" thickBot="1" x14ac:dyDescent="0.3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5.75" thickBot="1" x14ac:dyDescent="0.3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30.75" thickBot="1" x14ac:dyDescent="0.3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30.75" thickBot="1" x14ac:dyDescent="0.3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5.75" thickBot="1" x14ac:dyDescent="0.3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30.75" thickBot="1" x14ac:dyDescent="0.3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30.75" thickBot="1" x14ac:dyDescent="0.3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5.75" thickBot="1" x14ac:dyDescent="0.3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30.75" thickBot="1" x14ac:dyDescent="0.3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5.75" thickBot="1" x14ac:dyDescent="0.3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5.75" thickBot="1" x14ac:dyDescent="0.3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5.75" thickBot="1" x14ac:dyDescent="0.3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5.75" thickBot="1" x14ac:dyDescent="0.3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30.75" thickBot="1" x14ac:dyDescent="0.3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30.75" thickBot="1" x14ac:dyDescent="0.3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5.75" thickBot="1" x14ac:dyDescent="0.3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45.75" thickBot="1" x14ac:dyDescent="0.3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5.75" thickBot="1" x14ac:dyDescent="0.3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30.75" thickBot="1" x14ac:dyDescent="0.3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5.75" thickBot="1" x14ac:dyDescent="0.3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30.75" thickBot="1" x14ac:dyDescent="0.3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30.75" thickBot="1" x14ac:dyDescent="0.3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30.75" thickBot="1" x14ac:dyDescent="0.3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30.75" thickBot="1" x14ac:dyDescent="0.3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30.75" thickBot="1" x14ac:dyDescent="0.3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5.75" thickBot="1" x14ac:dyDescent="0.3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30.75" thickBot="1" x14ac:dyDescent="0.3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5.75" thickBot="1" x14ac:dyDescent="0.3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30.75" thickBot="1" x14ac:dyDescent="0.3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5.75" thickBot="1" x14ac:dyDescent="0.3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30.75" thickBot="1" x14ac:dyDescent="0.3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30.75" thickBot="1" x14ac:dyDescent="0.3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5.75" thickBot="1" x14ac:dyDescent="0.3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30.75" thickBot="1" x14ac:dyDescent="0.3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5.75" thickBot="1" x14ac:dyDescent="0.3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45.75" thickBot="1" x14ac:dyDescent="0.3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30.75" thickBot="1" x14ac:dyDescent="0.3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30.75" thickBot="1" x14ac:dyDescent="0.3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30.75" thickBot="1" x14ac:dyDescent="0.3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30.75" thickBot="1" x14ac:dyDescent="0.3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5.75" thickBot="1" x14ac:dyDescent="0.3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5.75" thickBot="1" x14ac:dyDescent="0.3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5.75" thickBot="1" x14ac:dyDescent="0.3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5.75" thickBot="1" x14ac:dyDescent="0.3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30.75" thickBot="1" x14ac:dyDescent="0.3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30.75" thickBot="1" x14ac:dyDescent="0.3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30.75" thickBot="1" x14ac:dyDescent="0.3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30.75" thickBot="1" x14ac:dyDescent="0.3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30.75" thickBot="1" x14ac:dyDescent="0.3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30.75" thickBot="1" x14ac:dyDescent="0.3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30.75" thickBot="1" x14ac:dyDescent="0.3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30.75" thickBot="1" x14ac:dyDescent="0.3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30.75" thickBot="1" x14ac:dyDescent="0.3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30.75" thickBot="1" x14ac:dyDescent="0.3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5.75" thickBot="1" x14ac:dyDescent="0.3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5.75" thickBot="1" x14ac:dyDescent="0.3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30.75" thickBot="1" x14ac:dyDescent="0.3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30.75" thickBot="1" x14ac:dyDescent="0.3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5.75" thickBot="1" x14ac:dyDescent="0.3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5.75" thickBot="1" x14ac:dyDescent="0.3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5.75" thickBot="1" x14ac:dyDescent="0.3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30.75" thickBot="1" x14ac:dyDescent="0.3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30.75" thickBot="1" x14ac:dyDescent="0.3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30.75" thickBot="1" x14ac:dyDescent="0.3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30.75" thickBot="1" x14ac:dyDescent="0.3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5.75" thickBot="1" x14ac:dyDescent="0.3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5.75" thickBot="1" x14ac:dyDescent="0.3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5.75" thickBot="1" x14ac:dyDescent="0.3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30.75" thickBot="1" x14ac:dyDescent="0.3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30.75" thickBot="1" x14ac:dyDescent="0.3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30.75" thickBot="1" x14ac:dyDescent="0.3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5.75" thickBot="1" x14ac:dyDescent="0.3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30.75" thickBot="1" x14ac:dyDescent="0.3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30.75" thickBot="1" x14ac:dyDescent="0.3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45.75" thickBot="1" x14ac:dyDescent="0.3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30.75" thickBot="1" x14ac:dyDescent="0.3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30.75" thickBot="1" x14ac:dyDescent="0.3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5.75" thickBot="1" x14ac:dyDescent="0.3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30.75" thickBot="1" x14ac:dyDescent="0.3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5.75" thickBot="1" x14ac:dyDescent="0.3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.75" thickBot="1" x14ac:dyDescent="0.3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30.75" thickBot="1" x14ac:dyDescent="0.3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30.75" thickBot="1" x14ac:dyDescent="0.3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30.75" thickBot="1" x14ac:dyDescent="0.3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45.75" thickBot="1" x14ac:dyDescent="0.3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30.75" thickBot="1" x14ac:dyDescent="0.3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5.75" thickBot="1" x14ac:dyDescent="0.3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30.75" thickBot="1" x14ac:dyDescent="0.3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45.75" thickBot="1" x14ac:dyDescent="0.3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5.75" thickBot="1" x14ac:dyDescent="0.3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30.75" thickBot="1" x14ac:dyDescent="0.3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5.75" thickBot="1" x14ac:dyDescent="0.3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30.75" thickBot="1" x14ac:dyDescent="0.3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30.75" thickBot="1" x14ac:dyDescent="0.3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5.75" thickBot="1" x14ac:dyDescent="0.3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5.75" thickBot="1" x14ac:dyDescent="0.3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30.75" thickBot="1" x14ac:dyDescent="0.3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5.75" thickBot="1" x14ac:dyDescent="0.3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30.75" thickBot="1" x14ac:dyDescent="0.3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30.75" thickBot="1" x14ac:dyDescent="0.3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30.75" thickBot="1" x14ac:dyDescent="0.3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5.75" thickBot="1" x14ac:dyDescent="0.3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45.75" thickBot="1" x14ac:dyDescent="0.3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5.75" thickBot="1" x14ac:dyDescent="0.3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30.75" thickBot="1" x14ac:dyDescent="0.3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5.75" thickBot="1" x14ac:dyDescent="0.3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5.75" thickBot="1" x14ac:dyDescent="0.3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5.75" thickBot="1" x14ac:dyDescent="0.3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5.75" thickBot="1" x14ac:dyDescent="0.3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5.75" thickBot="1" x14ac:dyDescent="0.3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</sheetViews>
  <sheetFormatPr defaultRowHeight="15" x14ac:dyDescent="0.25"/>
  <cols>
    <col min="1" max="1" width="31.5703125" bestFit="1" customWidth="1"/>
    <col min="3" max="3" width="15.28515625" customWidth="1"/>
  </cols>
  <sheetData>
    <row r="1" spans="1:5" ht="15.75" thickBot="1" x14ac:dyDescent="0.3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.75" thickBot="1" x14ac:dyDescent="0.3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.75" thickBot="1" x14ac:dyDescent="0.3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.75" thickBot="1" x14ac:dyDescent="0.3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.75" thickBot="1" x14ac:dyDescent="0.3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.75" thickBot="1" x14ac:dyDescent="0.3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.75" thickBot="1" x14ac:dyDescent="0.3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.75" thickBot="1" x14ac:dyDescent="0.3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.75" thickBot="1" x14ac:dyDescent="0.3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.75" thickBot="1" x14ac:dyDescent="0.3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.75" thickBot="1" x14ac:dyDescent="0.3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.75" thickBot="1" x14ac:dyDescent="0.3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.75" thickBot="1" x14ac:dyDescent="0.3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.75" thickBot="1" x14ac:dyDescent="0.3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.75" thickBot="1" x14ac:dyDescent="0.3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.75" thickBot="1" x14ac:dyDescent="0.3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.75" thickBot="1" x14ac:dyDescent="0.3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.75" thickBot="1" x14ac:dyDescent="0.3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.75" thickBot="1" x14ac:dyDescent="0.3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.75" thickBot="1" x14ac:dyDescent="0.3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.75" thickBot="1" x14ac:dyDescent="0.3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.75" thickBot="1" x14ac:dyDescent="0.3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.75" thickBot="1" x14ac:dyDescent="0.3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.75" thickBot="1" x14ac:dyDescent="0.3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.75" thickBot="1" x14ac:dyDescent="0.3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.75" thickBot="1" x14ac:dyDescent="0.3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.75" thickBot="1" x14ac:dyDescent="0.3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.75" thickBot="1" x14ac:dyDescent="0.3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.75" thickBot="1" x14ac:dyDescent="0.3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.75" thickBot="1" x14ac:dyDescent="0.3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.75" thickBot="1" x14ac:dyDescent="0.3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.75" thickBot="1" x14ac:dyDescent="0.3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.75" thickBot="1" x14ac:dyDescent="0.3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.75" thickBot="1" x14ac:dyDescent="0.3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.75" thickBot="1" x14ac:dyDescent="0.3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.75" thickBot="1" x14ac:dyDescent="0.3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.75" thickBot="1" x14ac:dyDescent="0.3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.75" thickBot="1" x14ac:dyDescent="0.3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.75" thickBot="1" x14ac:dyDescent="0.3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.75" thickBot="1" x14ac:dyDescent="0.3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.75" thickBot="1" x14ac:dyDescent="0.3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.75" thickBot="1" x14ac:dyDescent="0.3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.75" thickBot="1" x14ac:dyDescent="0.3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.75" thickBot="1" x14ac:dyDescent="0.3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.75" thickBot="1" x14ac:dyDescent="0.3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.75" thickBot="1" x14ac:dyDescent="0.3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.75" thickBot="1" x14ac:dyDescent="0.3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.75" thickBot="1" x14ac:dyDescent="0.3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.75" thickBot="1" x14ac:dyDescent="0.3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.75" thickBot="1" x14ac:dyDescent="0.3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.75" thickBot="1" x14ac:dyDescent="0.3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.75" thickBot="1" x14ac:dyDescent="0.3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.75" thickBot="1" x14ac:dyDescent="0.3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.75" thickBot="1" x14ac:dyDescent="0.3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.75" thickBot="1" x14ac:dyDescent="0.3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.75" thickBot="1" x14ac:dyDescent="0.3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.75" thickBot="1" x14ac:dyDescent="0.3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.75" thickBot="1" x14ac:dyDescent="0.3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.75" thickBot="1" x14ac:dyDescent="0.3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.75" thickBot="1" x14ac:dyDescent="0.3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.75" thickBot="1" x14ac:dyDescent="0.3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.75" thickBot="1" x14ac:dyDescent="0.3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.75" thickBot="1" x14ac:dyDescent="0.3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.75" thickBot="1" x14ac:dyDescent="0.3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.75" thickBot="1" x14ac:dyDescent="0.3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.75" thickBot="1" x14ac:dyDescent="0.3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.75" thickBot="1" x14ac:dyDescent="0.3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.75" thickBot="1" x14ac:dyDescent="0.3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.75" thickBot="1" x14ac:dyDescent="0.3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.75" thickBot="1" x14ac:dyDescent="0.3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.75" thickBot="1" x14ac:dyDescent="0.3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.75" thickBot="1" x14ac:dyDescent="0.3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.75" thickBot="1" x14ac:dyDescent="0.3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.75" thickBot="1" x14ac:dyDescent="0.3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.75" thickBot="1" x14ac:dyDescent="0.3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.75" thickBot="1" x14ac:dyDescent="0.3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.75" thickBot="1" x14ac:dyDescent="0.3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.75" thickBot="1" x14ac:dyDescent="0.3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.75" thickBot="1" x14ac:dyDescent="0.3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.75" thickBot="1" x14ac:dyDescent="0.3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.75" thickBot="1" x14ac:dyDescent="0.3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.75" thickBot="1" x14ac:dyDescent="0.3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.75" thickBot="1" x14ac:dyDescent="0.3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.75" thickBot="1" x14ac:dyDescent="0.3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.75" thickBot="1" x14ac:dyDescent="0.3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.75" thickBot="1" x14ac:dyDescent="0.3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.75" thickBot="1" x14ac:dyDescent="0.3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.75" thickBot="1" x14ac:dyDescent="0.3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.75" thickBot="1" x14ac:dyDescent="0.3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.75" thickBot="1" x14ac:dyDescent="0.3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.75" thickBot="1" x14ac:dyDescent="0.3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.75" thickBot="1" x14ac:dyDescent="0.3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.75" thickBot="1" x14ac:dyDescent="0.3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.75" thickBot="1" x14ac:dyDescent="0.3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.75" thickBot="1" x14ac:dyDescent="0.3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.75" thickBot="1" x14ac:dyDescent="0.3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.75" thickBot="1" x14ac:dyDescent="0.3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.75" thickBot="1" x14ac:dyDescent="0.3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.75" thickBot="1" x14ac:dyDescent="0.3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.75" thickBot="1" x14ac:dyDescent="0.3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.75" thickBot="1" x14ac:dyDescent="0.3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.75" thickBot="1" x14ac:dyDescent="0.3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.75" thickBot="1" x14ac:dyDescent="0.3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.75" thickBot="1" x14ac:dyDescent="0.3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.75" thickBot="1" x14ac:dyDescent="0.3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.75" thickBot="1" x14ac:dyDescent="0.3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.75" thickBot="1" x14ac:dyDescent="0.3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.75" thickBot="1" x14ac:dyDescent="0.3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.75" thickBot="1" x14ac:dyDescent="0.3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.75" thickBot="1" x14ac:dyDescent="0.3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.75" thickBot="1" x14ac:dyDescent="0.3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.75" thickBot="1" x14ac:dyDescent="0.3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.75" thickBot="1" x14ac:dyDescent="0.3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.75" thickBot="1" x14ac:dyDescent="0.3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.75" thickBot="1" x14ac:dyDescent="0.3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.75" thickBot="1" x14ac:dyDescent="0.3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.75" thickBot="1" x14ac:dyDescent="0.3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.75" thickBot="1" x14ac:dyDescent="0.3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.75" thickBot="1" x14ac:dyDescent="0.3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.75" thickBot="1" x14ac:dyDescent="0.3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.75" thickBot="1" x14ac:dyDescent="0.3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.75" thickBot="1" x14ac:dyDescent="0.3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.75" thickBot="1" x14ac:dyDescent="0.3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.75" thickBot="1" x14ac:dyDescent="0.3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.75" thickBot="1" x14ac:dyDescent="0.3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.75" thickBot="1" x14ac:dyDescent="0.3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.75" thickBot="1" x14ac:dyDescent="0.3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.75" thickBot="1" x14ac:dyDescent="0.3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.75" thickBot="1" x14ac:dyDescent="0.3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.75" thickBot="1" x14ac:dyDescent="0.3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.75" thickBot="1" x14ac:dyDescent="0.3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.75" thickBot="1" x14ac:dyDescent="0.3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.75" thickBot="1" x14ac:dyDescent="0.3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.75" thickBot="1" x14ac:dyDescent="0.3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.75" thickBot="1" x14ac:dyDescent="0.3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.75" thickBot="1" x14ac:dyDescent="0.3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.75" thickBot="1" x14ac:dyDescent="0.3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.75" thickBot="1" x14ac:dyDescent="0.3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.75" thickBot="1" x14ac:dyDescent="0.3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.75" thickBot="1" x14ac:dyDescent="0.3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.75" thickBot="1" x14ac:dyDescent="0.3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.75" thickBot="1" x14ac:dyDescent="0.3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.75" thickBot="1" x14ac:dyDescent="0.3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.75" thickBot="1" x14ac:dyDescent="0.3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.75" thickBot="1" x14ac:dyDescent="0.3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.75" thickBot="1" x14ac:dyDescent="0.3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.75" thickBot="1" x14ac:dyDescent="0.3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.75" thickBot="1" x14ac:dyDescent="0.3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.75" thickBot="1" x14ac:dyDescent="0.3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.75" thickBot="1" x14ac:dyDescent="0.3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.75" thickBot="1" x14ac:dyDescent="0.3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.75" thickBot="1" x14ac:dyDescent="0.3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.75" thickBot="1" x14ac:dyDescent="0.3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.75" thickBot="1" x14ac:dyDescent="0.3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.75" thickBot="1" x14ac:dyDescent="0.3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.75" thickBot="1" x14ac:dyDescent="0.3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.75" thickBot="1" x14ac:dyDescent="0.3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.75" thickBot="1" x14ac:dyDescent="0.3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.75" thickBot="1" x14ac:dyDescent="0.3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.75" thickBot="1" x14ac:dyDescent="0.3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.75" thickBot="1" x14ac:dyDescent="0.3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.75" thickBot="1" x14ac:dyDescent="0.3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.75" thickBot="1" x14ac:dyDescent="0.3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.75" thickBot="1" x14ac:dyDescent="0.3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.75" thickBot="1" x14ac:dyDescent="0.3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.75" thickBot="1" x14ac:dyDescent="0.3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.75" thickBot="1" x14ac:dyDescent="0.3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.75" thickBot="1" x14ac:dyDescent="0.3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.75" thickBot="1" x14ac:dyDescent="0.3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.75" thickBot="1" x14ac:dyDescent="0.3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.75" thickBot="1" x14ac:dyDescent="0.3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.75" thickBot="1" x14ac:dyDescent="0.3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.75" thickBot="1" x14ac:dyDescent="0.3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.75" thickBot="1" x14ac:dyDescent="0.3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.75" thickBot="1" x14ac:dyDescent="0.3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.75" thickBot="1" x14ac:dyDescent="0.3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.75" thickBot="1" x14ac:dyDescent="0.3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.75" thickBot="1" x14ac:dyDescent="0.3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.75" thickBot="1" x14ac:dyDescent="0.3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.75" thickBot="1" x14ac:dyDescent="0.3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.75" thickBot="1" x14ac:dyDescent="0.3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.75" thickBot="1" x14ac:dyDescent="0.3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.75" thickBot="1" x14ac:dyDescent="0.3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.75" thickBot="1" x14ac:dyDescent="0.3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.75" thickBot="1" x14ac:dyDescent="0.3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.75" thickBot="1" x14ac:dyDescent="0.3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.75" thickBot="1" x14ac:dyDescent="0.3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.75" thickBot="1" x14ac:dyDescent="0.3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.75" thickBot="1" x14ac:dyDescent="0.3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.75" thickBot="1" x14ac:dyDescent="0.3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.75" thickBot="1" x14ac:dyDescent="0.3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.75" thickBot="1" x14ac:dyDescent="0.3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.75" thickBot="1" x14ac:dyDescent="0.3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.75" thickBot="1" x14ac:dyDescent="0.3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.75" thickBot="1" x14ac:dyDescent="0.3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.75" thickBot="1" x14ac:dyDescent="0.3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.75" thickBot="1" x14ac:dyDescent="0.3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.75" thickBot="1" x14ac:dyDescent="0.3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.75" thickBot="1" x14ac:dyDescent="0.3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.75" thickBot="1" x14ac:dyDescent="0.3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.75" thickBot="1" x14ac:dyDescent="0.3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.75" thickBot="1" x14ac:dyDescent="0.3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.75" thickBot="1" x14ac:dyDescent="0.3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.75" thickBot="1" x14ac:dyDescent="0.3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.75" thickBot="1" x14ac:dyDescent="0.3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.75" thickBot="1" x14ac:dyDescent="0.3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.75" thickBot="1" x14ac:dyDescent="0.3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.75" thickBot="1" x14ac:dyDescent="0.3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.75" thickBot="1" x14ac:dyDescent="0.3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.75" thickBot="1" x14ac:dyDescent="0.3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.75" thickBot="1" x14ac:dyDescent="0.3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.75" thickBot="1" x14ac:dyDescent="0.3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.75" thickBot="1" x14ac:dyDescent="0.3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.75" thickBot="1" x14ac:dyDescent="0.3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.75" thickBot="1" x14ac:dyDescent="0.3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.75" thickBot="1" x14ac:dyDescent="0.3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.75" thickBot="1" x14ac:dyDescent="0.3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.75" thickBot="1" x14ac:dyDescent="0.3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.75" thickBot="1" x14ac:dyDescent="0.3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.75" thickBot="1" x14ac:dyDescent="0.3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.75" thickBot="1" x14ac:dyDescent="0.3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.75" thickBot="1" x14ac:dyDescent="0.3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.75" thickBot="1" x14ac:dyDescent="0.3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.75" thickBot="1" x14ac:dyDescent="0.3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.75" thickBot="1" x14ac:dyDescent="0.3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.75" thickBot="1" x14ac:dyDescent="0.3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.75" thickBot="1" x14ac:dyDescent="0.3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.75" thickBot="1" x14ac:dyDescent="0.3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.75" thickBot="1" x14ac:dyDescent="0.3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.75" thickBot="1" x14ac:dyDescent="0.3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.75" thickBot="1" x14ac:dyDescent="0.3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.75" thickBot="1" x14ac:dyDescent="0.3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.75" thickBot="1" x14ac:dyDescent="0.3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.75" thickBot="1" x14ac:dyDescent="0.3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.75" thickBot="1" x14ac:dyDescent="0.3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.75" thickBot="1" x14ac:dyDescent="0.3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.75" thickBot="1" x14ac:dyDescent="0.3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.75" thickBot="1" x14ac:dyDescent="0.3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.75" thickBot="1" x14ac:dyDescent="0.3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.75" thickBot="1" x14ac:dyDescent="0.3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.75" thickBot="1" x14ac:dyDescent="0.3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.75" thickBot="1" x14ac:dyDescent="0.3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.75" thickBot="1" x14ac:dyDescent="0.3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.75" thickBot="1" x14ac:dyDescent="0.3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.75" thickBot="1" x14ac:dyDescent="0.3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.75" thickBot="1" x14ac:dyDescent="0.3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.75" thickBot="1" x14ac:dyDescent="0.3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.75" thickBot="1" x14ac:dyDescent="0.3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.75" thickBot="1" x14ac:dyDescent="0.3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.75" thickBot="1" x14ac:dyDescent="0.3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.75" thickBot="1" x14ac:dyDescent="0.3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.75" thickBot="1" x14ac:dyDescent="0.3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.75" thickBot="1" x14ac:dyDescent="0.3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.75" thickBot="1" x14ac:dyDescent="0.3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.75" thickBot="1" x14ac:dyDescent="0.3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.75" thickBot="1" x14ac:dyDescent="0.3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.75" thickBot="1" x14ac:dyDescent="0.3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.75" thickBot="1" x14ac:dyDescent="0.3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.75" thickBot="1" x14ac:dyDescent="0.3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.75" thickBot="1" x14ac:dyDescent="0.3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.75" thickBot="1" x14ac:dyDescent="0.3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.75" thickBot="1" x14ac:dyDescent="0.3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.75" thickBot="1" x14ac:dyDescent="0.3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.75" thickBot="1" x14ac:dyDescent="0.3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.75" thickBot="1" x14ac:dyDescent="0.3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.75" thickBot="1" x14ac:dyDescent="0.3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.75" thickBot="1" x14ac:dyDescent="0.3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.75" thickBot="1" x14ac:dyDescent="0.3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.75" thickBot="1" x14ac:dyDescent="0.3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.75" thickBot="1" x14ac:dyDescent="0.3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.75" thickBot="1" x14ac:dyDescent="0.3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.75" thickBot="1" x14ac:dyDescent="0.3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.75" thickBot="1" x14ac:dyDescent="0.3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.75" thickBot="1" x14ac:dyDescent="0.3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.75" thickBot="1" x14ac:dyDescent="0.3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.75" thickBot="1" x14ac:dyDescent="0.3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.75" thickBot="1" x14ac:dyDescent="0.3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.75" thickBot="1" x14ac:dyDescent="0.3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.75" thickBot="1" x14ac:dyDescent="0.3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.75" thickBot="1" x14ac:dyDescent="0.3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.75" thickBot="1" x14ac:dyDescent="0.3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.75" thickBot="1" x14ac:dyDescent="0.3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.75" thickBot="1" x14ac:dyDescent="0.3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.75" thickBot="1" x14ac:dyDescent="0.3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.75" thickBot="1" x14ac:dyDescent="0.3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.75" thickBot="1" x14ac:dyDescent="0.3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.75" thickBot="1" x14ac:dyDescent="0.3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.75" thickBot="1" x14ac:dyDescent="0.3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.75" thickBot="1" x14ac:dyDescent="0.3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.75" thickBot="1" x14ac:dyDescent="0.3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.75" thickBot="1" x14ac:dyDescent="0.3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.75" thickBot="1" x14ac:dyDescent="0.3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.75" thickBot="1" x14ac:dyDescent="0.3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.75" thickBot="1" x14ac:dyDescent="0.3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.75" thickBot="1" x14ac:dyDescent="0.3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.75" thickBot="1" x14ac:dyDescent="0.3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.75" thickBot="1" x14ac:dyDescent="0.3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.75" thickBot="1" x14ac:dyDescent="0.3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.75" thickBot="1" x14ac:dyDescent="0.3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.75" thickBot="1" x14ac:dyDescent="0.3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.75" thickBot="1" x14ac:dyDescent="0.3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.75" thickBot="1" x14ac:dyDescent="0.3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.75" thickBot="1" x14ac:dyDescent="0.3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.75" thickBot="1" x14ac:dyDescent="0.3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.75" thickBot="1" x14ac:dyDescent="0.3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.75" thickBot="1" x14ac:dyDescent="0.3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.75" thickBot="1" x14ac:dyDescent="0.3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.75" thickBot="1" x14ac:dyDescent="0.3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.75" thickBot="1" x14ac:dyDescent="0.3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.75" thickBot="1" x14ac:dyDescent="0.3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.75" thickBot="1" x14ac:dyDescent="0.3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.75" thickBot="1" x14ac:dyDescent="0.3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.75" thickBot="1" x14ac:dyDescent="0.3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.75" thickBot="1" x14ac:dyDescent="0.3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.75" thickBot="1" x14ac:dyDescent="0.3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.75" thickBot="1" x14ac:dyDescent="0.3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.75" thickBot="1" x14ac:dyDescent="0.3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.75" thickBot="1" x14ac:dyDescent="0.3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.75" thickBot="1" x14ac:dyDescent="0.3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.75" thickBot="1" x14ac:dyDescent="0.3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.75" thickBot="1" x14ac:dyDescent="0.3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.75" thickBot="1" x14ac:dyDescent="0.3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.75" thickBot="1" x14ac:dyDescent="0.3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.75" thickBot="1" x14ac:dyDescent="0.3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.75" thickBot="1" x14ac:dyDescent="0.3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.75" thickBot="1" x14ac:dyDescent="0.3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.75" thickBot="1" x14ac:dyDescent="0.3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.75" thickBot="1" x14ac:dyDescent="0.3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.75" thickBot="1" x14ac:dyDescent="0.3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.75" thickBot="1" x14ac:dyDescent="0.3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.75" thickBot="1" x14ac:dyDescent="0.3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.75" thickBot="1" x14ac:dyDescent="0.3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.75" thickBot="1" x14ac:dyDescent="0.3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.75" thickBot="1" x14ac:dyDescent="0.3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.75" thickBot="1" x14ac:dyDescent="0.3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.75" thickBot="1" x14ac:dyDescent="0.3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.75" thickBot="1" x14ac:dyDescent="0.3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.75" thickBot="1" x14ac:dyDescent="0.3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.75" thickBot="1" x14ac:dyDescent="0.3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.75" thickBot="1" x14ac:dyDescent="0.3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.75" thickBot="1" x14ac:dyDescent="0.3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.75" thickBot="1" x14ac:dyDescent="0.3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.75" thickBot="1" x14ac:dyDescent="0.3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.75" thickBot="1" x14ac:dyDescent="0.3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.75" thickBot="1" x14ac:dyDescent="0.3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.75" thickBot="1" x14ac:dyDescent="0.3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.75" thickBot="1" x14ac:dyDescent="0.3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.75" thickBot="1" x14ac:dyDescent="0.3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.75" thickBot="1" x14ac:dyDescent="0.3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.75" thickBot="1" x14ac:dyDescent="0.3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.75" thickBot="1" x14ac:dyDescent="0.3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.75" thickBot="1" x14ac:dyDescent="0.3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.75" thickBot="1" x14ac:dyDescent="0.3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.75" thickBot="1" x14ac:dyDescent="0.3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.75" thickBot="1" x14ac:dyDescent="0.3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.75" thickBot="1" x14ac:dyDescent="0.3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.75" thickBot="1" x14ac:dyDescent="0.3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.75" thickBot="1" x14ac:dyDescent="0.3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.75" thickBot="1" x14ac:dyDescent="0.3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.75" thickBot="1" x14ac:dyDescent="0.3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.75" thickBot="1" x14ac:dyDescent="0.3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.75" thickBot="1" x14ac:dyDescent="0.3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.75" thickBot="1" x14ac:dyDescent="0.3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.75" thickBot="1" x14ac:dyDescent="0.3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.75" thickBot="1" x14ac:dyDescent="0.3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.75" thickBot="1" x14ac:dyDescent="0.3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.75" thickBot="1" x14ac:dyDescent="0.3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.75" thickBot="1" x14ac:dyDescent="0.3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.75" thickBot="1" x14ac:dyDescent="0.3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.75" thickBot="1" x14ac:dyDescent="0.3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.75" thickBot="1" x14ac:dyDescent="0.3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.75" thickBot="1" x14ac:dyDescent="0.3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.75" thickBot="1" x14ac:dyDescent="0.3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.75" thickBot="1" x14ac:dyDescent="0.3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.75" thickBot="1" x14ac:dyDescent="0.3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.75" thickBot="1" x14ac:dyDescent="0.3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.75" thickBot="1" x14ac:dyDescent="0.3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.75" thickBot="1" x14ac:dyDescent="0.3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.75" thickBot="1" x14ac:dyDescent="0.3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.75" thickBot="1" x14ac:dyDescent="0.3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.75" thickBot="1" x14ac:dyDescent="0.3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.75" thickBot="1" x14ac:dyDescent="0.3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.75" thickBot="1" x14ac:dyDescent="0.3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.75" thickBot="1" x14ac:dyDescent="0.3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.75" thickBot="1" x14ac:dyDescent="0.3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.75" thickBot="1" x14ac:dyDescent="0.3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.75" thickBot="1" x14ac:dyDescent="0.3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.75" thickBot="1" x14ac:dyDescent="0.3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.75" thickBot="1" x14ac:dyDescent="0.3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.75" thickBot="1" x14ac:dyDescent="0.3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.75" thickBot="1" x14ac:dyDescent="0.3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.75" thickBot="1" x14ac:dyDescent="0.3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.75" thickBot="1" x14ac:dyDescent="0.3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.75" thickBot="1" x14ac:dyDescent="0.3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.75" thickBot="1" x14ac:dyDescent="0.3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.75" thickBot="1" x14ac:dyDescent="0.3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.75" thickBot="1" x14ac:dyDescent="0.3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.75" thickBot="1" x14ac:dyDescent="0.3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.75" thickBot="1" x14ac:dyDescent="0.3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.75" thickBot="1" x14ac:dyDescent="0.3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.75" thickBot="1" x14ac:dyDescent="0.3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.75" thickBot="1" x14ac:dyDescent="0.3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.75" thickBot="1" x14ac:dyDescent="0.3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.75" thickBot="1" x14ac:dyDescent="0.3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.75" thickBot="1" x14ac:dyDescent="0.3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.75" thickBot="1" x14ac:dyDescent="0.3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.75" thickBot="1" x14ac:dyDescent="0.3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.75" thickBot="1" x14ac:dyDescent="0.3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.75" thickBot="1" x14ac:dyDescent="0.3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.75" thickBot="1" x14ac:dyDescent="0.3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.75" thickBot="1" x14ac:dyDescent="0.3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.75" thickBot="1" x14ac:dyDescent="0.3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.75" thickBot="1" x14ac:dyDescent="0.3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.75" thickBot="1" x14ac:dyDescent="0.3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.75" thickBot="1" x14ac:dyDescent="0.3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.75" thickBot="1" x14ac:dyDescent="0.3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.75" thickBot="1" x14ac:dyDescent="0.3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.75" thickBot="1" x14ac:dyDescent="0.3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.75" thickBot="1" x14ac:dyDescent="0.3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.75" thickBot="1" x14ac:dyDescent="0.3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.75" thickBot="1" x14ac:dyDescent="0.3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.75" thickBot="1" x14ac:dyDescent="0.3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.75" thickBot="1" x14ac:dyDescent="0.3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.75" thickBot="1" x14ac:dyDescent="0.3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.75" thickBot="1" x14ac:dyDescent="0.3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.75" thickBot="1" x14ac:dyDescent="0.3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.75" thickBot="1" x14ac:dyDescent="0.3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.75" thickBot="1" x14ac:dyDescent="0.3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.75" thickBot="1" x14ac:dyDescent="0.3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.75" thickBot="1" x14ac:dyDescent="0.3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.75" thickBot="1" x14ac:dyDescent="0.3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.75" thickBot="1" x14ac:dyDescent="0.3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.75" thickBot="1" x14ac:dyDescent="0.3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.75" thickBot="1" x14ac:dyDescent="0.3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.75" thickBot="1" x14ac:dyDescent="0.3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.75" thickBot="1" x14ac:dyDescent="0.3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.75" thickBot="1" x14ac:dyDescent="0.3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.75" thickBot="1" x14ac:dyDescent="0.3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.75" thickBot="1" x14ac:dyDescent="0.3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.75" thickBot="1" x14ac:dyDescent="0.3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.75" thickBot="1" x14ac:dyDescent="0.3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.75" thickBot="1" x14ac:dyDescent="0.3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.75" thickBot="1" x14ac:dyDescent="0.3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.75" thickBot="1" x14ac:dyDescent="0.3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.75" thickBot="1" x14ac:dyDescent="0.3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.75" thickBot="1" x14ac:dyDescent="0.3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.75" thickBot="1" x14ac:dyDescent="0.3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.75" thickBot="1" x14ac:dyDescent="0.3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.75" thickBot="1" x14ac:dyDescent="0.3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.75" thickBot="1" x14ac:dyDescent="0.3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.75" thickBot="1" x14ac:dyDescent="0.3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.75" thickBot="1" x14ac:dyDescent="0.3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.75" thickBot="1" x14ac:dyDescent="0.3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.75" thickBot="1" x14ac:dyDescent="0.3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.75" thickBot="1" x14ac:dyDescent="0.3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.75" thickBot="1" x14ac:dyDescent="0.3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.75" thickBot="1" x14ac:dyDescent="0.3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.75" thickBot="1" x14ac:dyDescent="0.3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.75" thickBot="1" x14ac:dyDescent="0.3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.75" thickBot="1" x14ac:dyDescent="0.3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.75" thickBot="1" x14ac:dyDescent="0.3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.75" thickBot="1" x14ac:dyDescent="0.3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.75" thickBot="1" x14ac:dyDescent="0.3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.75" thickBot="1" x14ac:dyDescent="0.3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.75" thickBot="1" x14ac:dyDescent="0.3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.75" thickBot="1" x14ac:dyDescent="0.3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.75" thickBot="1" x14ac:dyDescent="0.3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.75" thickBot="1" x14ac:dyDescent="0.3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.75" thickBot="1" x14ac:dyDescent="0.3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.75" thickBot="1" x14ac:dyDescent="0.3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.75" thickBot="1" x14ac:dyDescent="0.3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.75" thickBot="1" x14ac:dyDescent="0.3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.75" thickBot="1" x14ac:dyDescent="0.3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.75" thickBot="1" x14ac:dyDescent="0.3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.75" thickBot="1" x14ac:dyDescent="0.3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.75" thickBot="1" x14ac:dyDescent="0.3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.75" thickBot="1" x14ac:dyDescent="0.3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.75" thickBot="1" x14ac:dyDescent="0.3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.75" thickBot="1" x14ac:dyDescent="0.3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.75" thickBot="1" x14ac:dyDescent="0.3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.75" thickBot="1" x14ac:dyDescent="0.3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.75" thickBot="1" x14ac:dyDescent="0.3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.75" thickBot="1" x14ac:dyDescent="0.3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.75" thickBot="1" x14ac:dyDescent="0.3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.75" thickBot="1" x14ac:dyDescent="0.3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.75" thickBot="1" x14ac:dyDescent="0.3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.75" thickBot="1" x14ac:dyDescent="0.3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.75" thickBot="1" x14ac:dyDescent="0.3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.75" thickBot="1" x14ac:dyDescent="0.3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.75" thickBot="1" x14ac:dyDescent="0.3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.75" thickBot="1" x14ac:dyDescent="0.3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.75" thickBot="1" x14ac:dyDescent="0.3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.75" thickBot="1" x14ac:dyDescent="0.3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.75" thickBot="1" x14ac:dyDescent="0.3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.75" thickBot="1" x14ac:dyDescent="0.3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.75" thickBot="1" x14ac:dyDescent="0.3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.75" thickBot="1" x14ac:dyDescent="0.3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.75" thickBot="1" x14ac:dyDescent="0.3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.75" thickBot="1" x14ac:dyDescent="0.3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.75" thickBot="1" x14ac:dyDescent="0.3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.75" thickBot="1" x14ac:dyDescent="0.3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.75" thickBot="1" x14ac:dyDescent="0.3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.75" thickBot="1" x14ac:dyDescent="0.3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.75" thickBot="1" x14ac:dyDescent="0.3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.75" thickBot="1" x14ac:dyDescent="0.3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.75" thickBot="1" x14ac:dyDescent="0.3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.75" thickBot="1" x14ac:dyDescent="0.3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.75" thickBot="1" x14ac:dyDescent="0.3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.75" thickBot="1" x14ac:dyDescent="0.3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.75" thickBot="1" x14ac:dyDescent="0.3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.75" thickBot="1" x14ac:dyDescent="0.3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.75" thickBot="1" x14ac:dyDescent="0.3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.75" thickBot="1" x14ac:dyDescent="0.3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.75" thickBot="1" x14ac:dyDescent="0.3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.75" thickBot="1" x14ac:dyDescent="0.3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.75" thickBot="1" x14ac:dyDescent="0.3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.75" thickBot="1" x14ac:dyDescent="0.3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.75" thickBot="1" x14ac:dyDescent="0.3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.75" thickBot="1" x14ac:dyDescent="0.3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.75" thickBot="1" x14ac:dyDescent="0.3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.75" thickBot="1" x14ac:dyDescent="0.3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.75" thickBot="1" x14ac:dyDescent="0.3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.75" thickBot="1" x14ac:dyDescent="0.3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.75" thickBot="1" x14ac:dyDescent="0.3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.75" thickBot="1" x14ac:dyDescent="0.3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.75" thickBot="1" x14ac:dyDescent="0.3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.75" thickBot="1" x14ac:dyDescent="0.3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.75" thickBot="1" x14ac:dyDescent="0.3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.75" thickBot="1" x14ac:dyDescent="0.3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.75" thickBot="1" x14ac:dyDescent="0.3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.75" thickBot="1" x14ac:dyDescent="0.3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.75" thickBot="1" x14ac:dyDescent="0.3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.75" thickBot="1" x14ac:dyDescent="0.3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.75" thickBot="1" x14ac:dyDescent="0.3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.75" thickBot="1" x14ac:dyDescent="0.3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.75" thickBot="1" x14ac:dyDescent="0.3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.75" thickBot="1" x14ac:dyDescent="0.3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.75" thickBot="1" x14ac:dyDescent="0.3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.75" thickBot="1" x14ac:dyDescent="0.3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.75" thickBot="1" x14ac:dyDescent="0.3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.75" thickBot="1" x14ac:dyDescent="0.3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.75" thickBot="1" x14ac:dyDescent="0.3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.75" thickBot="1" x14ac:dyDescent="0.3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.75" thickBot="1" x14ac:dyDescent="0.3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.75" thickBot="1" x14ac:dyDescent="0.3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.75" thickBot="1" x14ac:dyDescent="0.3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.75" thickBot="1" x14ac:dyDescent="0.3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.75" thickBot="1" x14ac:dyDescent="0.3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.75" thickBot="1" x14ac:dyDescent="0.3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.75" thickBot="1" x14ac:dyDescent="0.3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.75" thickBot="1" x14ac:dyDescent="0.3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.75" thickBot="1" x14ac:dyDescent="0.3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.75" thickBot="1" x14ac:dyDescent="0.3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.75" thickBot="1" x14ac:dyDescent="0.3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.75" thickBot="1" x14ac:dyDescent="0.3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.75" thickBot="1" x14ac:dyDescent="0.3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.75" thickBot="1" x14ac:dyDescent="0.3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.75" thickBot="1" x14ac:dyDescent="0.3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.75" thickBot="1" x14ac:dyDescent="0.3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.75" thickBot="1" x14ac:dyDescent="0.3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.75" thickBot="1" x14ac:dyDescent="0.3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.75" thickBot="1" x14ac:dyDescent="0.3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.75" thickBot="1" x14ac:dyDescent="0.3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.75" thickBot="1" x14ac:dyDescent="0.3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.75" thickBot="1" x14ac:dyDescent="0.3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.75" thickBot="1" x14ac:dyDescent="0.3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.75" thickBot="1" x14ac:dyDescent="0.3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.75" thickBot="1" x14ac:dyDescent="0.3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.75" thickBot="1" x14ac:dyDescent="0.3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.75" thickBot="1" x14ac:dyDescent="0.3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.75" thickBot="1" x14ac:dyDescent="0.3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.75" thickBot="1" x14ac:dyDescent="0.3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.75" thickBot="1" x14ac:dyDescent="0.3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.75" thickBot="1" x14ac:dyDescent="0.3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.75" thickBot="1" x14ac:dyDescent="0.3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.75" thickBot="1" x14ac:dyDescent="0.3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.75" thickBot="1" x14ac:dyDescent="0.3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.75" thickBot="1" x14ac:dyDescent="0.3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.75" thickBot="1" x14ac:dyDescent="0.3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.75" thickBot="1" x14ac:dyDescent="0.3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.75" thickBot="1" x14ac:dyDescent="0.3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.75" thickBot="1" x14ac:dyDescent="0.3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.75" thickBot="1" x14ac:dyDescent="0.3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.75" thickBot="1" x14ac:dyDescent="0.3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.75" thickBot="1" x14ac:dyDescent="0.3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.75" thickBot="1" x14ac:dyDescent="0.3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.75" thickBot="1" x14ac:dyDescent="0.3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.75" thickBot="1" x14ac:dyDescent="0.3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.75" thickBot="1" x14ac:dyDescent="0.3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.75" thickBot="1" x14ac:dyDescent="0.3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.75" thickBot="1" x14ac:dyDescent="0.3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.75" thickBot="1" x14ac:dyDescent="0.3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.75" thickBot="1" x14ac:dyDescent="0.3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.75" thickBot="1" x14ac:dyDescent="0.3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.75" thickBot="1" x14ac:dyDescent="0.3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.75" thickBot="1" x14ac:dyDescent="0.3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.75" thickBot="1" x14ac:dyDescent="0.3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.75" thickBot="1" x14ac:dyDescent="0.3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.75" thickBot="1" x14ac:dyDescent="0.3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.75" thickBot="1" x14ac:dyDescent="0.3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.75" thickBot="1" x14ac:dyDescent="0.3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.75" thickBot="1" x14ac:dyDescent="0.3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.75" thickBot="1" x14ac:dyDescent="0.3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.75" thickBot="1" x14ac:dyDescent="0.3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.75" thickBot="1" x14ac:dyDescent="0.3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.75" thickBot="1" x14ac:dyDescent="0.3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.75" thickBot="1" x14ac:dyDescent="0.3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.75" thickBot="1" x14ac:dyDescent="0.3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.75" thickBot="1" x14ac:dyDescent="0.3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.75" thickBot="1" x14ac:dyDescent="0.3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.75" thickBot="1" x14ac:dyDescent="0.3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.75" thickBot="1" x14ac:dyDescent="0.3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.75" thickBot="1" x14ac:dyDescent="0.3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.75" thickBot="1" x14ac:dyDescent="0.3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.75" thickBot="1" x14ac:dyDescent="0.3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.75" thickBot="1" x14ac:dyDescent="0.3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.75" thickBot="1" x14ac:dyDescent="0.3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.75" thickBot="1" x14ac:dyDescent="0.3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.75" thickBot="1" x14ac:dyDescent="0.3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.75" thickBot="1" x14ac:dyDescent="0.3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.75" thickBot="1" x14ac:dyDescent="0.3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.75" thickBot="1" x14ac:dyDescent="0.3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.75" thickBot="1" x14ac:dyDescent="0.3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.75" thickBot="1" x14ac:dyDescent="0.3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.75" thickBot="1" x14ac:dyDescent="0.3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.75" thickBot="1" x14ac:dyDescent="0.3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.75" thickBot="1" x14ac:dyDescent="0.3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.75" thickBot="1" x14ac:dyDescent="0.3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.75" thickBot="1" x14ac:dyDescent="0.3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.75" thickBot="1" x14ac:dyDescent="0.3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.75" thickBot="1" x14ac:dyDescent="0.3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.75" thickBot="1" x14ac:dyDescent="0.3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.75" thickBot="1" x14ac:dyDescent="0.3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.75" thickBot="1" x14ac:dyDescent="0.3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.75" thickBot="1" x14ac:dyDescent="0.3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.75" thickBot="1" x14ac:dyDescent="0.3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.75" thickBot="1" x14ac:dyDescent="0.3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.75" thickBot="1" x14ac:dyDescent="0.3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.75" thickBot="1" x14ac:dyDescent="0.3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.75" thickBot="1" x14ac:dyDescent="0.3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.75" thickBot="1" x14ac:dyDescent="0.3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.75" thickBot="1" x14ac:dyDescent="0.3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.75" thickBot="1" x14ac:dyDescent="0.3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.75" thickBot="1" x14ac:dyDescent="0.3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.75" thickBot="1" x14ac:dyDescent="0.3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.75" thickBot="1" x14ac:dyDescent="0.3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.75" thickBot="1" x14ac:dyDescent="0.3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.75" thickBot="1" x14ac:dyDescent="0.3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.75" thickBot="1" x14ac:dyDescent="0.3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.75" thickBot="1" x14ac:dyDescent="0.3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.75" thickBot="1" x14ac:dyDescent="0.3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.75" thickBot="1" x14ac:dyDescent="0.3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.75" thickBot="1" x14ac:dyDescent="0.3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.75" thickBot="1" x14ac:dyDescent="0.3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.75" thickBot="1" x14ac:dyDescent="0.3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.75" thickBot="1" x14ac:dyDescent="0.3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.75" thickBot="1" x14ac:dyDescent="0.3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.75" thickBot="1" x14ac:dyDescent="0.3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.75" thickBot="1" x14ac:dyDescent="0.3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.75" thickBot="1" x14ac:dyDescent="0.3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.75" thickBot="1" x14ac:dyDescent="0.3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.75" thickBot="1" x14ac:dyDescent="0.3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.75" thickBot="1" x14ac:dyDescent="0.3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.75" thickBot="1" x14ac:dyDescent="0.3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.75" thickBot="1" x14ac:dyDescent="0.3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.75" thickBot="1" x14ac:dyDescent="0.3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.75" thickBot="1" x14ac:dyDescent="0.3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.75" thickBot="1" x14ac:dyDescent="0.3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.75" thickBot="1" x14ac:dyDescent="0.3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.75" thickBot="1" x14ac:dyDescent="0.3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.75" thickBot="1" x14ac:dyDescent="0.3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.75" thickBot="1" x14ac:dyDescent="0.3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.75" thickBot="1" x14ac:dyDescent="0.3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.75" thickBot="1" x14ac:dyDescent="0.3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.75" thickBot="1" x14ac:dyDescent="0.3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.75" thickBot="1" x14ac:dyDescent="0.3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.75" thickBot="1" x14ac:dyDescent="0.3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.75" thickBot="1" x14ac:dyDescent="0.3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.75" thickBot="1" x14ac:dyDescent="0.3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.75" thickBot="1" x14ac:dyDescent="0.3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.75" thickBot="1" x14ac:dyDescent="0.3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.75" thickBot="1" x14ac:dyDescent="0.3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.75" thickBot="1" x14ac:dyDescent="0.3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.75" thickBot="1" x14ac:dyDescent="0.3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.75" thickBot="1" x14ac:dyDescent="0.3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.75" thickBot="1" x14ac:dyDescent="0.3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.75" thickBot="1" x14ac:dyDescent="0.3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.75" thickBot="1" x14ac:dyDescent="0.3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.75" thickBot="1" x14ac:dyDescent="0.3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.75" thickBot="1" x14ac:dyDescent="0.3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.75" thickBot="1" x14ac:dyDescent="0.3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.75" thickBot="1" x14ac:dyDescent="0.3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.75" thickBot="1" x14ac:dyDescent="0.3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.75" thickBot="1" x14ac:dyDescent="0.3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.75" thickBot="1" x14ac:dyDescent="0.3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.75" thickBot="1" x14ac:dyDescent="0.3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.75" thickBot="1" x14ac:dyDescent="0.3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.75" thickBot="1" x14ac:dyDescent="0.3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.75" thickBot="1" x14ac:dyDescent="0.3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.75" thickBot="1" x14ac:dyDescent="0.3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.75" thickBot="1" x14ac:dyDescent="0.3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.75" thickBot="1" x14ac:dyDescent="0.3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.75" thickBot="1" x14ac:dyDescent="0.3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.75" thickBot="1" x14ac:dyDescent="0.3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.75" thickBot="1" x14ac:dyDescent="0.3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.75" thickBot="1" x14ac:dyDescent="0.3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.75" thickBot="1" x14ac:dyDescent="0.3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.75" thickBot="1" x14ac:dyDescent="0.3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.75" thickBot="1" x14ac:dyDescent="0.3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.75" thickBot="1" x14ac:dyDescent="0.3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.75" thickBot="1" x14ac:dyDescent="0.3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.75" thickBot="1" x14ac:dyDescent="0.3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.75" thickBot="1" x14ac:dyDescent="0.3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.75" thickBot="1" x14ac:dyDescent="0.3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.75" thickBot="1" x14ac:dyDescent="0.3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.75" thickBot="1" x14ac:dyDescent="0.3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.75" thickBot="1" x14ac:dyDescent="0.3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.75" thickBot="1" x14ac:dyDescent="0.3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.75" thickBot="1" x14ac:dyDescent="0.3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.75" thickBot="1" x14ac:dyDescent="0.3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.75" thickBot="1" x14ac:dyDescent="0.3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.75" thickBot="1" x14ac:dyDescent="0.3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.75" thickBot="1" x14ac:dyDescent="0.3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.75" thickBot="1" x14ac:dyDescent="0.3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.75" thickBot="1" x14ac:dyDescent="0.3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.75" thickBot="1" x14ac:dyDescent="0.3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.75" thickBot="1" x14ac:dyDescent="0.3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.75" thickBot="1" x14ac:dyDescent="0.3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.75" thickBot="1" x14ac:dyDescent="0.3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.75" thickBot="1" x14ac:dyDescent="0.3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.75" thickBot="1" x14ac:dyDescent="0.3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.75" thickBot="1" x14ac:dyDescent="0.3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.75" thickBot="1" x14ac:dyDescent="0.3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.75" thickBot="1" x14ac:dyDescent="0.3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.75" thickBot="1" x14ac:dyDescent="0.3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.75" thickBot="1" x14ac:dyDescent="0.3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.75" thickBot="1" x14ac:dyDescent="0.3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.75" thickBot="1" x14ac:dyDescent="0.3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.75" thickBot="1" x14ac:dyDescent="0.3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.75" thickBot="1" x14ac:dyDescent="0.3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.75" thickBot="1" x14ac:dyDescent="0.3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.75" thickBot="1" x14ac:dyDescent="0.3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.75" thickBot="1" x14ac:dyDescent="0.3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.75" thickBot="1" x14ac:dyDescent="0.3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.75" thickBot="1" x14ac:dyDescent="0.3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.75" thickBot="1" x14ac:dyDescent="0.3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.75" thickBot="1" x14ac:dyDescent="0.3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.75" thickBot="1" x14ac:dyDescent="0.3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.75" thickBot="1" x14ac:dyDescent="0.3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.75" thickBot="1" x14ac:dyDescent="0.3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.75" thickBot="1" x14ac:dyDescent="0.3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.75" thickBot="1" x14ac:dyDescent="0.3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.75" thickBot="1" x14ac:dyDescent="0.3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.75" thickBot="1" x14ac:dyDescent="0.3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.75" thickBot="1" x14ac:dyDescent="0.3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.75" thickBot="1" x14ac:dyDescent="0.3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.75" thickBot="1" x14ac:dyDescent="0.3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.75" thickBot="1" x14ac:dyDescent="0.3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.75" thickBot="1" x14ac:dyDescent="0.3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.75" thickBot="1" x14ac:dyDescent="0.3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.75" thickBot="1" x14ac:dyDescent="0.3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.75" thickBot="1" x14ac:dyDescent="0.3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.75" thickBot="1" x14ac:dyDescent="0.3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.75" thickBot="1" x14ac:dyDescent="0.3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.75" thickBot="1" x14ac:dyDescent="0.3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.75" thickBot="1" x14ac:dyDescent="0.3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.75" thickBot="1" x14ac:dyDescent="0.3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.75" thickBot="1" x14ac:dyDescent="0.3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.75" thickBot="1" x14ac:dyDescent="0.3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.75" thickBot="1" x14ac:dyDescent="0.3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.75" thickBot="1" x14ac:dyDescent="0.3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.75" thickBot="1" x14ac:dyDescent="0.3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.75" thickBot="1" x14ac:dyDescent="0.3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.75" thickBot="1" x14ac:dyDescent="0.3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.75" thickBot="1" x14ac:dyDescent="0.3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.75" thickBot="1" x14ac:dyDescent="0.3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.75" thickBot="1" x14ac:dyDescent="0.3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.75" thickBot="1" x14ac:dyDescent="0.3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.75" thickBot="1" x14ac:dyDescent="0.3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.75" thickBot="1" x14ac:dyDescent="0.3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.75" thickBot="1" x14ac:dyDescent="0.3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.75" thickBot="1" x14ac:dyDescent="0.3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.75" thickBot="1" x14ac:dyDescent="0.3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.75" thickBot="1" x14ac:dyDescent="0.3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.75" thickBot="1" x14ac:dyDescent="0.3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.75" thickBot="1" x14ac:dyDescent="0.3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.75" thickBot="1" x14ac:dyDescent="0.3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.75" thickBot="1" x14ac:dyDescent="0.3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.75" thickBot="1" x14ac:dyDescent="0.3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.75" thickBot="1" x14ac:dyDescent="0.3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.75" thickBot="1" x14ac:dyDescent="0.3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.75" thickBot="1" x14ac:dyDescent="0.3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.75" thickBot="1" x14ac:dyDescent="0.3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.75" thickBot="1" x14ac:dyDescent="0.3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.75" thickBot="1" x14ac:dyDescent="0.3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.75" thickBot="1" x14ac:dyDescent="0.3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.75" thickBot="1" x14ac:dyDescent="0.3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.75" thickBot="1" x14ac:dyDescent="0.3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.75" thickBot="1" x14ac:dyDescent="0.3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.75" thickBot="1" x14ac:dyDescent="0.3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.75" thickBot="1" x14ac:dyDescent="0.3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.75" thickBot="1" x14ac:dyDescent="0.3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.75" thickBot="1" x14ac:dyDescent="0.3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.75" thickBot="1" x14ac:dyDescent="0.3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.75" thickBot="1" x14ac:dyDescent="0.3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.75" thickBot="1" x14ac:dyDescent="0.3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.75" thickBot="1" x14ac:dyDescent="0.3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.75" thickBot="1" x14ac:dyDescent="0.3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.75" thickBot="1" x14ac:dyDescent="0.3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.75" thickBot="1" x14ac:dyDescent="0.3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.75" thickBot="1" x14ac:dyDescent="0.3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.75" thickBot="1" x14ac:dyDescent="0.3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.75" thickBot="1" x14ac:dyDescent="0.3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.75" thickBot="1" x14ac:dyDescent="0.3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.75" thickBot="1" x14ac:dyDescent="0.3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.75" thickBot="1" x14ac:dyDescent="0.3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.75" thickBot="1" x14ac:dyDescent="0.3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.75" thickBot="1" x14ac:dyDescent="0.3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.75" thickBot="1" x14ac:dyDescent="0.3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.75" thickBot="1" x14ac:dyDescent="0.3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.75" thickBot="1" x14ac:dyDescent="0.3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.75" thickBot="1" x14ac:dyDescent="0.3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.75" thickBot="1" x14ac:dyDescent="0.3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.75" thickBot="1" x14ac:dyDescent="0.3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.75" thickBot="1" x14ac:dyDescent="0.3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.75" thickBot="1" x14ac:dyDescent="0.3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.75" thickBot="1" x14ac:dyDescent="0.3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.75" thickBot="1" x14ac:dyDescent="0.3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.75" thickBot="1" x14ac:dyDescent="0.3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.75" thickBot="1" x14ac:dyDescent="0.3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.75" thickBot="1" x14ac:dyDescent="0.3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.75" thickBot="1" x14ac:dyDescent="0.3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.75" thickBot="1" x14ac:dyDescent="0.3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.75" thickBot="1" x14ac:dyDescent="0.3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.75" thickBot="1" x14ac:dyDescent="0.3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.75" thickBot="1" x14ac:dyDescent="0.3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.75" thickBot="1" x14ac:dyDescent="0.3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.75" thickBot="1" x14ac:dyDescent="0.3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.75" thickBot="1" x14ac:dyDescent="0.3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.75" thickBot="1" x14ac:dyDescent="0.3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.75" thickBot="1" x14ac:dyDescent="0.3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.75" thickBot="1" x14ac:dyDescent="0.3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.75" thickBot="1" x14ac:dyDescent="0.3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.75" thickBot="1" x14ac:dyDescent="0.3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.75" thickBot="1" x14ac:dyDescent="0.3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.75" thickBot="1" x14ac:dyDescent="0.3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.75" thickBot="1" x14ac:dyDescent="0.3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.75" thickBot="1" x14ac:dyDescent="0.3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.75" thickBot="1" x14ac:dyDescent="0.3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.75" thickBot="1" x14ac:dyDescent="0.3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.75" thickBot="1" x14ac:dyDescent="0.3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.75" thickBot="1" x14ac:dyDescent="0.3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.75" thickBot="1" x14ac:dyDescent="0.3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.75" thickBot="1" x14ac:dyDescent="0.3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.75" thickBot="1" x14ac:dyDescent="0.3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.75" thickBot="1" x14ac:dyDescent="0.3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.75" thickBot="1" x14ac:dyDescent="0.3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.75" thickBot="1" x14ac:dyDescent="0.3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.75" thickBot="1" x14ac:dyDescent="0.3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.75" thickBot="1" x14ac:dyDescent="0.3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.75" thickBot="1" x14ac:dyDescent="0.3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.75" thickBot="1" x14ac:dyDescent="0.3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.75" thickBot="1" x14ac:dyDescent="0.3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.75" thickBot="1" x14ac:dyDescent="0.3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.75" thickBot="1" x14ac:dyDescent="0.3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.75" thickBot="1" x14ac:dyDescent="0.3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.75" thickBot="1" x14ac:dyDescent="0.3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.75" thickBot="1" x14ac:dyDescent="0.3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.75" thickBot="1" x14ac:dyDescent="0.3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.75" thickBot="1" x14ac:dyDescent="0.3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.75" thickBot="1" x14ac:dyDescent="0.3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.75" thickBot="1" x14ac:dyDescent="0.3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.75" thickBot="1" x14ac:dyDescent="0.3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.75" thickBot="1" x14ac:dyDescent="0.3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.75" thickBot="1" x14ac:dyDescent="0.3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.75" thickBot="1" x14ac:dyDescent="0.3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.75" thickBot="1" x14ac:dyDescent="0.3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.75" thickBot="1" x14ac:dyDescent="0.3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.75" thickBot="1" x14ac:dyDescent="0.3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.75" thickBot="1" x14ac:dyDescent="0.3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.75" thickBot="1" x14ac:dyDescent="0.3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.75" thickBot="1" x14ac:dyDescent="0.3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.75" thickBot="1" x14ac:dyDescent="0.3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.75" thickBot="1" x14ac:dyDescent="0.3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.75" thickBot="1" x14ac:dyDescent="0.3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.75" thickBot="1" x14ac:dyDescent="0.3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.75" thickBot="1" x14ac:dyDescent="0.3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.75" thickBot="1" x14ac:dyDescent="0.3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.75" thickBot="1" x14ac:dyDescent="0.3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.75" thickBot="1" x14ac:dyDescent="0.3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.75" thickBot="1" x14ac:dyDescent="0.3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.75" thickBot="1" x14ac:dyDescent="0.3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.75" thickBot="1" x14ac:dyDescent="0.3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.75" thickBot="1" x14ac:dyDescent="0.3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.75" thickBot="1" x14ac:dyDescent="0.3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.75" thickBot="1" x14ac:dyDescent="0.3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.75" thickBot="1" x14ac:dyDescent="0.3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.75" thickBot="1" x14ac:dyDescent="0.3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.75" thickBot="1" x14ac:dyDescent="0.3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.75" thickBot="1" x14ac:dyDescent="0.3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.75" thickBot="1" x14ac:dyDescent="0.3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.75" thickBot="1" x14ac:dyDescent="0.3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.75" thickBot="1" x14ac:dyDescent="0.3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.75" thickBot="1" x14ac:dyDescent="0.3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.75" thickBot="1" x14ac:dyDescent="0.3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.75" thickBot="1" x14ac:dyDescent="0.3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.75" thickBot="1" x14ac:dyDescent="0.3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.75" thickBot="1" x14ac:dyDescent="0.3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.75" thickBot="1" x14ac:dyDescent="0.3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.75" thickBot="1" x14ac:dyDescent="0.3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.75" thickBot="1" x14ac:dyDescent="0.3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.75" thickBot="1" x14ac:dyDescent="0.3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.75" thickBot="1" x14ac:dyDescent="0.3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.75" thickBot="1" x14ac:dyDescent="0.3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.75" thickBot="1" x14ac:dyDescent="0.3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.75" thickBot="1" x14ac:dyDescent="0.3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.75" thickBot="1" x14ac:dyDescent="0.3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.75" thickBot="1" x14ac:dyDescent="0.3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.75" thickBot="1" x14ac:dyDescent="0.3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.75" thickBot="1" x14ac:dyDescent="0.3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.75" thickBot="1" x14ac:dyDescent="0.3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.75" thickBot="1" x14ac:dyDescent="0.3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.75" thickBot="1" x14ac:dyDescent="0.3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.75" thickBot="1" x14ac:dyDescent="0.3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.75" thickBot="1" x14ac:dyDescent="0.3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.75" thickBot="1" x14ac:dyDescent="0.3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.75" thickBot="1" x14ac:dyDescent="0.3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.75" thickBot="1" x14ac:dyDescent="0.3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.75" thickBot="1" x14ac:dyDescent="0.3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.75" thickBot="1" x14ac:dyDescent="0.3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.75" thickBot="1" x14ac:dyDescent="0.3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.75" thickBot="1" x14ac:dyDescent="0.3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.75" thickBot="1" x14ac:dyDescent="0.3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.75" thickBot="1" x14ac:dyDescent="0.3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.75" thickBot="1" x14ac:dyDescent="0.3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.75" thickBot="1" x14ac:dyDescent="0.3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.75" thickBot="1" x14ac:dyDescent="0.3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.75" thickBot="1" x14ac:dyDescent="0.3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.75" thickBot="1" x14ac:dyDescent="0.3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.75" thickBot="1" x14ac:dyDescent="0.3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.75" thickBot="1" x14ac:dyDescent="0.3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.75" thickBot="1" x14ac:dyDescent="0.3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.75" thickBot="1" x14ac:dyDescent="0.3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.75" thickBot="1" x14ac:dyDescent="0.3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.75" thickBot="1" x14ac:dyDescent="0.3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.75" thickBot="1" x14ac:dyDescent="0.3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.75" thickBot="1" x14ac:dyDescent="0.3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.75" thickBot="1" x14ac:dyDescent="0.3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.75" thickBot="1" x14ac:dyDescent="0.3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.75" thickBot="1" x14ac:dyDescent="0.3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.75" thickBot="1" x14ac:dyDescent="0.3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.75" thickBot="1" x14ac:dyDescent="0.3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.75" thickBot="1" x14ac:dyDescent="0.3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.75" thickBot="1" x14ac:dyDescent="0.3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.75" thickBot="1" x14ac:dyDescent="0.3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.75" thickBot="1" x14ac:dyDescent="0.3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.75" thickBot="1" x14ac:dyDescent="0.3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.75" thickBot="1" x14ac:dyDescent="0.3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.75" thickBot="1" x14ac:dyDescent="0.3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.75" thickBot="1" x14ac:dyDescent="0.3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.75" thickBot="1" x14ac:dyDescent="0.3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.75" thickBot="1" x14ac:dyDescent="0.3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.75" thickBot="1" x14ac:dyDescent="0.3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.75" thickBot="1" x14ac:dyDescent="0.3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.75" thickBot="1" x14ac:dyDescent="0.3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.75" thickBot="1" x14ac:dyDescent="0.3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.75" thickBot="1" x14ac:dyDescent="0.3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.75" thickBot="1" x14ac:dyDescent="0.3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.75" thickBot="1" x14ac:dyDescent="0.3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.75" thickBot="1" x14ac:dyDescent="0.3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.75" thickBot="1" x14ac:dyDescent="0.3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.75" thickBot="1" x14ac:dyDescent="0.3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.75" thickBot="1" x14ac:dyDescent="0.3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.75" thickBot="1" x14ac:dyDescent="0.3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.75" thickBot="1" x14ac:dyDescent="0.3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.75" thickBot="1" x14ac:dyDescent="0.3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.75" thickBot="1" x14ac:dyDescent="0.3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.75" thickBot="1" x14ac:dyDescent="0.3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.75" thickBot="1" x14ac:dyDescent="0.3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.75" thickBot="1" x14ac:dyDescent="0.3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.75" thickBot="1" x14ac:dyDescent="0.3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.75" thickBot="1" x14ac:dyDescent="0.3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.75" thickBot="1" x14ac:dyDescent="0.3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.75" thickBot="1" x14ac:dyDescent="0.3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.75" thickBot="1" x14ac:dyDescent="0.3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.75" thickBot="1" x14ac:dyDescent="0.3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.75" thickBot="1" x14ac:dyDescent="0.3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.75" thickBot="1" x14ac:dyDescent="0.3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.75" thickBot="1" x14ac:dyDescent="0.3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.75" thickBot="1" x14ac:dyDescent="0.3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.75" thickBot="1" x14ac:dyDescent="0.3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.75" thickBot="1" x14ac:dyDescent="0.3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.75" thickBot="1" x14ac:dyDescent="0.3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.75" thickBot="1" x14ac:dyDescent="0.3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.75" thickBot="1" x14ac:dyDescent="0.3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.75" thickBot="1" x14ac:dyDescent="0.3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.75" thickBot="1" x14ac:dyDescent="0.3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.75" thickBot="1" x14ac:dyDescent="0.3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.75" thickBot="1" x14ac:dyDescent="0.3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.75" thickBot="1" x14ac:dyDescent="0.3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.75" thickBot="1" x14ac:dyDescent="0.3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.75" thickBot="1" x14ac:dyDescent="0.3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.75" thickBot="1" x14ac:dyDescent="0.3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.75" thickBot="1" x14ac:dyDescent="0.3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.75" thickBot="1" x14ac:dyDescent="0.3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.75" thickBot="1" x14ac:dyDescent="0.3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.75" thickBot="1" x14ac:dyDescent="0.3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.75" thickBot="1" x14ac:dyDescent="0.3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.75" thickBot="1" x14ac:dyDescent="0.3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.75" thickBot="1" x14ac:dyDescent="0.3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.75" thickBot="1" x14ac:dyDescent="0.3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.75" thickBot="1" x14ac:dyDescent="0.3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.75" thickBot="1" x14ac:dyDescent="0.3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.75" thickBot="1" x14ac:dyDescent="0.3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.75" thickBot="1" x14ac:dyDescent="0.3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.75" thickBot="1" x14ac:dyDescent="0.3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.75" thickBot="1" x14ac:dyDescent="0.3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.75" thickBot="1" x14ac:dyDescent="0.3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.75" thickBot="1" x14ac:dyDescent="0.3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.75" thickBot="1" x14ac:dyDescent="0.3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.75" thickBot="1" x14ac:dyDescent="0.3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.75" thickBot="1" x14ac:dyDescent="0.3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.75" thickBot="1" x14ac:dyDescent="0.3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.75" thickBot="1" x14ac:dyDescent="0.3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.75" thickBot="1" x14ac:dyDescent="0.3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.75" thickBot="1" x14ac:dyDescent="0.3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.75" thickBot="1" x14ac:dyDescent="0.3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.75" thickBot="1" x14ac:dyDescent="0.3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.75" thickBot="1" x14ac:dyDescent="0.3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.75" thickBot="1" x14ac:dyDescent="0.3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.75" thickBot="1" x14ac:dyDescent="0.3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.75" thickBot="1" x14ac:dyDescent="0.3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.75" thickBot="1" x14ac:dyDescent="0.3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.75" thickBot="1" x14ac:dyDescent="0.3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.75" thickBot="1" x14ac:dyDescent="0.3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.75" thickBot="1" x14ac:dyDescent="0.3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.75" thickBot="1" x14ac:dyDescent="0.3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.75" thickBot="1" x14ac:dyDescent="0.3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.75" thickBot="1" x14ac:dyDescent="0.3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.75" thickBot="1" x14ac:dyDescent="0.3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.75" thickBot="1" x14ac:dyDescent="0.3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.75" thickBot="1" x14ac:dyDescent="0.3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.75" thickBot="1" x14ac:dyDescent="0.3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.75" thickBot="1" x14ac:dyDescent="0.3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.75" thickBot="1" x14ac:dyDescent="0.3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.75" thickBot="1" x14ac:dyDescent="0.3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.75" thickBot="1" x14ac:dyDescent="0.3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.75" thickBot="1" x14ac:dyDescent="0.3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.75" thickBot="1" x14ac:dyDescent="0.3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.75" thickBot="1" x14ac:dyDescent="0.3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.75" thickBot="1" x14ac:dyDescent="0.3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.75" thickBot="1" x14ac:dyDescent="0.3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.75" thickBot="1" x14ac:dyDescent="0.3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.75" thickBot="1" x14ac:dyDescent="0.3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.75" thickBot="1" x14ac:dyDescent="0.3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.75" thickBot="1" x14ac:dyDescent="0.3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.75" thickBot="1" x14ac:dyDescent="0.3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.75" thickBot="1" x14ac:dyDescent="0.3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.75" thickBot="1" x14ac:dyDescent="0.3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.75" thickBot="1" x14ac:dyDescent="0.3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.75" thickBot="1" x14ac:dyDescent="0.3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.75" thickBot="1" x14ac:dyDescent="0.3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.75" thickBot="1" x14ac:dyDescent="0.3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.75" thickBot="1" x14ac:dyDescent="0.3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.75" thickBot="1" x14ac:dyDescent="0.3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.75" thickBot="1" x14ac:dyDescent="0.3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.75" thickBot="1" x14ac:dyDescent="0.3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.75" thickBot="1" x14ac:dyDescent="0.3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.75" thickBot="1" x14ac:dyDescent="0.3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.75" thickBot="1" x14ac:dyDescent="0.3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.75" thickBot="1" x14ac:dyDescent="0.3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.75" thickBot="1" x14ac:dyDescent="0.3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.75" thickBot="1" x14ac:dyDescent="0.3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.75" thickBot="1" x14ac:dyDescent="0.3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.75" thickBot="1" x14ac:dyDescent="0.3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.75" thickBot="1" x14ac:dyDescent="0.3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.75" thickBot="1" x14ac:dyDescent="0.3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.75" thickBot="1" x14ac:dyDescent="0.3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.75" thickBot="1" x14ac:dyDescent="0.3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.75" thickBot="1" x14ac:dyDescent="0.3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.75" thickBot="1" x14ac:dyDescent="0.3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.75" thickBot="1" x14ac:dyDescent="0.3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.75" thickBot="1" x14ac:dyDescent="0.3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.75" thickBot="1" x14ac:dyDescent="0.3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.75" thickBot="1" x14ac:dyDescent="0.3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.75" thickBot="1" x14ac:dyDescent="0.3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.75" thickBot="1" x14ac:dyDescent="0.3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.75" thickBot="1" x14ac:dyDescent="0.3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.75" thickBot="1" x14ac:dyDescent="0.3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.75" thickBot="1" x14ac:dyDescent="0.3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.75" thickBot="1" x14ac:dyDescent="0.3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.75" thickBot="1" x14ac:dyDescent="0.3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.75" thickBot="1" x14ac:dyDescent="0.3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.75" thickBot="1" x14ac:dyDescent="0.3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.75" thickBot="1" x14ac:dyDescent="0.3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.75" thickBot="1" x14ac:dyDescent="0.3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.75" thickBot="1" x14ac:dyDescent="0.3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.75" thickBot="1" x14ac:dyDescent="0.3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.75" thickBot="1" x14ac:dyDescent="0.3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.75" thickBot="1" x14ac:dyDescent="0.3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.75" thickBot="1" x14ac:dyDescent="0.3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.75" thickBot="1" x14ac:dyDescent="0.3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.75" thickBot="1" x14ac:dyDescent="0.3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.75" thickBot="1" x14ac:dyDescent="0.3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.75" thickBot="1" x14ac:dyDescent="0.3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.75" thickBot="1" x14ac:dyDescent="0.3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.75" thickBot="1" x14ac:dyDescent="0.3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.75" thickBot="1" x14ac:dyDescent="0.3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.75" thickBot="1" x14ac:dyDescent="0.3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.75" thickBot="1" x14ac:dyDescent="0.3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.75" thickBot="1" x14ac:dyDescent="0.3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.75" thickBot="1" x14ac:dyDescent="0.3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.75" thickBot="1" x14ac:dyDescent="0.3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.75" thickBot="1" x14ac:dyDescent="0.3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.75" thickBot="1" x14ac:dyDescent="0.3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.75" thickBot="1" x14ac:dyDescent="0.3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.75" thickBot="1" x14ac:dyDescent="0.3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.75" thickBot="1" x14ac:dyDescent="0.3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.75" thickBot="1" x14ac:dyDescent="0.3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.75" thickBot="1" x14ac:dyDescent="0.3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.75" thickBot="1" x14ac:dyDescent="0.3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.75" thickBot="1" x14ac:dyDescent="0.3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.75" thickBot="1" x14ac:dyDescent="0.3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.75" thickBot="1" x14ac:dyDescent="0.3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.75" thickBot="1" x14ac:dyDescent="0.3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.75" thickBot="1" x14ac:dyDescent="0.3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.75" thickBot="1" x14ac:dyDescent="0.3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.75" thickBot="1" x14ac:dyDescent="0.3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.75" thickBot="1" x14ac:dyDescent="0.3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.75" thickBot="1" x14ac:dyDescent="0.3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.75" thickBot="1" x14ac:dyDescent="0.3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.75" thickBot="1" x14ac:dyDescent="0.3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.75" thickBot="1" x14ac:dyDescent="0.3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.75" thickBot="1" x14ac:dyDescent="0.3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.75" thickBot="1" x14ac:dyDescent="0.3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.75" thickBot="1" x14ac:dyDescent="0.3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.75" thickBot="1" x14ac:dyDescent="0.3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.75" thickBot="1" x14ac:dyDescent="0.3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.75" thickBot="1" x14ac:dyDescent="0.3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.75" thickBot="1" x14ac:dyDescent="0.3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.75" thickBot="1" x14ac:dyDescent="0.3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.75" thickBot="1" x14ac:dyDescent="0.3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.75" thickBot="1" x14ac:dyDescent="0.3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.75" thickBot="1" x14ac:dyDescent="0.3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.75" thickBot="1" x14ac:dyDescent="0.3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.75" thickBot="1" x14ac:dyDescent="0.3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.75" thickBot="1" x14ac:dyDescent="0.3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.75" thickBot="1" x14ac:dyDescent="0.3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.75" thickBot="1" x14ac:dyDescent="0.3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.75" thickBot="1" x14ac:dyDescent="0.3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.75" thickBot="1" x14ac:dyDescent="0.3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.75" thickBot="1" x14ac:dyDescent="0.3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.75" thickBot="1" x14ac:dyDescent="0.3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.75" thickBot="1" x14ac:dyDescent="0.3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.75" thickBot="1" x14ac:dyDescent="0.3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.75" thickBot="1" x14ac:dyDescent="0.3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.75" thickBot="1" x14ac:dyDescent="0.3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.75" thickBot="1" x14ac:dyDescent="0.3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.75" thickBot="1" x14ac:dyDescent="0.3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.75" thickBot="1" x14ac:dyDescent="0.3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.75" thickBot="1" x14ac:dyDescent="0.3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.75" thickBot="1" x14ac:dyDescent="0.3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.75" thickBot="1" x14ac:dyDescent="0.3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.75" thickBot="1" x14ac:dyDescent="0.3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.75" thickBot="1" x14ac:dyDescent="0.3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.75" thickBot="1" x14ac:dyDescent="0.3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.75" thickBot="1" x14ac:dyDescent="0.3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.75" thickBot="1" x14ac:dyDescent="0.3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.75" thickBot="1" x14ac:dyDescent="0.3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.75" thickBot="1" x14ac:dyDescent="0.3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.75" thickBot="1" x14ac:dyDescent="0.3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.75" thickBot="1" x14ac:dyDescent="0.3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.75" thickBot="1" x14ac:dyDescent="0.3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.75" thickBot="1" x14ac:dyDescent="0.3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.75" thickBot="1" x14ac:dyDescent="0.3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.75" thickBot="1" x14ac:dyDescent="0.3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.75" thickBot="1" x14ac:dyDescent="0.3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.75" thickBot="1" x14ac:dyDescent="0.3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.75" thickBot="1" x14ac:dyDescent="0.3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.75" thickBot="1" x14ac:dyDescent="0.3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.75" thickBot="1" x14ac:dyDescent="0.3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.75" thickBot="1" x14ac:dyDescent="0.3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.75" thickBot="1" x14ac:dyDescent="0.3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.75" thickBot="1" x14ac:dyDescent="0.3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.75" thickBot="1" x14ac:dyDescent="0.3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.75" thickBot="1" x14ac:dyDescent="0.3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.75" thickBot="1" x14ac:dyDescent="0.3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.75" thickBot="1" x14ac:dyDescent="0.3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.75" thickBot="1" x14ac:dyDescent="0.3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.75" thickBot="1" x14ac:dyDescent="0.3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.75" thickBot="1" x14ac:dyDescent="0.3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.75" thickBot="1" x14ac:dyDescent="0.3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.75" thickBot="1" x14ac:dyDescent="0.3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.75" thickBot="1" x14ac:dyDescent="0.3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.75" thickBot="1" x14ac:dyDescent="0.3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.75" thickBot="1" x14ac:dyDescent="0.3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.75" thickBot="1" x14ac:dyDescent="0.3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.75" thickBot="1" x14ac:dyDescent="0.3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.75" thickBot="1" x14ac:dyDescent="0.3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.75" thickBot="1" x14ac:dyDescent="0.3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.75" thickBot="1" x14ac:dyDescent="0.3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.75" thickBot="1" x14ac:dyDescent="0.3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.75" thickBot="1" x14ac:dyDescent="0.3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.75" thickBot="1" x14ac:dyDescent="0.3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.75" thickBot="1" x14ac:dyDescent="0.3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.75" thickBot="1" x14ac:dyDescent="0.3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.75" thickBot="1" x14ac:dyDescent="0.3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.75" thickBot="1" x14ac:dyDescent="0.3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.75" thickBot="1" x14ac:dyDescent="0.3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.75" thickBot="1" x14ac:dyDescent="0.3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.75" thickBot="1" x14ac:dyDescent="0.3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.75" thickBot="1" x14ac:dyDescent="0.3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.75" thickBot="1" x14ac:dyDescent="0.3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.75" thickBot="1" x14ac:dyDescent="0.3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.75" thickBot="1" x14ac:dyDescent="0.3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.75" thickBot="1" x14ac:dyDescent="0.3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.75" thickBot="1" x14ac:dyDescent="0.3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.75" thickBot="1" x14ac:dyDescent="0.3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.75" thickBot="1" x14ac:dyDescent="0.3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.75" thickBot="1" x14ac:dyDescent="0.3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.75" thickBot="1" x14ac:dyDescent="0.3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.75" thickBot="1" x14ac:dyDescent="0.3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.75" thickBot="1" x14ac:dyDescent="0.3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.75" thickBot="1" x14ac:dyDescent="0.3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.75" thickBot="1" x14ac:dyDescent="0.3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.75" thickBot="1" x14ac:dyDescent="0.3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.75" thickBot="1" x14ac:dyDescent="0.3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.75" thickBot="1" x14ac:dyDescent="0.3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.75" thickBot="1" x14ac:dyDescent="0.3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.75" thickBot="1" x14ac:dyDescent="0.3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.75" thickBot="1" x14ac:dyDescent="0.3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.75" thickBot="1" x14ac:dyDescent="0.3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.75" thickBot="1" x14ac:dyDescent="0.3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.75" thickBot="1" x14ac:dyDescent="0.3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.75" thickBot="1" x14ac:dyDescent="0.3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.75" thickBot="1" x14ac:dyDescent="0.3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.75" thickBot="1" x14ac:dyDescent="0.3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.75" thickBot="1" x14ac:dyDescent="0.3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.75" thickBot="1" x14ac:dyDescent="0.3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.75" thickBot="1" x14ac:dyDescent="0.3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.75" thickBot="1" x14ac:dyDescent="0.3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.75" thickBot="1" x14ac:dyDescent="0.3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.75" thickBot="1" x14ac:dyDescent="0.3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.75" thickBot="1" x14ac:dyDescent="0.3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.75" thickBot="1" x14ac:dyDescent="0.3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.75" thickBot="1" x14ac:dyDescent="0.3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.75" thickBot="1" x14ac:dyDescent="0.3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.75" thickBot="1" x14ac:dyDescent="0.3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.75" thickBot="1" x14ac:dyDescent="0.3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.75" thickBot="1" x14ac:dyDescent="0.3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.75" thickBot="1" x14ac:dyDescent="0.3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.75" thickBot="1" x14ac:dyDescent="0.3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.75" thickBot="1" x14ac:dyDescent="0.3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.75" thickBot="1" x14ac:dyDescent="0.3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.75" thickBot="1" x14ac:dyDescent="0.3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.75" thickBot="1" x14ac:dyDescent="0.3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.75" thickBot="1" x14ac:dyDescent="0.3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.75" thickBot="1" x14ac:dyDescent="0.3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.75" thickBot="1" x14ac:dyDescent="0.3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.75" thickBot="1" x14ac:dyDescent="0.3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.75" thickBot="1" x14ac:dyDescent="0.3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.75" thickBot="1" x14ac:dyDescent="0.3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.75" thickBot="1" x14ac:dyDescent="0.3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.75" thickBot="1" x14ac:dyDescent="0.3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.75" thickBot="1" x14ac:dyDescent="0.3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.75" thickBot="1" x14ac:dyDescent="0.3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.75" thickBot="1" x14ac:dyDescent="0.3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.75" thickBot="1" x14ac:dyDescent="0.3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.75" thickBot="1" x14ac:dyDescent="0.3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.75" thickBot="1" x14ac:dyDescent="0.3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.75" thickBot="1" x14ac:dyDescent="0.3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.75" thickBot="1" x14ac:dyDescent="0.3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.75" thickBot="1" x14ac:dyDescent="0.3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.75" thickBot="1" x14ac:dyDescent="0.3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.75" thickBot="1" x14ac:dyDescent="0.3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.75" thickBot="1" x14ac:dyDescent="0.3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.75" thickBot="1" x14ac:dyDescent="0.3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.75" thickBot="1" x14ac:dyDescent="0.3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.75" thickBot="1" x14ac:dyDescent="0.3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.75" thickBot="1" x14ac:dyDescent="0.3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.75" thickBot="1" x14ac:dyDescent="0.3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.75" thickBot="1" x14ac:dyDescent="0.3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.75" thickBot="1" x14ac:dyDescent="0.3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.75" thickBot="1" x14ac:dyDescent="0.3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.75" thickBot="1" x14ac:dyDescent="0.3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.75" thickBot="1" x14ac:dyDescent="0.3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.75" thickBot="1" x14ac:dyDescent="0.3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.75" thickBot="1" x14ac:dyDescent="0.3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.75" thickBot="1" x14ac:dyDescent="0.3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.75" thickBot="1" x14ac:dyDescent="0.3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.75" thickBot="1" x14ac:dyDescent="0.3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.75" thickBot="1" x14ac:dyDescent="0.3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.75" thickBot="1" x14ac:dyDescent="0.3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.75" thickBot="1" x14ac:dyDescent="0.3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.75" thickBot="1" x14ac:dyDescent="0.3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.75" thickBot="1" x14ac:dyDescent="0.3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.75" thickBot="1" x14ac:dyDescent="0.3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.75" thickBot="1" x14ac:dyDescent="0.3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.75" thickBot="1" x14ac:dyDescent="0.3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.75" thickBot="1" x14ac:dyDescent="0.3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.75" thickBot="1" x14ac:dyDescent="0.3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.75" thickBot="1" x14ac:dyDescent="0.3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.75" thickBot="1" x14ac:dyDescent="0.3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.75" thickBot="1" x14ac:dyDescent="0.3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.75" thickBot="1" x14ac:dyDescent="0.3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.75" thickBot="1" x14ac:dyDescent="0.3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.75" thickBot="1" x14ac:dyDescent="0.3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.75" thickBot="1" x14ac:dyDescent="0.3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.75" thickBot="1" x14ac:dyDescent="0.3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.75" thickBot="1" x14ac:dyDescent="0.3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.75" thickBot="1" x14ac:dyDescent="0.3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.75" thickBot="1" x14ac:dyDescent="0.3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.75" thickBot="1" x14ac:dyDescent="0.3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.75" thickBot="1" x14ac:dyDescent="0.3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.75" thickBot="1" x14ac:dyDescent="0.3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.75" thickBot="1" x14ac:dyDescent="0.3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.75" thickBot="1" x14ac:dyDescent="0.3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.75" thickBot="1" x14ac:dyDescent="0.3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.75" thickBot="1" x14ac:dyDescent="0.3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.75" thickBot="1" x14ac:dyDescent="0.3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.75" thickBot="1" x14ac:dyDescent="0.3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.75" thickBot="1" x14ac:dyDescent="0.3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.75" thickBot="1" x14ac:dyDescent="0.3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.75" thickBot="1" x14ac:dyDescent="0.3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.75" thickBot="1" x14ac:dyDescent="0.3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.75" thickBot="1" x14ac:dyDescent="0.3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.75" thickBot="1" x14ac:dyDescent="0.3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.75" thickBot="1" x14ac:dyDescent="0.3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.75" thickBot="1" x14ac:dyDescent="0.3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.75" thickBot="1" x14ac:dyDescent="0.3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.75" thickBot="1" x14ac:dyDescent="0.3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.75" thickBot="1" x14ac:dyDescent="0.3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.75" thickBot="1" x14ac:dyDescent="0.3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.75" thickBot="1" x14ac:dyDescent="0.3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.75" thickBot="1" x14ac:dyDescent="0.3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.75" thickBot="1" x14ac:dyDescent="0.3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.75" thickBot="1" x14ac:dyDescent="0.3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.75" thickBot="1" x14ac:dyDescent="0.3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.75" thickBot="1" x14ac:dyDescent="0.3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.75" thickBot="1" x14ac:dyDescent="0.3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.75" thickBot="1" x14ac:dyDescent="0.3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.75" thickBot="1" x14ac:dyDescent="0.3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.75" thickBot="1" x14ac:dyDescent="0.3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.75" thickBot="1" x14ac:dyDescent="0.3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.75" thickBot="1" x14ac:dyDescent="0.3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.75" thickBot="1" x14ac:dyDescent="0.3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.75" thickBot="1" x14ac:dyDescent="0.3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.75" thickBot="1" x14ac:dyDescent="0.3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.75" thickBot="1" x14ac:dyDescent="0.3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.75" thickBot="1" x14ac:dyDescent="0.3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.75" thickBot="1" x14ac:dyDescent="0.3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.75" thickBot="1" x14ac:dyDescent="0.3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.75" thickBot="1" x14ac:dyDescent="0.3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.75" thickBot="1" x14ac:dyDescent="0.3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.75" thickBot="1" x14ac:dyDescent="0.3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.75" thickBot="1" x14ac:dyDescent="0.3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.75" thickBot="1" x14ac:dyDescent="0.3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.75" thickBot="1" x14ac:dyDescent="0.3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.75" thickBot="1" x14ac:dyDescent="0.3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.75" thickBot="1" x14ac:dyDescent="0.3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.75" thickBot="1" x14ac:dyDescent="0.3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.75" thickBot="1" x14ac:dyDescent="0.3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.75" thickBot="1" x14ac:dyDescent="0.3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.75" thickBot="1" x14ac:dyDescent="0.3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.75" thickBot="1" x14ac:dyDescent="0.3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.75" thickBot="1" x14ac:dyDescent="0.3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.75" thickBot="1" x14ac:dyDescent="0.3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.75" thickBot="1" x14ac:dyDescent="0.3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.75" thickBot="1" x14ac:dyDescent="0.3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.75" thickBot="1" x14ac:dyDescent="0.3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.75" thickBot="1" x14ac:dyDescent="0.3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.75" thickBot="1" x14ac:dyDescent="0.3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.75" thickBot="1" x14ac:dyDescent="0.3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.75" thickBot="1" x14ac:dyDescent="0.3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.75" thickBot="1" x14ac:dyDescent="0.3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.75" thickBot="1" x14ac:dyDescent="0.3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.75" thickBot="1" x14ac:dyDescent="0.3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.75" thickBot="1" x14ac:dyDescent="0.3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.75" thickBot="1" x14ac:dyDescent="0.3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.75" thickBot="1" x14ac:dyDescent="0.3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.75" thickBot="1" x14ac:dyDescent="0.3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.75" thickBot="1" x14ac:dyDescent="0.3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.75" thickBot="1" x14ac:dyDescent="0.3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.75" thickBot="1" x14ac:dyDescent="0.3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.75" thickBot="1" x14ac:dyDescent="0.3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.75" thickBot="1" x14ac:dyDescent="0.3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.75" thickBot="1" x14ac:dyDescent="0.3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.75" thickBot="1" x14ac:dyDescent="0.3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.75" thickBot="1" x14ac:dyDescent="0.3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.75" thickBot="1" x14ac:dyDescent="0.3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.75" thickBot="1" x14ac:dyDescent="0.3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.75" thickBot="1" x14ac:dyDescent="0.3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.75" thickBot="1" x14ac:dyDescent="0.3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.75" thickBot="1" x14ac:dyDescent="0.3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.75" thickBot="1" x14ac:dyDescent="0.3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.75" thickBot="1" x14ac:dyDescent="0.3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.75" thickBot="1" x14ac:dyDescent="0.3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.75" thickBot="1" x14ac:dyDescent="0.3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.75" thickBot="1" x14ac:dyDescent="0.3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.75" thickBot="1" x14ac:dyDescent="0.3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.75" thickBot="1" x14ac:dyDescent="0.3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.75" thickBot="1" x14ac:dyDescent="0.3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.75" thickBot="1" x14ac:dyDescent="0.3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.75" thickBot="1" x14ac:dyDescent="0.3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.75" thickBot="1" x14ac:dyDescent="0.3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.75" thickBot="1" x14ac:dyDescent="0.3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.75" thickBot="1" x14ac:dyDescent="0.3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.75" thickBot="1" x14ac:dyDescent="0.3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.75" thickBot="1" x14ac:dyDescent="0.3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.75" thickBot="1" x14ac:dyDescent="0.3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.75" thickBot="1" x14ac:dyDescent="0.3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.75" thickBot="1" x14ac:dyDescent="0.3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.75" thickBot="1" x14ac:dyDescent="0.3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.75" thickBot="1" x14ac:dyDescent="0.3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.75" thickBot="1" x14ac:dyDescent="0.3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.75" thickBot="1" x14ac:dyDescent="0.3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.75" thickBot="1" x14ac:dyDescent="0.3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.75" thickBot="1" x14ac:dyDescent="0.3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.75" thickBot="1" x14ac:dyDescent="0.3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.75" thickBot="1" x14ac:dyDescent="0.3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.75" thickBot="1" x14ac:dyDescent="0.3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.75" thickBot="1" x14ac:dyDescent="0.3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.75" thickBot="1" x14ac:dyDescent="0.3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.75" thickBot="1" x14ac:dyDescent="0.3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.75" thickBot="1" x14ac:dyDescent="0.3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.75" thickBot="1" x14ac:dyDescent="0.3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.75" thickBot="1" x14ac:dyDescent="0.3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.75" thickBot="1" x14ac:dyDescent="0.3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.75" thickBot="1" x14ac:dyDescent="0.3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.75" thickBot="1" x14ac:dyDescent="0.3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.75" thickBot="1" x14ac:dyDescent="0.3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.75" thickBot="1" x14ac:dyDescent="0.3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.75" thickBot="1" x14ac:dyDescent="0.3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.75" thickBot="1" x14ac:dyDescent="0.3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.75" thickBot="1" x14ac:dyDescent="0.3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.75" thickBot="1" x14ac:dyDescent="0.3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.75" thickBot="1" x14ac:dyDescent="0.3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.75" thickBot="1" x14ac:dyDescent="0.3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.75" thickBot="1" x14ac:dyDescent="0.3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.75" thickBot="1" x14ac:dyDescent="0.3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.75" thickBot="1" x14ac:dyDescent="0.3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.75" thickBot="1" x14ac:dyDescent="0.3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.75" thickBot="1" x14ac:dyDescent="0.3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.75" thickBot="1" x14ac:dyDescent="0.3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.75" thickBot="1" x14ac:dyDescent="0.3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.75" thickBot="1" x14ac:dyDescent="0.3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.75" thickBot="1" x14ac:dyDescent="0.3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.75" thickBot="1" x14ac:dyDescent="0.3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.75" thickBot="1" x14ac:dyDescent="0.3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.75" thickBot="1" x14ac:dyDescent="0.3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.75" thickBot="1" x14ac:dyDescent="0.3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.75" thickBot="1" x14ac:dyDescent="0.3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.75" thickBot="1" x14ac:dyDescent="0.3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.75" thickBot="1" x14ac:dyDescent="0.3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.75" thickBot="1" x14ac:dyDescent="0.3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.75" thickBot="1" x14ac:dyDescent="0.3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.75" thickBot="1" x14ac:dyDescent="0.3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.75" thickBot="1" x14ac:dyDescent="0.3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.75" thickBot="1" x14ac:dyDescent="0.3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.75" thickBot="1" x14ac:dyDescent="0.3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.75" thickBot="1" x14ac:dyDescent="0.3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.75" thickBot="1" x14ac:dyDescent="0.3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.75" thickBot="1" x14ac:dyDescent="0.3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.75" thickBot="1" x14ac:dyDescent="0.3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.75" thickBot="1" x14ac:dyDescent="0.3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.75" thickBot="1" x14ac:dyDescent="0.3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.75" thickBot="1" x14ac:dyDescent="0.3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.75" thickBot="1" x14ac:dyDescent="0.3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.75" thickBot="1" x14ac:dyDescent="0.3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.75" thickBot="1" x14ac:dyDescent="0.3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.75" thickBot="1" x14ac:dyDescent="0.3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.75" thickBot="1" x14ac:dyDescent="0.3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.75" thickBot="1" x14ac:dyDescent="0.3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.75" thickBot="1" x14ac:dyDescent="0.3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.75" thickBot="1" x14ac:dyDescent="0.3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.75" thickBot="1" x14ac:dyDescent="0.3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.75" thickBot="1" x14ac:dyDescent="0.3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.75" thickBot="1" x14ac:dyDescent="0.3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.75" thickBot="1" x14ac:dyDescent="0.3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.75" thickBot="1" x14ac:dyDescent="0.3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.75" thickBot="1" x14ac:dyDescent="0.3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.75" thickBot="1" x14ac:dyDescent="0.3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.75" thickBot="1" x14ac:dyDescent="0.3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.75" thickBot="1" x14ac:dyDescent="0.3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.75" thickBot="1" x14ac:dyDescent="0.3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.75" thickBot="1" x14ac:dyDescent="0.3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.75" thickBot="1" x14ac:dyDescent="0.3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.75" thickBot="1" x14ac:dyDescent="0.3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.75" thickBot="1" x14ac:dyDescent="0.3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.75" thickBot="1" x14ac:dyDescent="0.3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.75" thickBot="1" x14ac:dyDescent="0.3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.75" thickBot="1" x14ac:dyDescent="0.3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.75" thickBot="1" x14ac:dyDescent="0.3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.75" thickBot="1" x14ac:dyDescent="0.3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.75" thickBot="1" x14ac:dyDescent="0.3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.75" thickBot="1" x14ac:dyDescent="0.3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.75" thickBot="1" x14ac:dyDescent="0.3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.75" thickBot="1" x14ac:dyDescent="0.3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.75" thickBot="1" x14ac:dyDescent="0.3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.75" thickBot="1" x14ac:dyDescent="0.3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.75" thickBot="1" x14ac:dyDescent="0.3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.75" thickBot="1" x14ac:dyDescent="0.3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.75" thickBot="1" x14ac:dyDescent="0.3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.75" thickBot="1" x14ac:dyDescent="0.3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.75" thickBot="1" x14ac:dyDescent="0.3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.75" thickBot="1" x14ac:dyDescent="0.3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.75" thickBot="1" x14ac:dyDescent="0.3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.75" thickBot="1" x14ac:dyDescent="0.3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.75" thickBot="1" x14ac:dyDescent="0.3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.75" thickBot="1" x14ac:dyDescent="0.3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.75" thickBot="1" x14ac:dyDescent="0.3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.75" thickBot="1" x14ac:dyDescent="0.3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.75" thickBot="1" x14ac:dyDescent="0.3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.75" thickBot="1" x14ac:dyDescent="0.3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.75" thickBot="1" x14ac:dyDescent="0.3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.75" thickBot="1" x14ac:dyDescent="0.3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.75" thickBot="1" x14ac:dyDescent="0.3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.75" thickBot="1" x14ac:dyDescent="0.3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.75" thickBot="1" x14ac:dyDescent="0.3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.75" thickBot="1" x14ac:dyDescent="0.3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.75" thickBot="1" x14ac:dyDescent="0.3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.75" thickBot="1" x14ac:dyDescent="0.3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.75" thickBot="1" x14ac:dyDescent="0.3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.75" thickBot="1" x14ac:dyDescent="0.3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.75" thickBot="1" x14ac:dyDescent="0.3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.75" thickBot="1" x14ac:dyDescent="0.3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.75" thickBot="1" x14ac:dyDescent="0.3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.75" thickBot="1" x14ac:dyDescent="0.3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.75" thickBot="1" x14ac:dyDescent="0.3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.75" thickBot="1" x14ac:dyDescent="0.3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.75" thickBot="1" x14ac:dyDescent="0.3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.75" thickBot="1" x14ac:dyDescent="0.3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.75" thickBot="1" x14ac:dyDescent="0.3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.75" thickBot="1" x14ac:dyDescent="0.3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.75" thickBot="1" x14ac:dyDescent="0.3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.75" thickBot="1" x14ac:dyDescent="0.3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.75" thickBot="1" x14ac:dyDescent="0.3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.75" thickBot="1" x14ac:dyDescent="0.3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.75" thickBot="1" x14ac:dyDescent="0.3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.75" thickBot="1" x14ac:dyDescent="0.3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.75" thickBot="1" x14ac:dyDescent="0.3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.75" thickBot="1" x14ac:dyDescent="0.3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.75" thickBot="1" x14ac:dyDescent="0.3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.75" thickBot="1" x14ac:dyDescent="0.3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.75" thickBot="1" x14ac:dyDescent="0.3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.75" thickBot="1" x14ac:dyDescent="0.3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.75" thickBot="1" x14ac:dyDescent="0.3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.75" thickBot="1" x14ac:dyDescent="0.3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.75" thickBot="1" x14ac:dyDescent="0.3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.75" thickBot="1" x14ac:dyDescent="0.3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.75" thickBot="1" x14ac:dyDescent="0.3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.75" thickBot="1" x14ac:dyDescent="0.3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.75" thickBot="1" x14ac:dyDescent="0.3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.75" thickBot="1" x14ac:dyDescent="0.3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.75" thickBot="1" x14ac:dyDescent="0.3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.75" thickBot="1" x14ac:dyDescent="0.3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.75" thickBot="1" x14ac:dyDescent="0.3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.75" thickBot="1" x14ac:dyDescent="0.3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.75" thickBot="1" x14ac:dyDescent="0.3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.75" thickBot="1" x14ac:dyDescent="0.3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.75" thickBot="1" x14ac:dyDescent="0.3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.75" thickBot="1" x14ac:dyDescent="0.3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.75" thickBot="1" x14ac:dyDescent="0.3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.75" thickBot="1" x14ac:dyDescent="0.3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.75" thickBot="1" x14ac:dyDescent="0.3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.75" thickBot="1" x14ac:dyDescent="0.3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.75" thickBot="1" x14ac:dyDescent="0.3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.75" thickBot="1" x14ac:dyDescent="0.3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.75" thickBot="1" x14ac:dyDescent="0.3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.75" thickBot="1" x14ac:dyDescent="0.3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.75" thickBot="1" x14ac:dyDescent="0.3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.75" thickBot="1" x14ac:dyDescent="0.3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.75" thickBot="1" x14ac:dyDescent="0.3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.75" thickBot="1" x14ac:dyDescent="0.3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.75" thickBot="1" x14ac:dyDescent="0.3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.75" thickBot="1" x14ac:dyDescent="0.3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.75" thickBot="1" x14ac:dyDescent="0.3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.75" thickBot="1" x14ac:dyDescent="0.3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.75" thickBot="1" x14ac:dyDescent="0.3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.75" thickBot="1" x14ac:dyDescent="0.3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.75" thickBot="1" x14ac:dyDescent="0.3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.75" thickBot="1" x14ac:dyDescent="0.3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.75" thickBot="1" x14ac:dyDescent="0.3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.75" thickBot="1" x14ac:dyDescent="0.3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.75" thickBot="1" x14ac:dyDescent="0.3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.75" thickBot="1" x14ac:dyDescent="0.3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.75" thickBot="1" x14ac:dyDescent="0.3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.75" thickBot="1" x14ac:dyDescent="0.3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.75" thickBot="1" x14ac:dyDescent="0.3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.75" thickBot="1" x14ac:dyDescent="0.3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.75" thickBot="1" x14ac:dyDescent="0.3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.75" thickBot="1" x14ac:dyDescent="0.3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.75" thickBot="1" x14ac:dyDescent="0.3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.75" thickBot="1" x14ac:dyDescent="0.3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.75" thickBot="1" x14ac:dyDescent="0.3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.75" thickBot="1" x14ac:dyDescent="0.3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.75" thickBot="1" x14ac:dyDescent="0.3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.75" thickBot="1" x14ac:dyDescent="0.3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.75" thickBot="1" x14ac:dyDescent="0.3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.75" thickBot="1" x14ac:dyDescent="0.3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.75" thickBot="1" x14ac:dyDescent="0.3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.75" thickBot="1" x14ac:dyDescent="0.3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.75" thickBot="1" x14ac:dyDescent="0.3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.75" thickBot="1" x14ac:dyDescent="0.3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.75" thickBot="1" x14ac:dyDescent="0.3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.75" thickBot="1" x14ac:dyDescent="0.3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.75" thickBot="1" x14ac:dyDescent="0.3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.75" thickBot="1" x14ac:dyDescent="0.3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.75" thickBot="1" x14ac:dyDescent="0.3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.75" thickBot="1" x14ac:dyDescent="0.3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.75" thickBot="1" x14ac:dyDescent="0.3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.75" thickBot="1" x14ac:dyDescent="0.3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.75" thickBot="1" x14ac:dyDescent="0.3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.75" thickBot="1" x14ac:dyDescent="0.3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.75" thickBot="1" x14ac:dyDescent="0.3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.75" thickBot="1" x14ac:dyDescent="0.3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.75" thickBot="1" x14ac:dyDescent="0.3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.75" thickBot="1" x14ac:dyDescent="0.3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.75" thickBot="1" x14ac:dyDescent="0.3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.75" thickBot="1" x14ac:dyDescent="0.3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.75" thickBot="1" x14ac:dyDescent="0.3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.75" thickBot="1" x14ac:dyDescent="0.3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.75" thickBot="1" x14ac:dyDescent="0.3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.75" thickBot="1" x14ac:dyDescent="0.3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.75" thickBot="1" x14ac:dyDescent="0.3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.75" thickBot="1" x14ac:dyDescent="0.3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.75" thickBot="1" x14ac:dyDescent="0.3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.75" thickBot="1" x14ac:dyDescent="0.3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.75" thickBot="1" x14ac:dyDescent="0.3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.75" thickBot="1" x14ac:dyDescent="0.3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.75" thickBot="1" x14ac:dyDescent="0.3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.75" thickBot="1" x14ac:dyDescent="0.3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.75" thickBot="1" x14ac:dyDescent="0.3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.75" thickBot="1" x14ac:dyDescent="0.3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.75" thickBot="1" x14ac:dyDescent="0.3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.75" thickBot="1" x14ac:dyDescent="0.3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.75" thickBot="1" x14ac:dyDescent="0.3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.75" thickBot="1" x14ac:dyDescent="0.3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.75" thickBot="1" x14ac:dyDescent="0.3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.75" thickBot="1" x14ac:dyDescent="0.3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.75" thickBot="1" x14ac:dyDescent="0.3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.75" thickBot="1" x14ac:dyDescent="0.3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.75" thickBot="1" x14ac:dyDescent="0.3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.75" thickBot="1" x14ac:dyDescent="0.3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.75" thickBot="1" x14ac:dyDescent="0.3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.75" thickBot="1" x14ac:dyDescent="0.3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.75" thickBot="1" x14ac:dyDescent="0.3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.75" thickBot="1" x14ac:dyDescent="0.3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.75" thickBot="1" x14ac:dyDescent="0.3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.75" thickBot="1" x14ac:dyDescent="0.3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.75" thickBot="1" x14ac:dyDescent="0.3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.75" thickBot="1" x14ac:dyDescent="0.3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.75" thickBot="1" x14ac:dyDescent="0.3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.75" thickBot="1" x14ac:dyDescent="0.3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.75" thickBot="1" x14ac:dyDescent="0.3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.75" thickBot="1" x14ac:dyDescent="0.3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.75" thickBot="1" x14ac:dyDescent="0.3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.75" thickBot="1" x14ac:dyDescent="0.3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.75" thickBot="1" x14ac:dyDescent="0.3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.75" thickBot="1" x14ac:dyDescent="0.3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.75" thickBot="1" x14ac:dyDescent="0.3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.75" thickBot="1" x14ac:dyDescent="0.3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.75" thickBot="1" x14ac:dyDescent="0.3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.75" thickBot="1" x14ac:dyDescent="0.3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.75" thickBot="1" x14ac:dyDescent="0.3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.75" thickBot="1" x14ac:dyDescent="0.3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.75" thickBot="1" x14ac:dyDescent="0.3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.75" thickBot="1" x14ac:dyDescent="0.3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.75" thickBot="1" x14ac:dyDescent="0.3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.75" thickBot="1" x14ac:dyDescent="0.3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.75" thickBot="1" x14ac:dyDescent="0.3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.75" thickBot="1" x14ac:dyDescent="0.3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.75" thickBot="1" x14ac:dyDescent="0.3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.75" thickBot="1" x14ac:dyDescent="0.3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.75" thickBot="1" x14ac:dyDescent="0.3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.75" thickBot="1" x14ac:dyDescent="0.3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.75" thickBot="1" x14ac:dyDescent="0.3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.75" thickBot="1" x14ac:dyDescent="0.3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.75" thickBot="1" x14ac:dyDescent="0.3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.75" thickBot="1" x14ac:dyDescent="0.3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.75" thickBot="1" x14ac:dyDescent="0.3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.75" thickBot="1" x14ac:dyDescent="0.3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.75" thickBot="1" x14ac:dyDescent="0.3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.75" thickBot="1" x14ac:dyDescent="0.3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.75" thickBot="1" x14ac:dyDescent="0.3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.75" thickBot="1" x14ac:dyDescent="0.3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.75" thickBot="1" x14ac:dyDescent="0.3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.75" thickBot="1" x14ac:dyDescent="0.3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.75" thickBot="1" x14ac:dyDescent="0.3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.75" thickBot="1" x14ac:dyDescent="0.3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.75" thickBot="1" x14ac:dyDescent="0.3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.75" thickBot="1" x14ac:dyDescent="0.3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.75" thickBot="1" x14ac:dyDescent="0.3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.75" thickBot="1" x14ac:dyDescent="0.3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.75" thickBot="1" x14ac:dyDescent="0.3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.75" thickBot="1" x14ac:dyDescent="0.3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.75" thickBot="1" x14ac:dyDescent="0.3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.75" thickBot="1" x14ac:dyDescent="0.3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.75" thickBot="1" x14ac:dyDescent="0.3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.75" thickBot="1" x14ac:dyDescent="0.3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.75" thickBot="1" x14ac:dyDescent="0.3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.75" thickBot="1" x14ac:dyDescent="0.3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.75" thickBot="1" x14ac:dyDescent="0.3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.75" thickBot="1" x14ac:dyDescent="0.3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.75" thickBot="1" x14ac:dyDescent="0.3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.75" thickBot="1" x14ac:dyDescent="0.3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.75" thickBot="1" x14ac:dyDescent="0.3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.75" thickBot="1" x14ac:dyDescent="0.3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.75" thickBot="1" x14ac:dyDescent="0.3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.75" thickBot="1" x14ac:dyDescent="0.3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.75" thickBot="1" x14ac:dyDescent="0.3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.75" thickBot="1" x14ac:dyDescent="0.3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.75" thickBot="1" x14ac:dyDescent="0.3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.75" thickBot="1" x14ac:dyDescent="0.3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.75" thickBot="1" x14ac:dyDescent="0.3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.75" thickBot="1" x14ac:dyDescent="0.3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.75" thickBot="1" x14ac:dyDescent="0.3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.75" thickBot="1" x14ac:dyDescent="0.3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.75" thickBot="1" x14ac:dyDescent="0.3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.75" thickBot="1" x14ac:dyDescent="0.3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.75" thickBot="1" x14ac:dyDescent="0.3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.75" thickBot="1" x14ac:dyDescent="0.3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.75" thickBot="1" x14ac:dyDescent="0.3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.75" thickBot="1" x14ac:dyDescent="0.3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.75" thickBot="1" x14ac:dyDescent="0.3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.75" thickBot="1" x14ac:dyDescent="0.3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.75" thickBot="1" x14ac:dyDescent="0.3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.75" thickBot="1" x14ac:dyDescent="0.3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.75" thickBot="1" x14ac:dyDescent="0.3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.75" thickBot="1" x14ac:dyDescent="0.3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.75" thickBot="1" x14ac:dyDescent="0.3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.75" thickBot="1" x14ac:dyDescent="0.3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.75" thickBot="1" x14ac:dyDescent="0.3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.75" thickBot="1" x14ac:dyDescent="0.3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.75" thickBot="1" x14ac:dyDescent="0.3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.75" thickBot="1" x14ac:dyDescent="0.3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.75" thickBot="1" x14ac:dyDescent="0.3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.75" thickBot="1" x14ac:dyDescent="0.3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.75" thickBot="1" x14ac:dyDescent="0.3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.75" thickBot="1" x14ac:dyDescent="0.3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.75" thickBot="1" x14ac:dyDescent="0.3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.75" thickBot="1" x14ac:dyDescent="0.3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.75" thickBot="1" x14ac:dyDescent="0.3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.75" thickBot="1" x14ac:dyDescent="0.3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.75" thickBot="1" x14ac:dyDescent="0.3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.75" thickBot="1" x14ac:dyDescent="0.3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.75" thickBot="1" x14ac:dyDescent="0.3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.75" thickBot="1" x14ac:dyDescent="0.3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.75" thickBot="1" x14ac:dyDescent="0.3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.75" thickBot="1" x14ac:dyDescent="0.3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.75" thickBot="1" x14ac:dyDescent="0.3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.75" thickBot="1" x14ac:dyDescent="0.3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.75" thickBot="1" x14ac:dyDescent="0.3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.75" thickBot="1" x14ac:dyDescent="0.3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.75" thickBot="1" x14ac:dyDescent="0.3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.75" thickBot="1" x14ac:dyDescent="0.3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.75" thickBot="1" x14ac:dyDescent="0.3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.75" thickBot="1" x14ac:dyDescent="0.3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.75" thickBot="1" x14ac:dyDescent="0.3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.75" thickBot="1" x14ac:dyDescent="0.3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.75" thickBot="1" x14ac:dyDescent="0.3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.75" thickBot="1" x14ac:dyDescent="0.3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.75" thickBot="1" x14ac:dyDescent="0.3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.75" thickBot="1" x14ac:dyDescent="0.3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.75" thickBot="1" x14ac:dyDescent="0.3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.75" thickBot="1" x14ac:dyDescent="0.3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.75" thickBot="1" x14ac:dyDescent="0.3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.75" thickBot="1" x14ac:dyDescent="0.3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.75" thickBot="1" x14ac:dyDescent="0.3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.75" thickBot="1" x14ac:dyDescent="0.3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.75" thickBot="1" x14ac:dyDescent="0.3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.75" thickBot="1" x14ac:dyDescent="0.3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.75" thickBot="1" x14ac:dyDescent="0.3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.75" thickBot="1" x14ac:dyDescent="0.3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.75" thickBot="1" x14ac:dyDescent="0.3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.75" thickBot="1" x14ac:dyDescent="0.3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.75" thickBot="1" x14ac:dyDescent="0.3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.75" thickBot="1" x14ac:dyDescent="0.3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.75" thickBot="1" x14ac:dyDescent="0.3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.75" thickBot="1" x14ac:dyDescent="0.3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.75" thickBot="1" x14ac:dyDescent="0.3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.75" thickBot="1" x14ac:dyDescent="0.3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.75" thickBot="1" x14ac:dyDescent="0.3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.75" thickBot="1" x14ac:dyDescent="0.3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.75" thickBot="1" x14ac:dyDescent="0.3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.75" thickBot="1" x14ac:dyDescent="0.3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.75" thickBot="1" x14ac:dyDescent="0.3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.75" thickBot="1" x14ac:dyDescent="0.3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.75" thickBot="1" x14ac:dyDescent="0.3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.75" thickBot="1" x14ac:dyDescent="0.3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.75" thickBot="1" x14ac:dyDescent="0.3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.75" thickBot="1" x14ac:dyDescent="0.3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.75" thickBot="1" x14ac:dyDescent="0.3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.75" thickBot="1" x14ac:dyDescent="0.3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.75" thickBot="1" x14ac:dyDescent="0.3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.75" thickBot="1" x14ac:dyDescent="0.3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.75" thickBot="1" x14ac:dyDescent="0.3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.75" thickBot="1" x14ac:dyDescent="0.3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.75" thickBot="1" x14ac:dyDescent="0.3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.75" thickBot="1" x14ac:dyDescent="0.3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.75" thickBot="1" x14ac:dyDescent="0.3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.75" thickBot="1" x14ac:dyDescent="0.3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.75" thickBot="1" x14ac:dyDescent="0.3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.75" thickBot="1" x14ac:dyDescent="0.3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.75" thickBot="1" x14ac:dyDescent="0.3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.75" thickBot="1" x14ac:dyDescent="0.3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.75" thickBot="1" x14ac:dyDescent="0.3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.75" thickBot="1" x14ac:dyDescent="0.3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.75" thickBot="1" x14ac:dyDescent="0.3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.75" thickBot="1" x14ac:dyDescent="0.3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.75" thickBot="1" x14ac:dyDescent="0.3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.75" thickBot="1" x14ac:dyDescent="0.3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.75" thickBot="1" x14ac:dyDescent="0.3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.75" thickBot="1" x14ac:dyDescent="0.3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.75" thickBot="1" x14ac:dyDescent="0.3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.75" thickBot="1" x14ac:dyDescent="0.3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.75" thickBot="1" x14ac:dyDescent="0.3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.75" thickBot="1" x14ac:dyDescent="0.3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.75" thickBot="1" x14ac:dyDescent="0.3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.75" thickBot="1" x14ac:dyDescent="0.3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.75" thickBot="1" x14ac:dyDescent="0.3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.75" thickBot="1" x14ac:dyDescent="0.3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.75" thickBot="1" x14ac:dyDescent="0.3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.75" thickBot="1" x14ac:dyDescent="0.3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.75" thickBot="1" x14ac:dyDescent="0.3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.75" thickBot="1" x14ac:dyDescent="0.3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.75" thickBot="1" x14ac:dyDescent="0.3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.75" thickBot="1" x14ac:dyDescent="0.3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.75" thickBot="1" x14ac:dyDescent="0.3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.75" thickBot="1" x14ac:dyDescent="0.3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.75" thickBot="1" x14ac:dyDescent="0.3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.75" thickBot="1" x14ac:dyDescent="0.3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.75" thickBot="1" x14ac:dyDescent="0.3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.75" thickBot="1" x14ac:dyDescent="0.3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.75" thickBot="1" x14ac:dyDescent="0.3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.75" thickBot="1" x14ac:dyDescent="0.3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.75" thickBot="1" x14ac:dyDescent="0.3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.75" thickBot="1" x14ac:dyDescent="0.3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.75" thickBot="1" x14ac:dyDescent="0.3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.75" thickBot="1" x14ac:dyDescent="0.3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.75" thickBot="1" x14ac:dyDescent="0.3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.75" thickBot="1" x14ac:dyDescent="0.3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.75" thickBot="1" x14ac:dyDescent="0.3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.75" thickBot="1" x14ac:dyDescent="0.3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.75" thickBot="1" x14ac:dyDescent="0.3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.75" thickBot="1" x14ac:dyDescent="0.3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.75" thickBot="1" x14ac:dyDescent="0.3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.75" thickBot="1" x14ac:dyDescent="0.3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.75" thickBot="1" x14ac:dyDescent="0.3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.75" thickBot="1" x14ac:dyDescent="0.3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.75" thickBot="1" x14ac:dyDescent="0.3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.75" thickBot="1" x14ac:dyDescent="0.3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.75" thickBot="1" x14ac:dyDescent="0.3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.75" thickBot="1" x14ac:dyDescent="0.3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.75" thickBot="1" x14ac:dyDescent="0.3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.75" thickBot="1" x14ac:dyDescent="0.3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.75" thickBot="1" x14ac:dyDescent="0.3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.75" thickBot="1" x14ac:dyDescent="0.3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.75" thickBot="1" x14ac:dyDescent="0.3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.75" thickBot="1" x14ac:dyDescent="0.3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.75" thickBot="1" x14ac:dyDescent="0.3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.75" thickBot="1" x14ac:dyDescent="0.3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.75" thickBot="1" x14ac:dyDescent="0.3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.75" thickBot="1" x14ac:dyDescent="0.3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.75" thickBot="1" x14ac:dyDescent="0.3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.75" thickBot="1" x14ac:dyDescent="0.3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.75" thickBot="1" x14ac:dyDescent="0.3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.75" thickBot="1" x14ac:dyDescent="0.3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.75" thickBot="1" x14ac:dyDescent="0.3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.75" thickBot="1" x14ac:dyDescent="0.3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.75" thickBot="1" x14ac:dyDescent="0.3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.75" thickBot="1" x14ac:dyDescent="0.3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.75" thickBot="1" x14ac:dyDescent="0.3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.75" thickBot="1" x14ac:dyDescent="0.3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.75" thickBot="1" x14ac:dyDescent="0.3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.75" thickBot="1" x14ac:dyDescent="0.3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.75" thickBot="1" x14ac:dyDescent="0.3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.75" thickBot="1" x14ac:dyDescent="0.3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.75" thickBot="1" x14ac:dyDescent="0.3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.75" thickBot="1" x14ac:dyDescent="0.3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.75" thickBot="1" x14ac:dyDescent="0.3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.75" thickBot="1" x14ac:dyDescent="0.3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.75" thickBot="1" x14ac:dyDescent="0.3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.75" thickBot="1" x14ac:dyDescent="0.3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.75" thickBot="1" x14ac:dyDescent="0.3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.75" thickBot="1" x14ac:dyDescent="0.3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.75" thickBot="1" x14ac:dyDescent="0.3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.75" thickBot="1" x14ac:dyDescent="0.3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.75" thickBot="1" x14ac:dyDescent="0.3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.75" thickBot="1" x14ac:dyDescent="0.3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.75" thickBot="1" x14ac:dyDescent="0.3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.75" thickBot="1" x14ac:dyDescent="0.3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.75" thickBot="1" x14ac:dyDescent="0.3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.75" thickBot="1" x14ac:dyDescent="0.3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.75" thickBot="1" x14ac:dyDescent="0.3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.75" thickBot="1" x14ac:dyDescent="0.3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.75" thickBot="1" x14ac:dyDescent="0.3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.75" thickBot="1" x14ac:dyDescent="0.3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.75" thickBot="1" x14ac:dyDescent="0.3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.75" thickBot="1" x14ac:dyDescent="0.3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.75" thickBot="1" x14ac:dyDescent="0.3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.75" thickBot="1" x14ac:dyDescent="0.3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.75" thickBot="1" x14ac:dyDescent="0.3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.75" thickBot="1" x14ac:dyDescent="0.3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.75" thickBot="1" x14ac:dyDescent="0.3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.75" thickBot="1" x14ac:dyDescent="0.3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.75" thickBot="1" x14ac:dyDescent="0.3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.75" thickBot="1" x14ac:dyDescent="0.3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.75" thickBot="1" x14ac:dyDescent="0.3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.75" thickBot="1" x14ac:dyDescent="0.3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.75" thickBot="1" x14ac:dyDescent="0.3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.75" thickBot="1" x14ac:dyDescent="0.3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.75" thickBot="1" x14ac:dyDescent="0.3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.75" thickBot="1" x14ac:dyDescent="0.3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.75" thickBot="1" x14ac:dyDescent="0.3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.75" thickBot="1" x14ac:dyDescent="0.3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.75" thickBot="1" x14ac:dyDescent="0.3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.75" thickBot="1" x14ac:dyDescent="0.3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.75" thickBot="1" x14ac:dyDescent="0.3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.75" thickBot="1" x14ac:dyDescent="0.3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.75" thickBot="1" x14ac:dyDescent="0.3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.75" thickBot="1" x14ac:dyDescent="0.3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.75" thickBot="1" x14ac:dyDescent="0.3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.75" thickBot="1" x14ac:dyDescent="0.3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.75" thickBot="1" x14ac:dyDescent="0.3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.75" thickBot="1" x14ac:dyDescent="0.3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.75" thickBot="1" x14ac:dyDescent="0.3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.75" thickBot="1" x14ac:dyDescent="0.3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.75" thickBot="1" x14ac:dyDescent="0.3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.75" thickBot="1" x14ac:dyDescent="0.3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.75" thickBot="1" x14ac:dyDescent="0.3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.75" thickBot="1" x14ac:dyDescent="0.3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.75" thickBot="1" x14ac:dyDescent="0.3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.75" thickBot="1" x14ac:dyDescent="0.3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.75" thickBot="1" x14ac:dyDescent="0.3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.75" thickBot="1" x14ac:dyDescent="0.3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.75" thickBot="1" x14ac:dyDescent="0.3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.75" thickBot="1" x14ac:dyDescent="0.3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.75" thickBot="1" x14ac:dyDescent="0.3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.75" thickBot="1" x14ac:dyDescent="0.3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.75" thickBot="1" x14ac:dyDescent="0.3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.75" thickBot="1" x14ac:dyDescent="0.3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.75" thickBot="1" x14ac:dyDescent="0.3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.75" thickBot="1" x14ac:dyDescent="0.3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.75" thickBot="1" x14ac:dyDescent="0.3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.75" thickBot="1" x14ac:dyDescent="0.3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.75" thickBot="1" x14ac:dyDescent="0.3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.75" thickBot="1" x14ac:dyDescent="0.3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.75" thickBot="1" x14ac:dyDescent="0.3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.75" thickBot="1" x14ac:dyDescent="0.3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.75" thickBot="1" x14ac:dyDescent="0.3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.75" thickBot="1" x14ac:dyDescent="0.3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.75" thickBot="1" x14ac:dyDescent="0.3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.75" thickBot="1" x14ac:dyDescent="0.3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.75" thickBot="1" x14ac:dyDescent="0.3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.75" thickBot="1" x14ac:dyDescent="0.3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.75" thickBot="1" x14ac:dyDescent="0.3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.75" thickBot="1" x14ac:dyDescent="0.3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.75" thickBot="1" x14ac:dyDescent="0.3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.75" thickBot="1" x14ac:dyDescent="0.3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.75" thickBot="1" x14ac:dyDescent="0.3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.75" thickBot="1" x14ac:dyDescent="0.3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.75" thickBot="1" x14ac:dyDescent="0.3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.75" thickBot="1" x14ac:dyDescent="0.3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.75" thickBot="1" x14ac:dyDescent="0.3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.75" thickBot="1" x14ac:dyDescent="0.3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.75" thickBot="1" x14ac:dyDescent="0.3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.75" thickBot="1" x14ac:dyDescent="0.3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.75" thickBot="1" x14ac:dyDescent="0.3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.75" thickBot="1" x14ac:dyDescent="0.3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.75" thickBot="1" x14ac:dyDescent="0.3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.75" thickBot="1" x14ac:dyDescent="0.3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.75" thickBot="1" x14ac:dyDescent="0.3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.75" thickBot="1" x14ac:dyDescent="0.3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.75" thickBot="1" x14ac:dyDescent="0.3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.75" thickBot="1" x14ac:dyDescent="0.3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.75" thickBot="1" x14ac:dyDescent="0.3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.75" thickBot="1" x14ac:dyDescent="0.3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.75" thickBot="1" x14ac:dyDescent="0.3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.75" thickBot="1" x14ac:dyDescent="0.3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.75" thickBot="1" x14ac:dyDescent="0.3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.75" thickBot="1" x14ac:dyDescent="0.3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.75" thickBot="1" x14ac:dyDescent="0.3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.75" thickBot="1" x14ac:dyDescent="0.3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.75" thickBot="1" x14ac:dyDescent="0.3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.75" thickBot="1" x14ac:dyDescent="0.3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.75" thickBot="1" x14ac:dyDescent="0.3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.75" thickBot="1" x14ac:dyDescent="0.3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.75" thickBot="1" x14ac:dyDescent="0.3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.75" thickBot="1" x14ac:dyDescent="0.3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.75" thickBot="1" x14ac:dyDescent="0.3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.75" thickBot="1" x14ac:dyDescent="0.3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.75" thickBot="1" x14ac:dyDescent="0.3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.75" thickBot="1" x14ac:dyDescent="0.3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.75" thickBot="1" x14ac:dyDescent="0.3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.75" thickBot="1" x14ac:dyDescent="0.3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.75" thickBot="1" x14ac:dyDescent="0.3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.75" thickBot="1" x14ac:dyDescent="0.3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.75" thickBot="1" x14ac:dyDescent="0.3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.75" thickBot="1" x14ac:dyDescent="0.3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.75" thickBot="1" x14ac:dyDescent="0.3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.75" thickBot="1" x14ac:dyDescent="0.3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.75" thickBot="1" x14ac:dyDescent="0.3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.75" thickBot="1" x14ac:dyDescent="0.3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.75" thickBot="1" x14ac:dyDescent="0.3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.75" thickBot="1" x14ac:dyDescent="0.3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.75" thickBot="1" x14ac:dyDescent="0.3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.75" thickBot="1" x14ac:dyDescent="0.3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.75" thickBot="1" x14ac:dyDescent="0.3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.75" thickBot="1" x14ac:dyDescent="0.3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.75" thickBot="1" x14ac:dyDescent="0.3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.75" thickBot="1" x14ac:dyDescent="0.3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.75" thickBot="1" x14ac:dyDescent="0.3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.75" thickBot="1" x14ac:dyDescent="0.3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.75" thickBot="1" x14ac:dyDescent="0.3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.75" thickBot="1" x14ac:dyDescent="0.3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.75" thickBot="1" x14ac:dyDescent="0.3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.75" thickBot="1" x14ac:dyDescent="0.3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.75" thickBot="1" x14ac:dyDescent="0.3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.75" thickBot="1" x14ac:dyDescent="0.3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.75" thickBot="1" x14ac:dyDescent="0.3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.75" thickBot="1" x14ac:dyDescent="0.3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.75" thickBot="1" x14ac:dyDescent="0.3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.75" thickBot="1" x14ac:dyDescent="0.3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.75" thickBot="1" x14ac:dyDescent="0.3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.75" thickBot="1" x14ac:dyDescent="0.3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.75" thickBot="1" x14ac:dyDescent="0.3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.75" thickBot="1" x14ac:dyDescent="0.3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.75" thickBot="1" x14ac:dyDescent="0.3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.75" thickBot="1" x14ac:dyDescent="0.3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.75" thickBot="1" x14ac:dyDescent="0.3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.75" thickBot="1" x14ac:dyDescent="0.3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.75" thickBot="1" x14ac:dyDescent="0.3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.75" thickBot="1" x14ac:dyDescent="0.3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.75" thickBot="1" x14ac:dyDescent="0.3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.75" thickBot="1" x14ac:dyDescent="0.3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.75" thickBot="1" x14ac:dyDescent="0.3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.75" thickBot="1" x14ac:dyDescent="0.3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.75" thickBot="1" x14ac:dyDescent="0.3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.75" thickBot="1" x14ac:dyDescent="0.3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.75" thickBot="1" x14ac:dyDescent="0.3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.75" thickBot="1" x14ac:dyDescent="0.3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.75" thickBot="1" x14ac:dyDescent="0.3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.75" thickBot="1" x14ac:dyDescent="0.3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.75" thickBot="1" x14ac:dyDescent="0.3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.75" thickBot="1" x14ac:dyDescent="0.3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.75" thickBot="1" x14ac:dyDescent="0.3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.75" thickBot="1" x14ac:dyDescent="0.3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.75" thickBot="1" x14ac:dyDescent="0.3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.75" thickBot="1" x14ac:dyDescent="0.3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.75" thickBot="1" x14ac:dyDescent="0.3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.75" thickBot="1" x14ac:dyDescent="0.3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.75" thickBot="1" x14ac:dyDescent="0.3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.75" thickBot="1" x14ac:dyDescent="0.3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.75" thickBot="1" x14ac:dyDescent="0.3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.75" thickBot="1" x14ac:dyDescent="0.3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.75" thickBot="1" x14ac:dyDescent="0.3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.75" thickBot="1" x14ac:dyDescent="0.3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.75" thickBot="1" x14ac:dyDescent="0.3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.75" thickBot="1" x14ac:dyDescent="0.3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.75" thickBot="1" x14ac:dyDescent="0.3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.75" thickBot="1" x14ac:dyDescent="0.3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.75" thickBot="1" x14ac:dyDescent="0.3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.75" thickBot="1" x14ac:dyDescent="0.3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.75" thickBot="1" x14ac:dyDescent="0.3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.75" thickBot="1" x14ac:dyDescent="0.3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.75" thickBot="1" x14ac:dyDescent="0.3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.75" thickBot="1" x14ac:dyDescent="0.3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.75" thickBot="1" x14ac:dyDescent="0.3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.75" thickBot="1" x14ac:dyDescent="0.3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.75" thickBot="1" x14ac:dyDescent="0.3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.75" thickBot="1" x14ac:dyDescent="0.3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.75" thickBot="1" x14ac:dyDescent="0.3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.75" thickBot="1" x14ac:dyDescent="0.3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.75" thickBot="1" x14ac:dyDescent="0.3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.75" thickBot="1" x14ac:dyDescent="0.3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.75" thickBot="1" x14ac:dyDescent="0.3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.75" thickBot="1" x14ac:dyDescent="0.3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.75" thickBot="1" x14ac:dyDescent="0.3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.75" thickBot="1" x14ac:dyDescent="0.3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.75" thickBot="1" x14ac:dyDescent="0.3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.75" thickBot="1" x14ac:dyDescent="0.3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.75" thickBot="1" x14ac:dyDescent="0.3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.75" thickBot="1" x14ac:dyDescent="0.3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.75" thickBot="1" x14ac:dyDescent="0.3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.75" thickBot="1" x14ac:dyDescent="0.3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.75" thickBot="1" x14ac:dyDescent="0.3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.75" thickBot="1" x14ac:dyDescent="0.3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.75" thickBot="1" x14ac:dyDescent="0.3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.75" thickBot="1" x14ac:dyDescent="0.3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.75" thickBot="1" x14ac:dyDescent="0.3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.75" thickBot="1" x14ac:dyDescent="0.3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.75" thickBot="1" x14ac:dyDescent="0.3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.75" thickBot="1" x14ac:dyDescent="0.3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.75" thickBot="1" x14ac:dyDescent="0.3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.75" thickBot="1" x14ac:dyDescent="0.3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.75" thickBot="1" x14ac:dyDescent="0.3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.75" thickBot="1" x14ac:dyDescent="0.3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.75" thickBot="1" x14ac:dyDescent="0.3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.75" thickBot="1" x14ac:dyDescent="0.3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.75" thickBot="1" x14ac:dyDescent="0.3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.75" thickBot="1" x14ac:dyDescent="0.3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.75" thickBot="1" x14ac:dyDescent="0.3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.75" thickBot="1" x14ac:dyDescent="0.3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.75" thickBot="1" x14ac:dyDescent="0.3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.75" thickBot="1" x14ac:dyDescent="0.3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.75" thickBot="1" x14ac:dyDescent="0.3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.75" thickBot="1" x14ac:dyDescent="0.3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.75" thickBot="1" x14ac:dyDescent="0.3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.75" thickBot="1" x14ac:dyDescent="0.3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.75" thickBot="1" x14ac:dyDescent="0.3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.75" thickBot="1" x14ac:dyDescent="0.3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.75" thickBot="1" x14ac:dyDescent="0.3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.75" thickBot="1" x14ac:dyDescent="0.3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.75" thickBot="1" x14ac:dyDescent="0.3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.75" thickBot="1" x14ac:dyDescent="0.3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.75" thickBot="1" x14ac:dyDescent="0.3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.75" thickBot="1" x14ac:dyDescent="0.3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.75" thickBot="1" x14ac:dyDescent="0.3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.75" thickBot="1" x14ac:dyDescent="0.3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.75" thickBot="1" x14ac:dyDescent="0.3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.75" thickBot="1" x14ac:dyDescent="0.3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.75" thickBot="1" x14ac:dyDescent="0.3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.75" thickBot="1" x14ac:dyDescent="0.3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.75" thickBot="1" x14ac:dyDescent="0.3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.75" thickBot="1" x14ac:dyDescent="0.3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.75" thickBot="1" x14ac:dyDescent="0.3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.75" thickBot="1" x14ac:dyDescent="0.3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.75" thickBot="1" x14ac:dyDescent="0.3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.75" thickBot="1" x14ac:dyDescent="0.3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.75" thickBot="1" x14ac:dyDescent="0.3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.75" thickBot="1" x14ac:dyDescent="0.3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.75" thickBot="1" x14ac:dyDescent="0.3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.75" thickBot="1" x14ac:dyDescent="0.3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.75" thickBot="1" x14ac:dyDescent="0.3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.75" thickBot="1" x14ac:dyDescent="0.3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.75" thickBot="1" x14ac:dyDescent="0.3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.75" thickBot="1" x14ac:dyDescent="0.3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.75" thickBot="1" x14ac:dyDescent="0.3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.75" thickBot="1" x14ac:dyDescent="0.3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.75" thickBot="1" x14ac:dyDescent="0.3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.75" thickBot="1" x14ac:dyDescent="0.3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.75" thickBot="1" x14ac:dyDescent="0.3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.75" thickBot="1" x14ac:dyDescent="0.3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.75" thickBot="1" x14ac:dyDescent="0.3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.75" thickBot="1" x14ac:dyDescent="0.3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.75" thickBot="1" x14ac:dyDescent="0.3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.75" thickBot="1" x14ac:dyDescent="0.3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.75" thickBot="1" x14ac:dyDescent="0.3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.75" thickBot="1" x14ac:dyDescent="0.3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.75" thickBot="1" x14ac:dyDescent="0.3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.75" thickBot="1" x14ac:dyDescent="0.3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.75" thickBot="1" x14ac:dyDescent="0.3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.75" thickBot="1" x14ac:dyDescent="0.3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.75" thickBot="1" x14ac:dyDescent="0.3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.75" thickBot="1" x14ac:dyDescent="0.3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.75" thickBot="1" x14ac:dyDescent="0.3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.75" thickBot="1" x14ac:dyDescent="0.3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.75" thickBot="1" x14ac:dyDescent="0.3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.75" thickBot="1" x14ac:dyDescent="0.3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.75" thickBot="1" x14ac:dyDescent="0.3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.75" thickBot="1" x14ac:dyDescent="0.3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.75" thickBot="1" x14ac:dyDescent="0.3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.75" thickBot="1" x14ac:dyDescent="0.3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.75" thickBot="1" x14ac:dyDescent="0.3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.75" thickBot="1" x14ac:dyDescent="0.3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.75" thickBot="1" x14ac:dyDescent="0.3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.75" thickBot="1" x14ac:dyDescent="0.3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.75" thickBot="1" x14ac:dyDescent="0.3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.75" thickBot="1" x14ac:dyDescent="0.3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.75" thickBot="1" x14ac:dyDescent="0.3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.75" thickBot="1" x14ac:dyDescent="0.3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.75" thickBot="1" x14ac:dyDescent="0.3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.75" thickBot="1" x14ac:dyDescent="0.3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.75" thickBot="1" x14ac:dyDescent="0.3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.75" thickBot="1" x14ac:dyDescent="0.3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.75" thickBot="1" x14ac:dyDescent="0.3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.75" thickBot="1" x14ac:dyDescent="0.3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.75" thickBot="1" x14ac:dyDescent="0.3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.75" thickBot="1" x14ac:dyDescent="0.3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.75" thickBot="1" x14ac:dyDescent="0.3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.75" thickBot="1" x14ac:dyDescent="0.3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.75" thickBot="1" x14ac:dyDescent="0.3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.75" thickBot="1" x14ac:dyDescent="0.3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.75" thickBot="1" x14ac:dyDescent="0.3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.75" thickBot="1" x14ac:dyDescent="0.3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.75" thickBot="1" x14ac:dyDescent="0.3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.75" thickBot="1" x14ac:dyDescent="0.3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.75" thickBot="1" x14ac:dyDescent="0.3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.75" thickBot="1" x14ac:dyDescent="0.3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.75" thickBot="1" x14ac:dyDescent="0.3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.75" thickBot="1" x14ac:dyDescent="0.3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.75" thickBot="1" x14ac:dyDescent="0.3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.75" thickBot="1" x14ac:dyDescent="0.3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.75" thickBot="1" x14ac:dyDescent="0.3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.75" thickBot="1" x14ac:dyDescent="0.3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.75" thickBot="1" x14ac:dyDescent="0.3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.75" thickBot="1" x14ac:dyDescent="0.3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.75" thickBot="1" x14ac:dyDescent="0.3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.75" thickBot="1" x14ac:dyDescent="0.3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.75" thickBot="1" x14ac:dyDescent="0.3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.75" thickBot="1" x14ac:dyDescent="0.3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.75" thickBot="1" x14ac:dyDescent="0.3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.75" thickBot="1" x14ac:dyDescent="0.3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.75" thickBot="1" x14ac:dyDescent="0.3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.75" thickBot="1" x14ac:dyDescent="0.3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.75" thickBot="1" x14ac:dyDescent="0.3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.75" thickBot="1" x14ac:dyDescent="0.3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.75" thickBot="1" x14ac:dyDescent="0.3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.75" thickBot="1" x14ac:dyDescent="0.3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.75" thickBot="1" x14ac:dyDescent="0.3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.75" thickBot="1" x14ac:dyDescent="0.3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.75" thickBot="1" x14ac:dyDescent="0.3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.75" thickBot="1" x14ac:dyDescent="0.3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.75" thickBot="1" x14ac:dyDescent="0.3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.75" thickBot="1" x14ac:dyDescent="0.3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.75" thickBot="1" x14ac:dyDescent="0.3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.75" thickBot="1" x14ac:dyDescent="0.3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.75" thickBot="1" x14ac:dyDescent="0.3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.75" thickBot="1" x14ac:dyDescent="0.3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.75" thickBot="1" x14ac:dyDescent="0.3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.75" thickBot="1" x14ac:dyDescent="0.3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.75" thickBot="1" x14ac:dyDescent="0.3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.75" thickBot="1" x14ac:dyDescent="0.3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.75" thickBot="1" x14ac:dyDescent="0.3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.75" thickBot="1" x14ac:dyDescent="0.3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.75" thickBot="1" x14ac:dyDescent="0.3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.75" thickBot="1" x14ac:dyDescent="0.3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.75" thickBot="1" x14ac:dyDescent="0.3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.75" thickBot="1" x14ac:dyDescent="0.3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.75" thickBot="1" x14ac:dyDescent="0.3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.75" thickBot="1" x14ac:dyDescent="0.3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.75" thickBot="1" x14ac:dyDescent="0.3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.75" thickBot="1" x14ac:dyDescent="0.3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.75" thickBot="1" x14ac:dyDescent="0.3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.75" thickBot="1" x14ac:dyDescent="0.3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.75" thickBot="1" x14ac:dyDescent="0.3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.75" thickBot="1" x14ac:dyDescent="0.3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.75" thickBot="1" x14ac:dyDescent="0.3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.75" thickBot="1" x14ac:dyDescent="0.3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.75" thickBot="1" x14ac:dyDescent="0.3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.75" thickBot="1" x14ac:dyDescent="0.3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.75" thickBot="1" x14ac:dyDescent="0.3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.75" thickBot="1" x14ac:dyDescent="0.3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.75" thickBot="1" x14ac:dyDescent="0.3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.75" thickBot="1" x14ac:dyDescent="0.3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.75" thickBot="1" x14ac:dyDescent="0.3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.75" thickBot="1" x14ac:dyDescent="0.3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.75" thickBot="1" x14ac:dyDescent="0.3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.75" thickBot="1" x14ac:dyDescent="0.3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.75" thickBot="1" x14ac:dyDescent="0.3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.75" thickBot="1" x14ac:dyDescent="0.3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.75" thickBot="1" x14ac:dyDescent="0.3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.75" thickBot="1" x14ac:dyDescent="0.3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.75" thickBot="1" x14ac:dyDescent="0.3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.75" thickBot="1" x14ac:dyDescent="0.3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.75" thickBot="1" x14ac:dyDescent="0.3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.75" thickBot="1" x14ac:dyDescent="0.3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.75" thickBot="1" x14ac:dyDescent="0.3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.75" thickBot="1" x14ac:dyDescent="0.3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.75" thickBot="1" x14ac:dyDescent="0.3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.75" thickBot="1" x14ac:dyDescent="0.3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.75" thickBot="1" x14ac:dyDescent="0.3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.75" thickBot="1" x14ac:dyDescent="0.3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.75" thickBot="1" x14ac:dyDescent="0.3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.75" thickBot="1" x14ac:dyDescent="0.3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.75" thickBot="1" x14ac:dyDescent="0.3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.75" thickBot="1" x14ac:dyDescent="0.3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.75" thickBot="1" x14ac:dyDescent="0.3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.75" thickBot="1" x14ac:dyDescent="0.3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.75" thickBot="1" x14ac:dyDescent="0.3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.75" thickBot="1" x14ac:dyDescent="0.3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.75" thickBot="1" x14ac:dyDescent="0.3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.75" thickBot="1" x14ac:dyDescent="0.3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.75" thickBot="1" x14ac:dyDescent="0.3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.75" thickBot="1" x14ac:dyDescent="0.3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.75" thickBot="1" x14ac:dyDescent="0.3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.75" thickBot="1" x14ac:dyDescent="0.3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.75" thickBot="1" x14ac:dyDescent="0.3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.75" thickBot="1" x14ac:dyDescent="0.3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.75" thickBot="1" x14ac:dyDescent="0.3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.75" thickBot="1" x14ac:dyDescent="0.3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.75" thickBot="1" x14ac:dyDescent="0.3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.75" thickBot="1" x14ac:dyDescent="0.3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.75" thickBot="1" x14ac:dyDescent="0.3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.75" thickBot="1" x14ac:dyDescent="0.3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.75" thickBot="1" x14ac:dyDescent="0.3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.75" thickBot="1" x14ac:dyDescent="0.3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.75" thickBot="1" x14ac:dyDescent="0.3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.75" thickBot="1" x14ac:dyDescent="0.3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.75" thickBot="1" x14ac:dyDescent="0.3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.75" thickBot="1" x14ac:dyDescent="0.3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.75" thickBot="1" x14ac:dyDescent="0.3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.75" thickBot="1" x14ac:dyDescent="0.3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.75" thickBot="1" x14ac:dyDescent="0.3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.75" thickBot="1" x14ac:dyDescent="0.3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.75" thickBot="1" x14ac:dyDescent="0.3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.75" thickBot="1" x14ac:dyDescent="0.3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.75" thickBot="1" x14ac:dyDescent="0.3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.75" thickBot="1" x14ac:dyDescent="0.3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.75" thickBot="1" x14ac:dyDescent="0.3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.75" thickBot="1" x14ac:dyDescent="0.3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.75" thickBot="1" x14ac:dyDescent="0.3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.75" thickBot="1" x14ac:dyDescent="0.3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.75" thickBot="1" x14ac:dyDescent="0.3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.75" thickBot="1" x14ac:dyDescent="0.3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.75" thickBot="1" x14ac:dyDescent="0.3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.75" thickBot="1" x14ac:dyDescent="0.3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.75" thickBot="1" x14ac:dyDescent="0.3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.75" thickBot="1" x14ac:dyDescent="0.3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.75" thickBot="1" x14ac:dyDescent="0.3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.75" thickBot="1" x14ac:dyDescent="0.3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.75" thickBot="1" x14ac:dyDescent="0.3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.75" thickBot="1" x14ac:dyDescent="0.3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.75" thickBot="1" x14ac:dyDescent="0.3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.75" thickBot="1" x14ac:dyDescent="0.3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.75" thickBot="1" x14ac:dyDescent="0.3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.75" thickBot="1" x14ac:dyDescent="0.3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.75" thickBot="1" x14ac:dyDescent="0.3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.75" thickBot="1" x14ac:dyDescent="0.3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.75" thickBot="1" x14ac:dyDescent="0.3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.75" thickBot="1" x14ac:dyDescent="0.3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.75" thickBot="1" x14ac:dyDescent="0.3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.75" thickBot="1" x14ac:dyDescent="0.3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.75" thickBot="1" x14ac:dyDescent="0.3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.75" thickBot="1" x14ac:dyDescent="0.3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.75" thickBot="1" x14ac:dyDescent="0.3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.75" thickBot="1" x14ac:dyDescent="0.3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.75" thickBot="1" x14ac:dyDescent="0.3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.75" thickBot="1" x14ac:dyDescent="0.3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.75" thickBot="1" x14ac:dyDescent="0.3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.75" thickBot="1" x14ac:dyDescent="0.3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.75" thickBot="1" x14ac:dyDescent="0.3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.75" thickBot="1" x14ac:dyDescent="0.3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.75" thickBot="1" x14ac:dyDescent="0.3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.75" thickBot="1" x14ac:dyDescent="0.3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.75" thickBot="1" x14ac:dyDescent="0.3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.75" thickBot="1" x14ac:dyDescent="0.3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.75" thickBot="1" x14ac:dyDescent="0.3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.75" thickBot="1" x14ac:dyDescent="0.3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.75" thickBot="1" x14ac:dyDescent="0.3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.75" thickBot="1" x14ac:dyDescent="0.3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.75" thickBot="1" x14ac:dyDescent="0.3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.75" thickBot="1" x14ac:dyDescent="0.3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.75" thickBot="1" x14ac:dyDescent="0.3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.75" thickBot="1" x14ac:dyDescent="0.3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.75" thickBot="1" x14ac:dyDescent="0.3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.75" thickBot="1" x14ac:dyDescent="0.3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.75" thickBot="1" x14ac:dyDescent="0.3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.75" thickBot="1" x14ac:dyDescent="0.3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.75" thickBot="1" x14ac:dyDescent="0.3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.75" thickBot="1" x14ac:dyDescent="0.3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.75" thickBot="1" x14ac:dyDescent="0.3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.75" thickBot="1" x14ac:dyDescent="0.3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.75" thickBot="1" x14ac:dyDescent="0.3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.75" thickBot="1" x14ac:dyDescent="0.3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.75" thickBot="1" x14ac:dyDescent="0.3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.75" thickBot="1" x14ac:dyDescent="0.3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.75" thickBot="1" x14ac:dyDescent="0.3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.75" thickBot="1" x14ac:dyDescent="0.3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.75" thickBot="1" x14ac:dyDescent="0.3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.75" thickBot="1" x14ac:dyDescent="0.3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.75" thickBot="1" x14ac:dyDescent="0.3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.75" thickBot="1" x14ac:dyDescent="0.3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.75" thickBot="1" x14ac:dyDescent="0.3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.75" thickBot="1" x14ac:dyDescent="0.3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.75" thickBot="1" x14ac:dyDescent="0.3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.75" thickBot="1" x14ac:dyDescent="0.3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.75" thickBot="1" x14ac:dyDescent="0.3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.75" thickBot="1" x14ac:dyDescent="0.3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.75" thickBot="1" x14ac:dyDescent="0.3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.75" thickBot="1" x14ac:dyDescent="0.3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.75" thickBot="1" x14ac:dyDescent="0.3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.75" thickBot="1" x14ac:dyDescent="0.3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.75" thickBot="1" x14ac:dyDescent="0.3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.75" thickBot="1" x14ac:dyDescent="0.3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.75" thickBot="1" x14ac:dyDescent="0.3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.75" thickBot="1" x14ac:dyDescent="0.3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.75" thickBot="1" x14ac:dyDescent="0.3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.75" thickBot="1" x14ac:dyDescent="0.3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.75" thickBot="1" x14ac:dyDescent="0.3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.75" thickBot="1" x14ac:dyDescent="0.3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.75" thickBot="1" x14ac:dyDescent="0.3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.75" thickBot="1" x14ac:dyDescent="0.3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.75" thickBot="1" x14ac:dyDescent="0.3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.75" thickBot="1" x14ac:dyDescent="0.3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.75" thickBot="1" x14ac:dyDescent="0.3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.75" thickBot="1" x14ac:dyDescent="0.3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.75" thickBot="1" x14ac:dyDescent="0.3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.75" thickBot="1" x14ac:dyDescent="0.3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.75" thickBot="1" x14ac:dyDescent="0.3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.75" thickBot="1" x14ac:dyDescent="0.3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.75" thickBot="1" x14ac:dyDescent="0.3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.75" thickBot="1" x14ac:dyDescent="0.3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.75" thickBot="1" x14ac:dyDescent="0.3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.75" thickBot="1" x14ac:dyDescent="0.3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.75" thickBot="1" x14ac:dyDescent="0.3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.75" thickBot="1" x14ac:dyDescent="0.3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.75" thickBot="1" x14ac:dyDescent="0.3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.75" thickBot="1" x14ac:dyDescent="0.3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.75" thickBot="1" x14ac:dyDescent="0.3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.75" thickBot="1" x14ac:dyDescent="0.3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.75" thickBot="1" x14ac:dyDescent="0.3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.75" thickBot="1" x14ac:dyDescent="0.3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.75" thickBot="1" x14ac:dyDescent="0.3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.75" thickBot="1" x14ac:dyDescent="0.3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.75" thickBot="1" x14ac:dyDescent="0.3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.75" thickBot="1" x14ac:dyDescent="0.3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.75" thickBot="1" x14ac:dyDescent="0.3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.75" thickBot="1" x14ac:dyDescent="0.3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.75" thickBot="1" x14ac:dyDescent="0.3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.75" thickBot="1" x14ac:dyDescent="0.3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.75" thickBot="1" x14ac:dyDescent="0.3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.75" thickBot="1" x14ac:dyDescent="0.3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.75" thickBot="1" x14ac:dyDescent="0.3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.75" thickBot="1" x14ac:dyDescent="0.3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.75" thickBot="1" x14ac:dyDescent="0.3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.75" thickBot="1" x14ac:dyDescent="0.3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.75" thickBot="1" x14ac:dyDescent="0.3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.75" thickBot="1" x14ac:dyDescent="0.3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.75" thickBot="1" x14ac:dyDescent="0.3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.75" thickBot="1" x14ac:dyDescent="0.3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.75" thickBot="1" x14ac:dyDescent="0.3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.75" thickBot="1" x14ac:dyDescent="0.3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.75" thickBot="1" x14ac:dyDescent="0.3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.75" thickBot="1" x14ac:dyDescent="0.3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.75" thickBot="1" x14ac:dyDescent="0.3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.75" thickBot="1" x14ac:dyDescent="0.3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.75" thickBot="1" x14ac:dyDescent="0.3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.75" thickBot="1" x14ac:dyDescent="0.3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.75" thickBot="1" x14ac:dyDescent="0.3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.75" thickBot="1" x14ac:dyDescent="0.3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.75" thickBot="1" x14ac:dyDescent="0.3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.75" thickBot="1" x14ac:dyDescent="0.3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.75" thickBot="1" x14ac:dyDescent="0.3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.75" thickBot="1" x14ac:dyDescent="0.3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.75" thickBot="1" x14ac:dyDescent="0.3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.75" thickBot="1" x14ac:dyDescent="0.3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.75" thickBot="1" x14ac:dyDescent="0.3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.75" thickBot="1" x14ac:dyDescent="0.3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.75" thickBot="1" x14ac:dyDescent="0.3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.75" thickBot="1" x14ac:dyDescent="0.3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.75" thickBot="1" x14ac:dyDescent="0.3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.75" thickBot="1" x14ac:dyDescent="0.3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.75" thickBot="1" x14ac:dyDescent="0.3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.75" thickBot="1" x14ac:dyDescent="0.3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.75" thickBot="1" x14ac:dyDescent="0.3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.75" thickBot="1" x14ac:dyDescent="0.3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.75" thickBot="1" x14ac:dyDescent="0.3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.75" thickBot="1" x14ac:dyDescent="0.3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.75" thickBot="1" x14ac:dyDescent="0.3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.75" thickBot="1" x14ac:dyDescent="0.3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.75" thickBot="1" x14ac:dyDescent="0.3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.75" thickBot="1" x14ac:dyDescent="0.3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.75" thickBot="1" x14ac:dyDescent="0.3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.75" thickBot="1" x14ac:dyDescent="0.3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.75" thickBot="1" x14ac:dyDescent="0.3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.75" thickBot="1" x14ac:dyDescent="0.3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.75" thickBot="1" x14ac:dyDescent="0.3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.75" thickBot="1" x14ac:dyDescent="0.3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.75" thickBot="1" x14ac:dyDescent="0.3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.75" thickBot="1" x14ac:dyDescent="0.3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.75" thickBot="1" x14ac:dyDescent="0.3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.75" thickBot="1" x14ac:dyDescent="0.3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.75" thickBot="1" x14ac:dyDescent="0.3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.75" thickBot="1" x14ac:dyDescent="0.3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.75" thickBot="1" x14ac:dyDescent="0.3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.75" thickBot="1" x14ac:dyDescent="0.3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.75" thickBot="1" x14ac:dyDescent="0.3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.75" thickBot="1" x14ac:dyDescent="0.3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.75" thickBot="1" x14ac:dyDescent="0.3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.75" thickBot="1" x14ac:dyDescent="0.3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.75" thickBot="1" x14ac:dyDescent="0.3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.75" thickBot="1" x14ac:dyDescent="0.3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.75" thickBot="1" x14ac:dyDescent="0.3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.75" thickBot="1" x14ac:dyDescent="0.3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.75" thickBot="1" x14ac:dyDescent="0.3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.75" thickBot="1" x14ac:dyDescent="0.3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.75" thickBot="1" x14ac:dyDescent="0.3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.75" thickBot="1" x14ac:dyDescent="0.3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.75" thickBot="1" x14ac:dyDescent="0.3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.75" thickBot="1" x14ac:dyDescent="0.3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.75" thickBot="1" x14ac:dyDescent="0.3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.75" thickBot="1" x14ac:dyDescent="0.3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.75" thickBot="1" x14ac:dyDescent="0.3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.75" thickBot="1" x14ac:dyDescent="0.3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.75" thickBot="1" x14ac:dyDescent="0.3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.75" thickBot="1" x14ac:dyDescent="0.3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.75" thickBot="1" x14ac:dyDescent="0.3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.75" thickBot="1" x14ac:dyDescent="0.3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.75" thickBot="1" x14ac:dyDescent="0.3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.75" thickBot="1" x14ac:dyDescent="0.3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.75" thickBot="1" x14ac:dyDescent="0.3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.75" thickBot="1" x14ac:dyDescent="0.3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.75" thickBot="1" x14ac:dyDescent="0.3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.75" thickBot="1" x14ac:dyDescent="0.3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.75" thickBot="1" x14ac:dyDescent="0.3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.75" thickBot="1" x14ac:dyDescent="0.3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.75" thickBot="1" x14ac:dyDescent="0.3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.75" thickBot="1" x14ac:dyDescent="0.3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.75" thickBot="1" x14ac:dyDescent="0.3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.75" thickBot="1" x14ac:dyDescent="0.3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.75" thickBot="1" x14ac:dyDescent="0.3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.75" thickBot="1" x14ac:dyDescent="0.3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.75" thickBot="1" x14ac:dyDescent="0.3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.75" thickBot="1" x14ac:dyDescent="0.3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.75" thickBot="1" x14ac:dyDescent="0.3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.75" thickBot="1" x14ac:dyDescent="0.3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.75" thickBot="1" x14ac:dyDescent="0.3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.75" thickBot="1" x14ac:dyDescent="0.3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.75" thickBot="1" x14ac:dyDescent="0.3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.75" thickBot="1" x14ac:dyDescent="0.3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.75" thickBot="1" x14ac:dyDescent="0.3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.75" thickBot="1" x14ac:dyDescent="0.3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.75" thickBot="1" x14ac:dyDescent="0.3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.75" thickBot="1" x14ac:dyDescent="0.3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.75" thickBot="1" x14ac:dyDescent="0.3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.75" thickBot="1" x14ac:dyDescent="0.3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.75" thickBot="1" x14ac:dyDescent="0.3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.75" thickBot="1" x14ac:dyDescent="0.3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.75" thickBot="1" x14ac:dyDescent="0.3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.75" thickBot="1" x14ac:dyDescent="0.3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.75" thickBot="1" x14ac:dyDescent="0.3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.75" thickBot="1" x14ac:dyDescent="0.3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.75" thickBot="1" x14ac:dyDescent="0.3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.75" thickBot="1" x14ac:dyDescent="0.3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.75" thickBot="1" x14ac:dyDescent="0.3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.75" thickBot="1" x14ac:dyDescent="0.3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.75" thickBot="1" x14ac:dyDescent="0.3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.75" thickBot="1" x14ac:dyDescent="0.3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.75" thickBot="1" x14ac:dyDescent="0.3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.75" thickBot="1" x14ac:dyDescent="0.3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.75" thickBot="1" x14ac:dyDescent="0.3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.75" thickBot="1" x14ac:dyDescent="0.3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.75" thickBot="1" x14ac:dyDescent="0.3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.75" thickBot="1" x14ac:dyDescent="0.3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.75" thickBot="1" x14ac:dyDescent="0.3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.75" thickBot="1" x14ac:dyDescent="0.3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.75" thickBot="1" x14ac:dyDescent="0.3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.75" thickBot="1" x14ac:dyDescent="0.3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.75" thickBot="1" x14ac:dyDescent="0.3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.75" thickBot="1" x14ac:dyDescent="0.3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.75" thickBot="1" x14ac:dyDescent="0.3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.75" thickBot="1" x14ac:dyDescent="0.3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.75" thickBot="1" x14ac:dyDescent="0.3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.75" thickBot="1" x14ac:dyDescent="0.3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.75" thickBot="1" x14ac:dyDescent="0.3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.75" thickBot="1" x14ac:dyDescent="0.3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.75" thickBot="1" x14ac:dyDescent="0.3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.75" thickBot="1" x14ac:dyDescent="0.3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.75" thickBot="1" x14ac:dyDescent="0.3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.75" thickBot="1" x14ac:dyDescent="0.3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.75" thickBot="1" x14ac:dyDescent="0.3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.75" thickBot="1" x14ac:dyDescent="0.3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.75" thickBot="1" x14ac:dyDescent="0.3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.75" thickBot="1" x14ac:dyDescent="0.3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.75" thickBot="1" x14ac:dyDescent="0.3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.75" thickBot="1" x14ac:dyDescent="0.3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.75" thickBot="1" x14ac:dyDescent="0.3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.75" thickBot="1" x14ac:dyDescent="0.3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.75" thickBot="1" x14ac:dyDescent="0.3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.75" thickBot="1" x14ac:dyDescent="0.3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.75" thickBot="1" x14ac:dyDescent="0.3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.75" thickBot="1" x14ac:dyDescent="0.3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.75" thickBot="1" x14ac:dyDescent="0.3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.75" thickBot="1" x14ac:dyDescent="0.3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.75" thickBot="1" x14ac:dyDescent="0.3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.75" thickBot="1" x14ac:dyDescent="0.3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.75" thickBot="1" x14ac:dyDescent="0.3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.75" thickBot="1" x14ac:dyDescent="0.3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.75" thickBot="1" x14ac:dyDescent="0.3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.75" thickBot="1" x14ac:dyDescent="0.3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.75" thickBot="1" x14ac:dyDescent="0.3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.75" thickBot="1" x14ac:dyDescent="0.3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.75" thickBot="1" x14ac:dyDescent="0.3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.75" thickBot="1" x14ac:dyDescent="0.3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.75" thickBot="1" x14ac:dyDescent="0.3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.75" thickBot="1" x14ac:dyDescent="0.3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.75" thickBot="1" x14ac:dyDescent="0.3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.75" thickBot="1" x14ac:dyDescent="0.3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.75" thickBot="1" x14ac:dyDescent="0.3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.75" thickBot="1" x14ac:dyDescent="0.3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.75" thickBot="1" x14ac:dyDescent="0.3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.75" thickBot="1" x14ac:dyDescent="0.3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.75" thickBot="1" x14ac:dyDescent="0.3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.75" thickBot="1" x14ac:dyDescent="0.3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.75" thickBot="1" x14ac:dyDescent="0.3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.75" thickBot="1" x14ac:dyDescent="0.3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.75" thickBot="1" x14ac:dyDescent="0.3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.75" thickBot="1" x14ac:dyDescent="0.3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.75" thickBot="1" x14ac:dyDescent="0.3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.75" thickBot="1" x14ac:dyDescent="0.3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.75" thickBot="1" x14ac:dyDescent="0.3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.75" thickBot="1" x14ac:dyDescent="0.3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.75" thickBot="1" x14ac:dyDescent="0.3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.75" thickBot="1" x14ac:dyDescent="0.3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.75" thickBot="1" x14ac:dyDescent="0.3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.75" thickBot="1" x14ac:dyDescent="0.3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.75" thickBot="1" x14ac:dyDescent="0.3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.75" thickBot="1" x14ac:dyDescent="0.3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.75" thickBot="1" x14ac:dyDescent="0.3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.75" thickBot="1" x14ac:dyDescent="0.3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.75" thickBot="1" x14ac:dyDescent="0.3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.75" thickBot="1" x14ac:dyDescent="0.3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.75" thickBot="1" x14ac:dyDescent="0.3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.75" thickBot="1" x14ac:dyDescent="0.3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.75" thickBot="1" x14ac:dyDescent="0.3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.75" thickBot="1" x14ac:dyDescent="0.3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.75" thickBot="1" x14ac:dyDescent="0.3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.75" thickBot="1" x14ac:dyDescent="0.3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.75" thickBot="1" x14ac:dyDescent="0.3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.75" thickBot="1" x14ac:dyDescent="0.3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.75" thickBot="1" x14ac:dyDescent="0.3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.75" thickBot="1" x14ac:dyDescent="0.3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.75" thickBot="1" x14ac:dyDescent="0.3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.75" thickBot="1" x14ac:dyDescent="0.3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.75" thickBot="1" x14ac:dyDescent="0.3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.75" thickBot="1" x14ac:dyDescent="0.3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.75" thickBot="1" x14ac:dyDescent="0.3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.75" thickBot="1" x14ac:dyDescent="0.3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.75" thickBot="1" x14ac:dyDescent="0.3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.75" thickBot="1" x14ac:dyDescent="0.3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.75" thickBot="1" x14ac:dyDescent="0.3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.75" thickBot="1" x14ac:dyDescent="0.3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.75" thickBot="1" x14ac:dyDescent="0.3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.75" thickBot="1" x14ac:dyDescent="0.3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.75" thickBot="1" x14ac:dyDescent="0.3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.75" thickBot="1" x14ac:dyDescent="0.3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.75" thickBot="1" x14ac:dyDescent="0.3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.75" thickBot="1" x14ac:dyDescent="0.3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.75" thickBot="1" x14ac:dyDescent="0.3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.75" thickBot="1" x14ac:dyDescent="0.3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.75" thickBot="1" x14ac:dyDescent="0.3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.75" thickBot="1" x14ac:dyDescent="0.3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.75" thickBot="1" x14ac:dyDescent="0.3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.75" thickBot="1" x14ac:dyDescent="0.3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.75" thickBot="1" x14ac:dyDescent="0.3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.75" thickBot="1" x14ac:dyDescent="0.3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.75" thickBot="1" x14ac:dyDescent="0.3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.75" thickBot="1" x14ac:dyDescent="0.3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.75" thickBot="1" x14ac:dyDescent="0.3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.75" thickBot="1" x14ac:dyDescent="0.3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.75" thickBot="1" x14ac:dyDescent="0.3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.75" thickBot="1" x14ac:dyDescent="0.3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.75" thickBot="1" x14ac:dyDescent="0.3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.75" thickBot="1" x14ac:dyDescent="0.3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.75" thickBot="1" x14ac:dyDescent="0.3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.75" thickBot="1" x14ac:dyDescent="0.3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.75" thickBot="1" x14ac:dyDescent="0.3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.75" thickBot="1" x14ac:dyDescent="0.3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.75" thickBot="1" x14ac:dyDescent="0.3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.75" thickBot="1" x14ac:dyDescent="0.3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.75" thickBot="1" x14ac:dyDescent="0.3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.75" thickBot="1" x14ac:dyDescent="0.3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.75" thickBot="1" x14ac:dyDescent="0.3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.75" thickBot="1" x14ac:dyDescent="0.3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.75" thickBot="1" x14ac:dyDescent="0.3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.75" thickBot="1" x14ac:dyDescent="0.3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.75" thickBot="1" x14ac:dyDescent="0.3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.75" thickBot="1" x14ac:dyDescent="0.3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.75" thickBot="1" x14ac:dyDescent="0.3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.75" thickBot="1" x14ac:dyDescent="0.3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.75" thickBot="1" x14ac:dyDescent="0.3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.75" thickBot="1" x14ac:dyDescent="0.3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.75" thickBot="1" x14ac:dyDescent="0.3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.75" thickBot="1" x14ac:dyDescent="0.3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.75" thickBot="1" x14ac:dyDescent="0.3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.75" thickBot="1" x14ac:dyDescent="0.3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.75" thickBot="1" x14ac:dyDescent="0.3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.75" thickBot="1" x14ac:dyDescent="0.3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.75" thickBot="1" x14ac:dyDescent="0.3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.75" thickBot="1" x14ac:dyDescent="0.3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.75" thickBot="1" x14ac:dyDescent="0.3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.75" thickBot="1" x14ac:dyDescent="0.3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.75" thickBot="1" x14ac:dyDescent="0.3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.75" thickBot="1" x14ac:dyDescent="0.3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.75" thickBot="1" x14ac:dyDescent="0.3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.75" thickBot="1" x14ac:dyDescent="0.3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.75" thickBot="1" x14ac:dyDescent="0.3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.75" thickBot="1" x14ac:dyDescent="0.3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.75" thickBot="1" x14ac:dyDescent="0.3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.75" thickBot="1" x14ac:dyDescent="0.3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.75" thickBot="1" x14ac:dyDescent="0.3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.75" thickBot="1" x14ac:dyDescent="0.3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.75" thickBot="1" x14ac:dyDescent="0.3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.75" thickBot="1" x14ac:dyDescent="0.3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.75" thickBot="1" x14ac:dyDescent="0.3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.75" thickBot="1" x14ac:dyDescent="0.3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.75" thickBot="1" x14ac:dyDescent="0.3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.75" thickBot="1" x14ac:dyDescent="0.3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.75" thickBot="1" x14ac:dyDescent="0.3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.75" thickBot="1" x14ac:dyDescent="0.3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.75" thickBot="1" x14ac:dyDescent="0.3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.75" thickBot="1" x14ac:dyDescent="0.3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.75" thickBot="1" x14ac:dyDescent="0.3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.75" thickBot="1" x14ac:dyDescent="0.3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.75" thickBot="1" x14ac:dyDescent="0.3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.75" thickBot="1" x14ac:dyDescent="0.3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.75" thickBot="1" x14ac:dyDescent="0.3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.75" thickBot="1" x14ac:dyDescent="0.3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.75" thickBot="1" x14ac:dyDescent="0.3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.75" thickBot="1" x14ac:dyDescent="0.3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.75" thickBot="1" x14ac:dyDescent="0.3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.75" thickBot="1" x14ac:dyDescent="0.3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.75" thickBot="1" x14ac:dyDescent="0.3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.75" thickBot="1" x14ac:dyDescent="0.3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.75" thickBot="1" x14ac:dyDescent="0.3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.75" thickBot="1" x14ac:dyDescent="0.3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.75" thickBot="1" x14ac:dyDescent="0.3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.75" thickBot="1" x14ac:dyDescent="0.3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.75" thickBot="1" x14ac:dyDescent="0.3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.75" thickBot="1" x14ac:dyDescent="0.3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.75" thickBot="1" x14ac:dyDescent="0.3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.75" thickBot="1" x14ac:dyDescent="0.3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.75" thickBot="1" x14ac:dyDescent="0.3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.75" thickBot="1" x14ac:dyDescent="0.3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.75" thickBot="1" x14ac:dyDescent="0.3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.75" thickBot="1" x14ac:dyDescent="0.3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.75" thickBot="1" x14ac:dyDescent="0.3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.75" thickBot="1" x14ac:dyDescent="0.3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.75" thickBot="1" x14ac:dyDescent="0.3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.75" thickBot="1" x14ac:dyDescent="0.3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.75" thickBot="1" x14ac:dyDescent="0.3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.75" thickBot="1" x14ac:dyDescent="0.3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.75" thickBot="1" x14ac:dyDescent="0.3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.75" thickBot="1" x14ac:dyDescent="0.3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.75" thickBot="1" x14ac:dyDescent="0.3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.75" thickBot="1" x14ac:dyDescent="0.3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.75" thickBot="1" x14ac:dyDescent="0.3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.75" thickBot="1" x14ac:dyDescent="0.3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.75" thickBot="1" x14ac:dyDescent="0.3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.75" thickBot="1" x14ac:dyDescent="0.3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.75" thickBot="1" x14ac:dyDescent="0.3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.75" thickBot="1" x14ac:dyDescent="0.3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.75" thickBot="1" x14ac:dyDescent="0.3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.75" thickBot="1" x14ac:dyDescent="0.3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.75" thickBot="1" x14ac:dyDescent="0.3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.75" thickBot="1" x14ac:dyDescent="0.3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.75" thickBot="1" x14ac:dyDescent="0.3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.75" thickBot="1" x14ac:dyDescent="0.3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.75" thickBot="1" x14ac:dyDescent="0.3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.75" thickBot="1" x14ac:dyDescent="0.3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.75" thickBot="1" x14ac:dyDescent="0.3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.75" thickBot="1" x14ac:dyDescent="0.3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.75" thickBot="1" x14ac:dyDescent="0.3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.75" thickBot="1" x14ac:dyDescent="0.3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.75" thickBot="1" x14ac:dyDescent="0.3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.75" thickBot="1" x14ac:dyDescent="0.3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.75" thickBot="1" x14ac:dyDescent="0.3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.75" thickBot="1" x14ac:dyDescent="0.3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.75" thickBot="1" x14ac:dyDescent="0.3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.75" thickBot="1" x14ac:dyDescent="0.3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.75" thickBot="1" x14ac:dyDescent="0.3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.75" thickBot="1" x14ac:dyDescent="0.3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.75" thickBot="1" x14ac:dyDescent="0.3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.75" thickBot="1" x14ac:dyDescent="0.3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.75" thickBot="1" x14ac:dyDescent="0.3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.75" thickBot="1" x14ac:dyDescent="0.3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.75" thickBot="1" x14ac:dyDescent="0.3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.75" thickBot="1" x14ac:dyDescent="0.3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.75" thickBot="1" x14ac:dyDescent="0.3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.75" thickBot="1" x14ac:dyDescent="0.3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.75" thickBot="1" x14ac:dyDescent="0.3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.75" thickBot="1" x14ac:dyDescent="0.3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.75" thickBot="1" x14ac:dyDescent="0.3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.75" thickBot="1" x14ac:dyDescent="0.3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.75" thickBot="1" x14ac:dyDescent="0.3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.75" thickBot="1" x14ac:dyDescent="0.3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.75" thickBot="1" x14ac:dyDescent="0.3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.75" thickBot="1" x14ac:dyDescent="0.3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.75" thickBot="1" x14ac:dyDescent="0.3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.75" thickBot="1" x14ac:dyDescent="0.3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.75" thickBot="1" x14ac:dyDescent="0.3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.75" thickBot="1" x14ac:dyDescent="0.3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.75" thickBot="1" x14ac:dyDescent="0.3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.75" thickBot="1" x14ac:dyDescent="0.3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.75" thickBot="1" x14ac:dyDescent="0.3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.75" thickBot="1" x14ac:dyDescent="0.3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.75" thickBot="1" x14ac:dyDescent="0.3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.75" thickBot="1" x14ac:dyDescent="0.3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.75" thickBot="1" x14ac:dyDescent="0.3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.75" thickBot="1" x14ac:dyDescent="0.3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.75" thickBot="1" x14ac:dyDescent="0.3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.75" thickBot="1" x14ac:dyDescent="0.3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.75" thickBot="1" x14ac:dyDescent="0.3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.75" thickBot="1" x14ac:dyDescent="0.3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.75" thickBot="1" x14ac:dyDescent="0.3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.75" thickBot="1" x14ac:dyDescent="0.3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.75" thickBot="1" x14ac:dyDescent="0.3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.75" thickBot="1" x14ac:dyDescent="0.3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.75" thickBot="1" x14ac:dyDescent="0.3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.75" thickBot="1" x14ac:dyDescent="0.3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.75" thickBot="1" x14ac:dyDescent="0.3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.75" thickBot="1" x14ac:dyDescent="0.3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.75" thickBot="1" x14ac:dyDescent="0.3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.75" thickBot="1" x14ac:dyDescent="0.3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.75" thickBot="1" x14ac:dyDescent="0.3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.75" thickBot="1" x14ac:dyDescent="0.3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.75" thickBot="1" x14ac:dyDescent="0.3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.75" thickBot="1" x14ac:dyDescent="0.3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.75" thickBot="1" x14ac:dyDescent="0.3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.75" thickBot="1" x14ac:dyDescent="0.3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.75" thickBot="1" x14ac:dyDescent="0.3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.75" thickBot="1" x14ac:dyDescent="0.3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.75" thickBot="1" x14ac:dyDescent="0.3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.75" thickBot="1" x14ac:dyDescent="0.3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.75" thickBot="1" x14ac:dyDescent="0.3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.75" thickBot="1" x14ac:dyDescent="0.3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.75" thickBot="1" x14ac:dyDescent="0.3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.75" thickBot="1" x14ac:dyDescent="0.3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.75" thickBot="1" x14ac:dyDescent="0.3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.75" thickBot="1" x14ac:dyDescent="0.3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.75" thickBot="1" x14ac:dyDescent="0.3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.75" thickBot="1" x14ac:dyDescent="0.3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.75" thickBot="1" x14ac:dyDescent="0.3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.75" thickBot="1" x14ac:dyDescent="0.3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.75" thickBot="1" x14ac:dyDescent="0.3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.75" thickBot="1" x14ac:dyDescent="0.3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.75" thickBot="1" x14ac:dyDescent="0.3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.75" thickBot="1" x14ac:dyDescent="0.3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.75" thickBot="1" x14ac:dyDescent="0.3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.75" thickBot="1" x14ac:dyDescent="0.3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.75" thickBot="1" x14ac:dyDescent="0.3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.75" thickBot="1" x14ac:dyDescent="0.3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.75" thickBot="1" x14ac:dyDescent="0.3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.75" thickBot="1" x14ac:dyDescent="0.3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.75" thickBot="1" x14ac:dyDescent="0.3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.75" thickBot="1" x14ac:dyDescent="0.3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.75" thickBot="1" x14ac:dyDescent="0.3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.75" thickBot="1" x14ac:dyDescent="0.3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.75" thickBot="1" x14ac:dyDescent="0.3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.75" thickBot="1" x14ac:dyDescent="0.3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.75" thickBot="1" x14ac:dyDescent="0.3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.75" thickBot="1" x14ac:dyDescent="0.3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.75" thickBot="1" x14ac:dyDescent="0.3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.75" thickBot="1" x14ac:dyDescent="0.3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.75" thickBot="1" x14ac:dyDescent="0.3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.75" thickBot="1" x14ac:dyDescent="0.3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.75" thickBot="1" x14ac:dyDescent="0.3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.75" thickBot="1" x14ac:dyDescent="0.3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.75" thickBot="1" x14ac:dyDescent="0.3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.75" thickBot="1" x14ac:dyDescent="0.3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.75" thickBot="1" x14ac:dyDescent="0.3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.75" thickBot="1" x14ac:dyDescent="0.3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.75" thickBot="1" x14ac:dyDescent="0.3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.75" thickBot="1" x14ac:dyDescent="0.3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.75" thickBot="1" x14ac:dyDescent="0.3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.75" thickBot="1" x14ac:dyDescent="0.3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.75" thickBot="1" x14ac:dyDescent="0.3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.75" thickBot="1" x14ac:dyDescent="0.3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.75" thickBot="1" x14ac:dyDescent="0.3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.75" thickBot="1" x14ac:dyDescent="0.3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.75" thickBot="1" x14ac:dyDescent="0.3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.75" thickBot="1" x14ac:dyDescent="0.3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.75" thickBot="1" x14ac:dyDescent="0.3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.75" thickBot="1" x14ac:dyDescent="0.3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.75" thickBot="1" x14ac:dyDescent="0.3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.75" thickBot="1" x14ac:dyDescent="0.3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.75" thickBot="1" x14ac:dyDescent="0.3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.75" thickBot="1" x14ac:dyDescent="0.3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.75" thickBot="1" x14ac:dyDescent="0.3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.75" thickBot="1" x14ac:dyDescent="0.3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.75" thickBot="1" x14ac:dyDescent="0.3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.75" thickBot="1" x14ac:dyDescent="0.3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.75" thickBot="1" x14ac:dyDescent="0.3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.75" thickBot="1" x14ac:dyDescent="0.3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.75" thickBot="1" x14ac:dyDescent="0.3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.75" thickBot="1" x14ac:dyDescent="0.3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.75" thickBot="1" x14ac:dyDescent="0.3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.75" thickBot="1" x14ac:dyDescent="0.3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.75" thickBot="1" x14ac:dyDescent="0.3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.75" thickBot="1" x14ac:dyDescent="0.3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.75" thickBot="1" x14ac:dyDescent="0.3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.75" thickBot="1" x14ac:dyDescent="0.3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.75" thickBot="1" x14ac:dyDescent="0.3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.75" thickBot="1" x14ac:dyDescent="0.3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.75" thickBot="1" x14ac:dyDescent="0.3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.75" thickBot="1" x14ac:dyDescent="0.3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.75" thickBot="1" x14ac:dyDescent="0.3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.75" thickBot="1" x14ac:dyDescent="0.3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.75" thickBot="1" x14ac:dyDescent="0.3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.75" thickBot="1" x14ac:dyDescent="0.3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.75" thickBot="1" x14ac:dyDescent="0.3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.75" thickBot="1" x14ac:dyDescent="0.3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.75" thickBot="1" x14ac:dyDescent="0.3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.75" thickBot="1" x14ac:dyDescent="0.3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.75" thickBot="1" x14ac:dyDescent="0.3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.75" thickBot="1" x14ac:dyDescent="0.3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.75" thickBot="1" x14ac:dyDescent="0.3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.75" thickBot="1" x14ac:dyDescent="0.3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.75" thickBot="1" x14ac:dyDescent="0.3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.75" thickBot="1" x14ac:dyDescent="0.3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.75" thickBot="1" x14ac:dyDescent="0.3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.75" thickBot="1" x14ac:dyDescent="0.3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.75" thickBot="1" x14ac:dyDescent="0.3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.75" thickBot="1" x14ac:dyDescent="0.3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.75" thickBot="1" x14ac:dyDescent="0.3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.75" thickBot="1" x14ac:dyDescent="0.3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.75" thickBot="1" x14ac:dyDescent="0.3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.75" thickBot="1" x14ac:dyDescent="0.3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.75" thickBot="1" x14ac:dyDescent="0.3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.75" thickBot="1" x14ac:dyDescent="0.3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.75" thickBot="1" x14ac:dyDescent="0.3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.75" thickBot="1" x14ac:dyDescent="0.3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.75" thickBot="1" x14ac:dyDescent="0.3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.75" thickBot="1" x14ac:dyDescent="0.3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.75" thickBot="1" x14ac:dyDescent="0.3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.75" thickBot="1" x14ac:dyDescent="0.3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.75" thickBot="1" x14ac:dyDescent="0.3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.75" thickBot="1" x14ac:dyDescent="0.3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.75" thickBot="1" x14ac:dyDescent="0.3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.75" thickBot="1" x14ac:dyDescent="0.3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.75" thickBot="1" x14ac:dyDescent="0.3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.75" thickBot="1" x14ac:dyDescent="0.3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.75" thickBot="1" x14ac:dyDescent="0.3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.75" thickBot="1" x14ac:dyDescent="0.3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.75" thickBot="1" x14ac:dyDescent="0.3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.75" thickBot="1" x14ac:dyDescent="0.3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.75" thickBot="1" x14ac:dyDescent="0.3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.75" thickBot="1" x14ac:dyDescent="0.3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.75" thickBot="1" x14ac:dyDescent="0.3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.75" thickBot="1" x14ac:dyDescent="0.3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.75" thickBot="1" x14ac:dyDescent="0.3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.75" thickBot="1" x14ac:dyDescent="0.3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.75" thickBot="1" x14ac:dyDescent="0.3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.75" thickBot="1" x14ac:dyDescent="0.3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.75" thickBot="1" x14ac:dyDescent="0.3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.75" thickBot="1" x14ac:dyDescent="0.3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topLeftCell="A97" workbookViewId="0"/>
  </sheetViews>
  <sheetFormatPr defaultRowHeight="15" x14ac:dyDescent="0.25"/>
  <cols>
    <col min="1" max="1" width="44.42578125" customWidth="1"/>
  </cols>
  <sheetData>
    <row r="1" spans="1:1" x14ac:dyDescent="0.25">
      <c r="A1" t="s">
        <v>5931</v>
      </c>
    </row>
    <row r="2" spans="1:1" x14ac:dyDescent="0.25">
      <c r="A2" t="s">
        <v>5932</v>
      </c>
    </row>
    <row r="3" spans="1:1" x14ac:dyDescent="0.25">
      <c r="A3" t="s">
        <v>5933</v>
      </c>
    </row>
    <row r="4" spans="1:1" x14ac:dyDescent="0.25">
      <c r="A4" t="s">
        <v>5934</v>
      </c>
    </row>
    <row r="5" spans="1:1" x14ac:dyDescent="0.25">
      <c r="A5" t="s">
        <v>5935</v>
      </c>
    </row>
    <row r="6" spans="1:1" x14ac:dyDescent="0.25">
      <c r="A6" t="s">
        <v>5936</v>
      </c>
    </row>
    <row r="7" spans="1:1" x14ac:dyDescent="0.25">
      <c r="A7" t="s">
        <v>5937</v>
      </c>
    </row>
    <row r="8" spans="1:1" x14ac:dyDescent="0.25">
      <c r="A8" t="s">
        <v>5938</v>
      </c>
    </row>
    <row r="9" spans="1:1" x14ac:dyDescent="0.25">
      <c r="A9" t="s">
        <v>5939</v>
      </c>
    </row>
    <row r="10" spans="1:1" x14ac:dyDescent="0.25">
      <c r="A10" t="s">
        <v>5940</v>
      </c>
    </row>
    <row r="11" spans="1:1" x14ac:dyDescent="0.25">
      <c r="A11" t="s">
        <v>5941</v>
      </c>
    </row>
    <row r="12" spans="1:1" x14ac:dyDescent="0.25">
      <c r="A12" t="s">
        <v>5942</v>
      </c>
    </row>
    <row r="13" spans="1:1" x14ac:dyDescent="0.25">
      <c r="A13" t="s">
        <v>5943</v>
      </c>
    </row>
    <row r="14" spans="1:1" x14ac:dyDescent="0.25">
      <c r="A14" t="s">
        <v>5944</v>
      </c>
    </row>
    <row r="15" spans="1:1" x14ac:dyDescent="0.25">
      <c r="A15" t="s">
        <v>5945</v>
      </c>
    </row>
    <row r="16" spans="1:1" x14ac:dyDescent="0.25">
      <c r="A16" t="s">
        <v>5946</v>
      </c>
    </row>
    <row r="17" spans="1:1" x14ac:dyDescent="0.25">
      <c r="A17" t="s">
        <v>5947</v>
      </c>
    </row>
    <row r="18" spans="1:1" x14ac:dyDescent="0.25">
      <c r="A18" t="s">
        <v>5948</v>
      </c>
    </row>
    <row r="19" spans="1:1" x14ac:dyDescent="0.25">
      <c r="A19" t="s">
        <v>5949</v>
      </c>
    </row>
    <row r="20" spans="1:1" x14ac:dyDescent="0.25">
      <c r="A20" t="s">
        <v>5950</v>
      </c>
    </row>
    <row r="21" spans="1:1" x14ac:dyDescent="0.25">
      <c r="A21" t="s">
        <v>5951</v>
      </c>
    </row>
    <row r="22" spans="1:1" x14ac:dyDescent="0.25">
      <c r="A22" t="s">
        <v>5952</v>
      </c>
    </row>
    <row r="23" spans="1:1" x14ac:dyDescent="0.25">
      <c r="A23" t="s">
        <v>5953</v>
      </c>
    </row>
    <row r="24" spans="1:1" x14ac:dyDescent="0.25">
      <c r="A24" t="s">
        <v>5954</v>
      </c>
    </row>
    <row r="25" spans="1:1" x14ac:dyDescent="0.25">
      <c r="A25" t="s">
        <v>5955</v>
      </c>
    </row>
    <row r="26" spans="1:1" x14ac:dyDescent="0.25">
      <c r="A26" t="s">
        <v>5956</v>
      </c>
    </row>
    <row r="27" spans="1:1" x14ac:dyDescent="0.25">
      <c r="A27" t="s">
        <v>5957</v>
      </c>
    </row>
    <row r="28" spans="1:1" x14ac:dyDescent="0.25">
      <c r="A28" t="s">
        <v>5958</v>
      </c>
    </row>
    <row r="29" spans="1:1" x14ac:dyDescent="0.25">
      <c r="A29" t="s">
        <v>5959</v>
      </c>
    </row>
    <row r="30" spans="1:1" x14ac:dyDescent="0.25">
      <c r="A30" t="s">
        <v>5960</v>
      </c>
    </row>
    <row r="31" spans="1:1" x14ac:dyDescent="0.25">
      <c r="A31" t="s">
        <v>5961</v>
      </c>
    </row>
    <row r="32" spans="1:1" x14ac:dyDescent="0.25">
      <c r="A32" t="s">
        <v>5962</v>
      </c>
    </row>
    <row r="33" spans="1:1" x14ac:dyDescent="0.25">
      <c r="A33" t="s">
        <v>5963</v>
      </c>
    </row>
    <row r="34" spans="1:1" x14ac:dyDescent="0.25">
      <c r="A34" t="s">
        <v>5964</v>
      </c>
    </row>
    <row r="35" spans="1:1" x14ac:dyDescent="0.25">
      <c r="A35" t="s">
        <v>5965</v>
      </c>
    </row>
    <row r="36" spans="1:1" x14ac:dyDescent="0.25">
      <c r="A36" t="s">
        <v>5966</v>
      </c>
    </row>
    <row r="37" spans="1:1" x14ac:dyDescent="0.25">
      <c r="A37" t="s">
        <v>5967</v>
      </c>
    </row>
    <row r="38" spans="1:1" x14ac:dyDescent="0.25">
      <c r="A38" t="s">
        <v>5968</v>
      </c>
    </row>
    <row r="39" spans="1:1" x14ac:dyDescent="0.25">
      <c r="A39" t="s">
        <v>5969</v>
      </c>
    </row>
    <row r="40" spans="1:1" x14ac:dyDescent="0.25">
      <c r="A40" t="s">
        <v>5970</v>
      </c>
    </row>
    <row r="41" spans="1:1" x14ac:dyDescent="0.25">
      <c r="A41" t="s">
        <v>5971</v>
      </c>
    </row>
    <row r="42" spans="1:1" x14ac:dyDescent="0.25">
      <c r="A42" t="s">
        <v>5972</v>
      </c>
    </row>
    <row r="43" spans="1:1" x14ac:dyDescent="0.25">
      <c r="A43" t="s">
        <v>5973</v>
      </c>
    </row>
    <row r="44" spans="1:1" x14ac:dyDescent="0.25">
      <c r="A44" t="s">
        <v>5974</v>
      </c>
    </row>
    <row r="45" spans="1:1" x14ac:dyDescent="0.25">
      <c r="A45" t="s">
        <v>5975</v>
      </c>
    </row>
    <row r="46" spans="1:1" x14ac:dyDescent="0.25">
      <c r="A46" t="s">
        <v>5976</v>
      </c>
    </row>
    <row r="47" spans="1:1" x14ac:dyDescent="0.25">
      <c r="A47" t="s">
        <v>5977</v>
      </c>
    </row>
    <row r="48" spans="1:1" x14ac:dyDescent="0.25">
      <c r="A48" t="s">
        <v>5978</v>
      </c>
    </row>
    <row r="49" spans="1:1" x14ac:dyDescent="0.25">
      <c r="A49" t="s">
        <v>5979</v>
      </c>
    </row>
    <row r="50" spans="1:1" x14ac:dyDescent="0.25">
      <c r="A50" t="s">
        <v>5980</v>
      </c>
    </row>
    <row r="51" spans="1:1" x14ac:dyDescent="0.25">
      <c r="A51" t="s">
        <v>5981</v>
      </c>
    </row>
    <row r="52" spans="1:1" x14ac:dyDescent="0.25">
      <c r="A52" t="s">
        <v>5982</v>
      </c>
    </row>
    <row r="53" spans="1:1" x14ac:dyDescent="0.25">
      <c r="A53" t="s">
        <v>5983</v>
      </c>
    </row>
    <row r="54" spans="1:1" x14ac:dyDescent="0.25">
      <c r="A54" t="s">
        <v>5984</v>
      </c>
    </row>
    <row r="55" spans="1:1" x14ac:dyDescent="0.25">
      <c r="A55" t="s">
        <v>5985</v>
      </c>
    </row>
    <row r="56" spans="1:1" x14ac:dyDescent="0.25">
      <c r="A56" t="s">
        <v>5986</v>
      </c>
    </row>
    <row r="57" spans="1:1" x14ac:dyDescent="0.25">
      <c r="A57" t="s">
        <v>5987</v>
      </c>
    </row>
    <row r="58" spans="1:1" x14ac:dyDescent="0.25">
      <c r="A58" t="s">
        <v>5988</v>
      </c>
    </row>
    <row r="59" spans="1:1" x14ac:dyDescent="0.25">
      <c r="A59" t="s">
        <v>5989</v>
      </c>
    </row>
    <row r="60" spans="1:1" x14ac:dyDescent="0.25">
      <c r="A60" t="s">
        <v>5990</v>
      </c>
    </row>
    <row r="61" spans="1:1" x14ac:dyDescent="0.25">
      <c r="A61" t="s">
        <v>5991</v>
      </c>
    </row>
    <row r="62" spans="1:1" x14ac:dyDescent="0.25">
      <c r="A62" t="s">
        <v>5992</v>
      </c>
    </row>
    <row r="63" spans="1:1" x14ac:dyDescent="0.25">
      <c r="A63" t="s">
        <v>5993</v>
      </c>
    </row>
    <row r="64" spans="1:1" x14ac:dyDescent="0.25">
      <c r="A64" t="s">
        <v>5994</v>
      </c>
    </row>
    <row r="65" spans="1:1" x14ac:dyDescent="0.25">
      <c r="A65" t="s">
        <v>5995</v>
      </c>
    </row>
    <row r="66" spans="1:1" x14ac:dyDescent="0.25">
      <c r="A66" t="s">
        <v>5996</v>
      </c>
    </row>
    <row r="67" spans="1:1" x14ac:dyDescent="0.25">
      <c r="A67" t="s">
        <v>5997</v>
      </c>
    </row>
    <row r="68" spans="1:1" x14ac:dyDescent="0.25">
      <c r="A68" t="s">
        <v>5998</v>
      </c>
    </row>
    <row r="69" spans="1:1" x14ac:dyDescent="0.25">
      <c r="A69" t="s">
        <v>5999</v>
      </c>
    </row>
    <row r="70" spans="1:1" x14ac:dyDescent="0.25">
      <c r="A70" t="s">
        <v>6000</v>
      </c>
    </row>
    <row r="71" spans="1:1" x14ac:dyDescent="0.25">
      <c r="A71" t="s">
        <v>6001</v>
      </c>
    </row>
    <row r="72" spans="1:1" x14ac:dyDescent="0.25">
      <c r="A72" t="s">
        <v>6002</v>
      </c>
    </row>
    <row r="73" spans="1:1" x14ac:dyDescent="0.25">
      <c r="A73" t="s">
        <v>6003</v>
      </c>
    </row>
    <row r="74" spans="1:1" x14ac:dyDescent="0.25">
      <c r="A74" t="s">
        <v>6004</v>
      </c>
    </row>
    <row r="75" spans="1:1" x14ac:dyDescent="0.25">
      <c r="A75" t="s">
        <v>6005</v>
      </c>
    </row>
    <row r="76" spans="1:1" x14ac:dyDescent="0.25">
      <c r="A76" t="s">
        <v>6006</v>
      </c>
    </row>
    <row r="77" spans="1:1" x14ac:dyDescent="0.25">
      <c r="A77" t="s">
        <v>6007</v>
      </c>
    </row>
    <row r="78" spans="1:1" x14ac:dyDescent="0.25">
      <c r="A78" t="s">
        <v>6008</v>
      </c>
    </row>
    <row r="79" spans="1:1" x14ac:dyDescent="0.25">
      <c r="A79" t="s">
        <v>6009</v>
      </c>
    </row>
    <row r="80" spans="1:1" x14ac:dyDescent="0.25">
      <c r="A80" t="s">
        <v>6010</v>
      </c>
    </row>
    <row r="81" spans="1:1" x14ac:dyDescent="0.25">
      <c r="A81" t="s">
        <v>6011</v>
      </c>
    </row>
    <row r="82" spans="1:1" x14ac:dyDescent="0.25">
      <c r="A82" t="s">
        <v>6012</v>
      </c>
    </row>
    <row r="83" spans="1:1" x14ac:dyDescent="0.25">
      <c r="A83" t="s">
        <v>6013</v>
      </c>
    </row>
    <row r="84" spans="1:1" x14ac:dyDescent="0.25">
      <c r="A84" t="s">
        <v>6014</v>
      </c>
    </row>
    <row r="85" spans="1:1" x14ac:dyDescent="0.25">
      <c r="A85" t="s">
        <v>6015</v>
      </c>
    </row>
    <row r="86" spans="1:1" x14ac:dyDescent="0.25">
      <c r="A86" t="s">
        <v>6016</v>
      </c>
    </row>
    <row r="87" spans="1:1" x14ac:dyDescent="0.25">
      <c r="A87" t="s">
        <v>6017</v>
      </c>
    </row>
    <row r="88" spans="1:1" x14ac:dyDescent="0.25">
      <c r="A88" t="s">
        <v>6018</v>
      </c>
    </row>
    <row r="89" spans="1:1" x14ac:dyDescent="0.25">
      <c r="A89" t="s">
        <v>6019</v>
      </c>
    </row>
    <row r="90" spans="1:1" x14ac:dyDescent="0.25">
      <c r="A90" t="s">
        <v>6020</v>
      </c>
    </row>
    <row r="91" spans="1:1" x14ac:dyDescent="0.25">
      <c r="A91" t="s">
        <v>6021</v>
      </c>
    </row>
    <row r="92" spans="1:1" x14ac:dyDescent="0.25">
      <c r="A92" t="s">
        <v>6022</v>
      </c>
    </row>
    <row r="93" spans="1:1" x14ac:dyDescent="0.25">
      <c r="A93" t="s">
        <v>6023</v>
      </c>
    </row>
    <row r="94" spans="1:1" x14ac:dyDescent="0.25">
      <c r="A94" t="s">
        <v>6024</v>
      </c>
    </row>
    <row r="95" spans="1:1" x14ac:dyDescent="0.25">
      <c r="A95" t="s">
        <v>6025</v>
      </c>
    </row>
    <row r="96" spans="1:1" x14ac:dyDescent="0.25">
      <c r="A96" t="s">
        <v>6026</v>
      </c>
    </row>
    <row r="97" spans="1:1" x14ac:dyDescent="0.25">
      <c r="A97" t="s">
        <v>6027</v>
      </c>
    </row>
    <row r="98" spans="1:1" x14ac:dyDescent="0.25">
      <c r="A98" t="s">
        <v>6028</v>
      </c>
    </row>
    <row r="99" spans="1:1" x14ac:dyDescent="0.25">
      <c r="A99" t="s">
        <v>6029</v>
      </c>
    </row>
    <row r="100" spans="1:1" x14ac:dyDescent="0.25">
      <c r="A100" t="s">
        <v>6030</v>
      </c>
    </row>
    <row r="101" spans="1:1" x14ac:dyDescent="0.25">
      <c r="A101" t="s">
        <v>6031</v>
      </c>
    </row>
    <row r="102" spans="1:1" x14ac:dyDescent="0.25">
      <c r="A102" t="s">
        <v>6032</v>
      </c>
    </row>
    <row r="103" spans="1:1" x14ac:dyDescent="0.25">
      <c r="A103" t="s">
        <v>6072</v>
      </c>
    </row>
    <row r="104" spans="1:1" x14ac:dyDescent="0.25">
      <c r="A104" t="s">
        <v>6073</v>
      </c>
    </row>
    <row r="105" spans="1:1" x14ac:dyDescent="0.25">
      <c r="A105" t="s">
        <v>6074</v>
      </c>
    </row>
    <row r="106" spans="1:1" x14ac:dyDescent="0.25">
      <c r="A106" t="s">
        <v>6075</v>
      </c>
    </row>
    <row r="107" spans="1:1" x14ac:dyDescent="0.25">
      <c r="A107" t="s">
        <v>6076</v>
      </c>
    </row>
    <row r="108" spans="1:1" x14ac:dyDescent="0.25">
      <c r="A108" t="s">
        <v>6077</v>
      </c>
    </row>
    <row r="109" spans="1:1" x14ac:dyDescent="0.25">
      <c r="A109" t="s">
        <v>6078</v>
      </c>
    </row>
    <row r="110" spans="1:1" x14ac:dyDescent="0.25">
      <c r="A110" t="s">
        <v>6079</v>
      </c>
    </row>
    <row r="111" spans="1:1" x14ac:dyDescent="0.25">
      <c r="A111" t="s">
        <v>6080</v>
      </c>
    </row>
    <row r="112" spans="1:1" x14ac:dyDescent="0.25">
      <c r="A112" t="s">
        <v>6081</v>
      </c>
    </row>
    <row r="113" spans="1:1" x14ac:dyDescent="0.25">
      <c r="A113" t="s">
        <v>6082</v>
      </c>
    </row>
    <row r="114" spans="1:1" x14ac:dyDescent="0.25">
      <c r="A114" t="s">
        <v>6083</v>
      </c>
    </row>
    <row r="115" spans="1:1" x14ac:dyDescent="0.25">
      <c r="A115" t="s">
        <v>6084</v>
      </c>
    </row>
    <row r="116" spans="1:1" x14ac:dyDescent="0.25">
      <c r="A116" t="s">
        <v>6085</v>
      </c>
    </row>
    <row r="117" spans="1:1" x14ac:dyDescent="0.25">
      <c r="A117" t="s">
        <v>6086</v>
      </c>
    </row>
    <row r="118" spans="1:1" x14ac:dyDescent="0.25">
      <c r="A118" t="s">
        <v>6087</v>
      </c>
    </row>
    <row r="119" spans="1:1" x14ac:dyDescent="0.25">
      <c r="A119" t="s">
        <v>6318</v>
      </c>
    </row>
    <row r="120" spans="1:1" x14ac:dyDescent="0.25">
      <c r="A120" t="s">
        <v>6319</v>
      </c>
    </row>
    <row r="121" spans="1:1" x14ac:dyDescent="0.25">
      <c r="A121" t="s">
        <v>6320</v>
      </c>
    </row>
    <row r="122" spans="1:1" x14ac:dyDescent="0.25">
      <c r="A122" t="s">
        <v>6321</v>
      </c>
    </row>
    <row r="123" spans="1:1" x14ac:dyDescent="0.25">
      <c r="A123" t="s">
        <v>6322</v>
      </c>
    </row>
    <row r="124" spans="1:1" x14ac:dyDescent="0.25">
      <c r="A124" t="s">
        <v>6323</v>
      </c>
    </row>
    <row r="125" spans="1:1" x14ac:dyDescent="0.25">
      <c r="A125" t="s">
        <v>6324</v>
      </c>
    </row>
    <row r="126" spans="1:1" x14ac:dyDescent="0.25">
      <c r="A126" t="s">
        <v>6325</v>
      </c>
    </row>
    <row r="127" spans="1:1" x14ac:dyDescent="0.25">
      <c r="A127" t="s">
        <v>6326</v>
      </c>
    </row>
    <row r="128" spans="1:1" x14ac:dyDescent="0.25">
      <c r="A128" t="s">
        <v>6327</v>
      </c>
    </row>
    <row r="129" spans="1:1" x14ac:dyDescent="0.25">
      <c r="A129" t="s">
        <v>6328</v>
      </c>
    </row>
    <row r="130" spans="1:1" x14ac:dyDescent="0.25">
      <c r="A130" t="s">
        <v>6329</v>
      </c>
    </row>
    <row r="131" spans="1:1" x14ac:dyDescent="0.25">
      <c r="A131" t="s">
        <v>6330</v>
      </c>
    </row>
    <row r="132" spans="1:1" x14ac:dyDescent="0.25">
      <c r="A132" t="s">
        <v>6331</v>
      </c>
    </row>
    <row r="133" spans="1:1" x14ac:dyDescent="0.25">
      <c r="A133" t="s">
        <v>6332</v>
      </c>
    </row>
    <row r="134" spans="1:1" x14ac:dyDescent="0.25">
      <c r="A134" t="s">
        <v>6333</v>
      </c>
    </row>
    <row r="135" spans="1:1" x14ac:dyDescent="0.25">
      <c r="A135" t="s">
        <v>6334</v>
      </c>
    </row>
    <row r="136" spans="1:1" x14ac:dyDescent="0.25">
      <c r="A136" t="s">
        <v>6335</v>
      </c>
    </row>
    <row r="137" spans="1:1" x14ac:dyDescent="0.25">
      <c r="A137" t="s">
        <v>6336</v>
      </c>
    </row>
    <row r="138" spans="1:1" x14ac:dyDescent="0.25">
      <c r="A138" t="s">
        <v>6337</v>
      </c>
    </row>
    <row r="139" spans="1:1" x14ac:dyDescent="0.25">
      <c r="A139" t="s">
        <v>6338</v>
      </c>
    </row>
    <row r="140" spans="1:1" x14ac:dyDescent="0.25">
      <c r="A140" t="s">
        <v>6339</v>
      </c>
    </row>
    <row r="141" spans="1:1" x14ac:dyDescent="0.25">
      <c r="A141" t="s">
        <v>6340</v>
      </c>
    </row>
    <row r="142" spans="1:1" x14ac:dyDescent="0.25">
      <c r="A142" t="s">
        <v>6341</v>
      </c>
    </row>
    <row r="143" spans="1:1" x14ac:dyDescent="0.25">
      <c r="A143" t="s">
        <v>6342</v>
      </c>
    </row>
    <row r="144" spans="1:1" x14ac:dyDescent="0.25">
      <c r="A144" t="s">
        <v>6343</v>
      </c>
    </row>
    <row r="145" spans="1:1" x14ac:dyDescent="0.25">
      <c r="A145" t="s">
        <v>6344</v>
      </c>
    </row>
    <row r="146" spans="1:1" x14ac:dyDescent="0.25">
      <c r="A146" t="s">
        <v>6345</v>
      </c>
    </row>
    <row r="147" spans="1:1" x14ac:dyDescent="0.25">
      <c r="A147" t="s">
        <v>6346</v>
      </c>
    </row>
    <row r="148" spans="1:1" x14ac:dyDescent="0.25">
      <c r="A148" t="s">
        <v>6347</v>
      </c>
    </row>
    <row r="149" spans="1:1" x14ac:dyDescent="0.25">
      <c r="A149" t="s">
        <v>6348</v>
      </c>
    </row>
    <row r="150" spans="1:1" x14ac:dyDescent="0.25">
      <c r="A150" t="s">
        <v>6349</v>
      </c>
    </row>
    <row r="151" spans="1:1" x14ac:dyDescent="0.25">
      <c r="A151" t="s">
        <v>6350</v>
      </c>
    </row>
    <row r="152" spans="1:1" x14ac:dyDescent="0.25">
      <c r="A152" t="s">
        <v>6351</v>
      </c>
    </row>
    <row r="153" spans="1:1" x14ac:dyDescent="0.25">
      <c r="A153" t="s">
        <v>6352</v>
      </c>
    </row>
    <row r="154" spans="1:1" x14ac:dyDescent="0.25">
      <c r="A154" t="s">
        <v>6353</v>
      </c>
    </row>
    <row r="155" spans="1:1" x14ac:dyDescent="0.25">
      <c r="A155" t="s">
        <v>6354</v>
      </c>
    </row>
    <row r="156" spans="1:1" x14ac:dyDescent="0.25">
      <c r="A156" t="s">
        <v>6355</v>
      </c>
    </row>
    <row r="157" spans="1:1" x14ac:dyDescent="0.25">
      <c r="A157" t="s">
        <v>6356</v>
      </c>
    </row>
    <row r="158" spans="1:1" x14ac:dyDescent="0.25">
      <c r="A158" t="s">
        <v>6357</v>
      </c>
    </row>
    <row r="159" spans="1:1" x14ac:dyDescent="0.25">
      <c r="A159" t="s">
        <v>6358</v>
      </c>
    </row>
    <row r="160" spans="1:1" x14ac:dyDescent="0.25">
      <c r="A160" t="s">
        <v>6359</v>
      </c>
    </row>
    <row r="161" spans="1:1" x14ac:dyDescent="0.25">
      <c r="A161" t="s">
        <v>6360</v>
      </c>
    </row>
    <row r="162" spans="1:1" x14ac:dyDescent="0.25">
      <c r="A162" t="s">
        <v>6361</v>
      </c>
    </row>
    <row r="163" spans="1:1" x14ac:dyDescent="0.25">
      <c r="A163" t="s">
        <v>6362</v>
      </c>
    </row>
    <row r="164" spans="1:1" x14ac:dyDescent="0.25">
      <c r="A164" t="s">
        <v>6363</v>
      </c>
    </row>
    <row r="165" spans="1:1" x14ac:dyDescent="0.25">
      <c r="A165" t="s">
        <v>6364</v>
      </c>
    </row>
    <row r="166" spans="1:1" x14ac:dyDescent="0.25">
      <c r="A166" t="s">
        <v>6365</v>
      </c>
    </row>
    <row r="167" spans="1:1" x14ac:dyDescent="0.25">
      <c r="A167" t="s">
        <v>6366</v>
      </c>
    </row>
    <row r="168" spans="1:1" x14ac:dyDescent="0.25">
      <c r="A168" t="s">
        <v>6367</v>
      </c>
    </row>
    <row r="169" spans="1:1" x14ac:dyDescent="0.25">
      <c r="A169" t="s">
        <v>6368</v>
      </c>
    </row>
    <row r="170" spans="1:1" x14ac:dyDescent="0.25">
      <c r="A170" t="s">
        <v>6369</v>
      </c>
    </row>
    <row r="171" spans="1:1" x14ac:dyDescent="0.25">
      <c r="A171" t="s">
        <v>6370</v>
      </c>
    </row>
    <row r="172" spans="1:1" x14ac:dyDescent="0.25">
      <c r="A172" t="s">
        <v>6371</v>
      </c>
    </row>
    <row r="173" spans="1:1" x14ac:dyDescent="0.25">
      <c r="A173" t="s">
        <v>6372</v>
      </c>
    </row>
    <row r="174" spans="1:1" x14ac:dyDescent="0.25">
      <c r="A174" t="s">
        <v>6373</v>
      </c>
    </row>
    <row r="175" spans="1:1" x14ac:dyDescent="0.25">
      <c r="A175" t="s">
        <v>6374</v>
      </c>
    </row>
    <row r="176" spans="1:1" x14ac:dyDescent="0.25">
      <c r="A176" t="s">
        <v>6375</v>
      </c>
    </row>
    <row r="177" spans="1:1" x14ac:dyDescent="0.25">
      <c r="A177" t="s">
        <v>6376</v>
      </c>
    </row>
    <row r="178" spans="1:1" x14ac:dyDescent="0.25">
      <c r="A178" t="s">
        <v>6377</v>
      </c>
    </row>
    <row r="179" spans="1:1" x14ac:dyDescent="0.25">
      <c r="A179" t="s">
        <v>6378</v>
      </c>
    </row>
    <row r="180" spans="1:1" x14ac:dyDescent="0.25">
      <c r="A180" t="s">
        <v>6379</v>
      </c>
    </row>
    <row r="181" spans="1:1" x14ac:dyDescent="0.25">
      <c r="A181" t="s">
        <v>6380</v>
      </c>
    </row>
    <row r="182" spans="1:1" x14ac:dyDescent="0.25">
      <c r="A182" t="s">
        <v>6381</v>
      </c>
    </row>
    <row r="183" spans="1:1" x14ac:dyDescent="0.25">
      <c r="A183" t="s">
        <v>6382</v>
      </c>
    </row>
    <row r="184" spans="1:1" x14ac:dyDescent="0.25">
      <c r="A184" t="s">
        <v>6383</v>
      </c>
    </row>
    <row r="185" spans="1:1" x14ac:dyDescent="0.25">
      <c r="A185" t="s">
        <v>6384</v>
      </c>
    </row>
    <row r="186" spans="1:1" x14ac:dyDescent="0.25">
      <c r="A186" t="s">
        <v>6385</v>
      </c>
    </row>
    <row r="187" spans="1:1" x14ac:dyDescent="0.25">
      <c r="A187" t="s">
        <v>6386</v>
      </c>
    </row>
    <row r="188" spans="1:1" x14ac:dyDescent="0.25">
      <c r="A188" t="s">
        <v>6387</v>
      </c>
    </row>
    <row r="189" spans="1:1" x14ac:dyDescent="0.25">
      <c r="A189" t="s">
        <v>6388</v>
      </c>
    </row>
    <row r="190" spans="1:1" x14ac:dyDescent="0.25">
      <c r="A190" t="s">
        <v>6389</v>
      </c>
    </row>
    <row r="191" spans="1:1" x14ac:dyDescent="0.25">
      <c r="A191" t="s">
        <v>6390</v>
      </c>
    </row>
    <row r="192" spans="1:1" x14ac:dyDescent="0.25">
      <c r="A192" t="s">
        <v>6391</v>
      </c>
    </row>
    <row r="193" spans="1:1" x14ac:dyDescent="0.25">
      <c r="A193" t="s">
        <v>6392</v>
      </c>
    </row>
    <row r="194" spans="1:1" x14ac:dyDescent="0.25">
      <c r="A194" t="s">
        <v>6393</v>
      </c>
    </row>
    <row r="195" spans="1:1" x14ac:dyDescent="0.25">
      <c r="A195" t="s">
        <v>6394</v>
      </c>
    </row>
    <row r="196" spans="1:1" x14ac:dyDescent="0.25">
      <c r="A196" t="s">
        <v>6395</v>
      </c>
    </row>
    <row r="197" spans="1:1" x14ac:dyDescent="0.25">
      <c r="A197" t="s">
        <v>6396</v>
      </c>
    </row>
    <row r="198" spans="1:1" x14ac:dyDescent="0.25">
      <c r="A198" t="s">
        <v>6397</v>
      </c>
    </row>
    <row r="199" spans="1:1" x14ac:dyDescent="0.25">
      <c r="A199" t="s">
        <v>6401</v>
      </c>
    </row>
    <row r="200" spans="1:1" x14ac:dyDescent="0.25">
      <c r="A200" t="s">
        <v>6402</v>
      </c>
    </row>
    <row r="201" spans="1:1" x14ac:dyDescent="0.25">
      <c r="A201" t="s">
        <v>6403</v>
      </c>
    </row>
    <row r="202" spans="1:1" x14ac:dyDescent="0.25">
      <c r="A202" t="s">
        <v>6404</v>
      </c>
    </row>
    <row r="203" spans="1:1" x14ac:dyDescent="0.25">
      <c r="A203" t="s">
        <v>6405</v>
      </c>
    </row>
    <row r="204" spans="1:1" x14ac:dyDescent="0.25">
      <c r="A204" t="s">
        <v>6406</v>
      </c>
    </row>
    <row r="205" spans="1:1" x14ac:dyDescent="0.25">
      <c r="A205" t="s">
        <v>6407</v>
      </c>
    </row>
    <row r="206" spans="1:1" x14ac:dyDescent="0.25">
      <c r="A206" t="s">
        <v>6408</v>
      </c>
    </row>
    <row r="207" spans="1:1" x14ac:dyDescent="0.25">
      <c r="A207" t="s">
        <v>6409</v>
      </c>
    </row>
    <row r="208" spans="1:1" x14ac:dyDescent="0.25">
      <c r="A208" t="s">
        <v>6410</v>
      </c>
    </row>
    <row r="209" spans="1:1" x14ac:dyDescent="0.25">
      <c r="A209" t="s">
        <v>6411</v>
      </c>
    </row>
    <row r="210" spans="1:1" x14ac:dyDescent="0.25">
      <c r="A210" t="s">
        <v>6412</v>
      </c>
    </row>
    <row r="211" spans="1:1" x14ac:dyDescent="0.25">
      <c r="A211" t="s">
        <v>6413</v>
      </c>
    </row>
    <row r="212" spans="1:1" x14ac:dyDescent="0.25">
      <c r="A212" t="s">
        <v>6414</v>
      </c>
    </row>
    <row r="213" spans="1:1" x14ac:dyDescent="0.25">
      <c r="A213" t="s">
        <v>6415</v>
      </c>
    </row>
    <row r="214" spans="1:1" x14ac:dyDescent="0.25">
      <c r="A214" t="s">
        <v>6416</v>
      </c>
    </row>
    <row r="215" spans="1:1" x14ac:dyDescent="0.25">
      <c r="A215" t="s">
        <v>6417</v>
      </c>
    </row>
    <row r="216" spans="1:1" x14ac:dyDescent="0.25">
      <c r="A216" t="s">
        <v>6418</v>
      </c>
    </row>
    <row r="217" spans="1:1" x14ac:dyDescent="0.25">
      <c r="A217" t="s">
        <v>6419</v>
      </c>
    </row>
    <row r="218" spans="1:1" x14ac:dyDescent="0.25">
      <c r="A218" t="s">
        <v>6420</v>
      </c>
    </row>
    <row r="219" spans="1:1" x14ac:dyDescent="0.25">
      <c r="A219" t="s">
        <v>6421</v>
      </c>
    </row>
    <row r="220" spans="1:1" x14ac:dyDescent="0.25">
      <c r="A220" t="s">
        <v>6422</v>
      </c>
    </row>
    <row r="221" spans="1:1" x14ac:dyDescent="0.25">
      <c r="A221" t="s">
        <v>6423</v>
      </c>
    </row>
    <row r="222" spans="1:1" x14ac:dyDescent="0.25">
      <c r="A222" t="s">
        <v>6424</v>
      </c>
    </row>
    <row r="223" spans="1:1" x14ac:dyDescent="0.25">
      <c r="A223" t="s">
        <v>6425</v>
      </c>
    </row>
    <row r="224" spans="1:1" x14ac:dyDescent="0.25">
      <c r="A224" t="s">
        <v>6426</v>
      </c>
    </row>
    <row r="225" spans="1:1" x14ac:dyDescent="0.25">
      <c r="A225" t="s">
        <v>6427</v>
      </c>
    </row>
    <row r="226" spans="1:1" x14ac:dyDescent="0.25">
      <c r="A226" t="s">
        <v>6428</v>
      </c>
    </row>
    <row r="227" spans="1:1" x14ac:dyDescent="0.25">
      <c r="A227" t="s">
        <v>6429</v>
      </c>
    </row>
    <row r="228" spans="1:1" x14ac:dyDescent="0.25">
      <c r="A228" t="s">
        <v>6430</v>
      </c>
    </row>
    <row r="229" spans="1:1" x14ac:dyDescent="0.25">
      <c r="A229" t="s">
        <v>6431</v>
      </c>
    </row>
    <row r="230" spans="1:1" x14ac:dyDescent="0.25">
      <c r="A230" t="s">
        <v>6432</v>
      </c>
    </row>
    <row r="231" spans="1:1" x14ac:dyDescent="0.25">
      <c r="A231" t="s">
        <v>6433</v>
      </c>
    </row>
    <row r="232" spans="1:1" x14ac:dyDescent="0.25">
      <c r="A232" t="s">
        <v>6434</v>
      </c>
    </row>
    <row r="233" spans="1:1" x14ac:dyDescent="0.25">
      <c r="A233" t="s">
        <v>6435</v>
      </c>
    </row>
    <row r="234" spans="1:1" x14ac:dyDescent="0.25">
      <c r="A234" t="s">
        <v>6436</v>
      </c>
    </row>
    <row r="235" spans="1:1" x14ac:dyDescent="0.25">
      <c r="A235" t="s">
        <v>6437</v>
      </c>
    </row>
    <row r="236" spans="1:1" x14ac:dyDescent="0.25">
      <c r="A236" t="s">
        <v>6438</v>
      </c>
    </row>
    <row r="237" spans="1:1" x14ac:dyDescent="0.25">
      <c r="A237" t="s">
        <v>6439</v>
      </c>
    </row>
    <row r="238" spans="1:1" x14ac:dyDescent="0.25">
      <c r="A238" t="s">
        <v>6440</v>
      </c>
    </row>
    <row r="239" spans="1:1" x14ac:dyDescent="0.25">
      <c r="A239" t="s">
        <v>6441</v>
      </c>
    </row>
    <row r="240" spans="1:1" x14ac:dyDescent="0.25">
      <c r="A240" t="s">
        <v>6442</v>
      </c>
    </row>
    <row r="241" spans="1:1" x14ac:dyDescent="0.25">
      <c r="A241" t="s">
        <v>6443</v>
      </c>
    </row>
    <row r="242" spans="1:1" x14ac:dyDescent="0.25">
      <c r="A242" t="s">
        <v>6444</v>
      </c>
    </row>
    <row r="243" spans="1:1" x14ac:dyDescent="0.25">
      <c r="A243" t="s">
        <v>4112</v>
      </c>
    </row>
    <row r="244" spans="1:1" x14ac:dyDescent="0.25">
      <c r="A244" t="s">
        <v>6445</v>
      </c>
    </row>
    <row r="245" spans="1:1" x14ac:dyDescent="0.25">
      <c r="A245" t="s">
        <v>6446</v>
      </c>
    </row>
    <row r="246" spans="1:1" x14ac:dyDescent="0.25">
      <c r="A246" t="s">
        <v>6447</v>
      </c>
    </row>
    <row r="247" spans="1:1" x14ac:dyDescent="0.25">
      <c r="A247" t="s">
        <v>6448</v>
      </c>
    </row>
    <row r="248" spans="1:1" x14ac:dyDescent="0.25">
      <c r="A248" t="s">
        <v>6449</v>
      </c>
    </row>
    <row r="249" spans="1:1" x14ac:dyDescent="0.25">
      <c r="A249" t="s">
        <v>6450</v>
      </c>
    </row>
    <row r="250" spans="1:1" x14ac:dyDescent="0.25">
      <c r="A250" t="s">
        <v>6451</v>
      </c>
    </row>
    <row r="251" spans="1:1" x14ac:dyDescent="0.25">
      <c r="A251" t="s">
        <v>6452</v>
      </c>
    </row>
    <row r="252" spans="1:1" x14ac:dyDescent="0.25">
      <c r="A252" t="s">
        <v>6453</v>
      </c>
    </row>
    <row r="253" spans="1:1" x14ac:dyDescent="0.25">
      <c r="A253" t="s">
        <v>6454</v>
      </c>
    </row>
    <row r="254" spans="1:1" x14ac:dyDescent="0.25">
      <c r="A254" t="s">
        <v>6455</v>
      </c>
    </row>
    <row r="255" spans="1:1" x14ac:dyDescent="0.25">
      <c r="A255" t="s">
        <v>6456</v>
      </c>
    </row>
    <row r="256" spans="1:1" x14ac:dyDescent="0.25">
      <c r="A256" t="s">
        <v>6457</v>
      </c>
    </row>
    <row r="257" spans="1:1" x14ac:dyDescent="0.25">
      <c r="A257" t="s">
        <v>6458</v>
      </c>
    </row>
    <row r="258" spans="1:1" x14ac:dyDescent="0.25">
      <c r="A258" t="s">
        <v>6459</v>
      </c>
    </row>
    <row r="259" spans="1:1" x14ac:dyDescent="0.25">
      <c r="A259" t="s">
        <v>6460</v>
      </c>
    </row>
    <row r="260" spans="1:1" x14ac:dyDescent="0.25">
      <c r="A260" t="s">
        <v>6461</v>
      </c>
    </row>
    <row r="261" spans="1:1" x14ac:dyDescent="0.25">
      <c r="A261" t="s">
        <v>6462</v>
      </c>
    </row>
    <row r="262" spans="1:1" x14ac:dyDescent="0.25">
      <c r="A262" t="s">
        <v>6463</v>
      </c>
    </row>
    <row r="263" spans="1:1" x14ac:dyDescent="0.25">
      <c r="A263" t="s">
        <v>6464</v>
      </c>
    </row>
    <row r="264" spans="1:1" x14ac:dyDescent="0.25">
      <c r="A264" t="s">
        <v>6465</v>
      </c>
    </row>
    <row r="265" spans="1:1" x14ac:dyDescent="0.25">
      <c r="A265" t="s">
        <v>6466</v>
      </c>
    </row>
    <row r="266" spans="1:1" x14ac:dyDescent="0.25">
      <c r="A266" t="s">
        <v>6467</v>
      </c>
    </row>
    <row r="267" spans="1:1" x14ac:dyDescent="0.25">
      <c r="A267" t="s">
        <v>6468</v>
      </c>
    </row>
    <row r="268" spans="1:1" x14ac:dyDescent="0.25">
      <c r="A268" t="s">
        <v>6469</v>
      </c>
    </row>
    <row r="269" spans="1:1" x14ac:dyDescent="0.25">
      <c r="A269" t="s">
        <v>6470</v>
      </c>
    </row>
    <row r="270" spans="1:1" x14ac:dyDescent="0.25">
      <c r="A270" t="s">
        <v>6471</v>
      </c>
    </row>
    <row r="271" spans="1:1" x14ac:dyDescent="0.25">
      <c r="A271" t="s">
        <v>6472</v>
      </c>
    </row>
    <row r="272" spans="1:1" x14ac:dyDescent="0.25">
      <c r="A272" t="s">
        <v>6473</v>
      </c>
    </row>
    <row r="273" spans="1:1" x14ac:dyDescent="0.25">
      <c r="A273" t="s">
        <v>6474</v>
      </c>
    </row>
    <row r="274" spans="1:1" x14ac:dyDescent="0.25">
      <c r="A274" t="s">
        <v>6475</v>
      </c>
    </row>
    <row r="275" spans="1:1" x14ac:dyDescent="0.25">
      <c r="A275" t="s">
        <v>6476</v>
      </c>
    </row>
    <row r="276" spans="1:1" x14ac:dyDescent="0.25">
      <c r="A276" t="s">
        <v>6477</v>
      </c>
    </row>
    <row r="277" spans="1:1" x14ac:dyDescent="0.25">
      <c r="A277" t="s">
        <v>6478</v>
      </c>
    </row>
    <row r="278" spans="1:1" x14ac:dyDescent="0.25">
      <c r="A278" t="s">
        <v>6479</v>
      </c>
    </row>
    <row r="279" spans="1:1" x14ac:dyDescent="0.25">
      <c r="A279" t="s">
        <v>6480</v>
      </c>
    </row>
    <row r="280" spans="1:1" x14ac:dyDescent="0.25">
      <c r="A280" t="s">
        <v>6481</v>
      </c>
    </row>
    <row r="281" spans="1:1" x14ac:dyDescent="0.25">
      <c r="A281" t="s">
        <v>6482</v>
      </c>
    </row>
    <row r="282" spans="1:1" x14ac:dyDescent="0.25">
      <c r="A282" t="s">
        <v>6483</v>
      </c>
    </row>
    <row r="283" spans="1:1" x14ac:dyDescent="0.25">
      <c r="A283" t="s">
        <v>6484</v>
      </c>
    </row>
    <row r="284" spans="1:1" x14ac:dyDescent="0.25">
      <c r="A284" t="s">
        <v>6485</v>
      </c>
    </row>
    <row r="285" spans="1:1" x14ac:dyDescent="0.25">
      <c r="A285" t="s">
        <v>6486</v>
      </c>
    </row>
    <row r="286" spans="1:1" x14ac:dyDescent="0.25">
      <c r="A286" t="s">
        <v>6487</v>
      </c>
    </row>
    <row r="287" spans="1:1" x14ac:dyDescent="0.25">
      <c r="A287" t="s">
        <v>6488</v>
      </c>
    </row>
    <row r="288" spans="1:1" x14ac:dyDescent="0.25">
      <c r="A288" t="s">
        <v>6489</v>
      </c>
    </row>
    <row r="289" spans="1:1" x14ac:dyDescent="0.25">
      <c r="A289" t="s">
        <v>6490</v>
      </c>
    </row>
    <row r="290" spans="1:1" x14ac:dyDescent="0.25">
      <c r="A290" t="s">
        <v>6491</v>
      </c>
    </row>
    <row r="291" spans="1:1" x14ac:dyDescent="0.25">
      <c r="A291" t="s">
        <v>6492</v>
      </c>
    </row>
    <row r="292" spans="1:1" x14ac:dyDescent="0.25">
      <c r="A292" t="s">
        <v>6493</v>
      </c>
    </row>
    <row r="293" spans="1:1" x14ac:dyDescent="0.25">
      <c r="A293" t="s">
        <v>6494</v>
      </c>
    </row>
    <row r="294" spans="1:1" x14ac:dyDescent="0.25">
      <c r="A294" t="s">
        <v>6495</v>
      </c>
    </row>
    <row r="295" spans="1:1" x14ac:dyDescent="0.25">
      <c r="A295" t="s">
        <v>6496</v>
      </c>
    </row>
    <row r="296" spans="1:1" x14ac:dyDescent="0.25">
      <c r="A296" t="s">
        <v>6497</v>
      </c>
    </row>
    <row r="297" spans="1:1" x14ac:dyDescent="0.25">
      <c r="A297" t="s">
        <v>6498</v>
      </c>
    </row>
    <row r="298" spans="1:1" x14ac:dyDescent="0.25">
      <c r="A298" t="s">
        <v>6499</v>
      </c>
    </row>
    <row r="299" spans="1:1" x14ac:dyDescent="0.25">
      <c r="A299" t="s">
        <v>6500</v>
      </c>
    </row>
    <row r="300" spans="1:1" x14ac:dyDescent="0.25">
      <c r="A300" t="s">
        <v>6501</v>
      </c>
    </row>
    <row r="301" spans="1:1" x14ac:dyDescent="0.25">
      <c r="A301" t="s">
        <v>6502</v>
      </c>
    </row>
    <row r="302" spans="1:1" x14ac:dyDescent="0.25">
      <c r="A302" t="s">
        <v>6503</v>
      </c>
    </row>
    <row r="303" spans="1:1" x14ac:dyDescent="0.25">
      <c r="A303" t="s">
        <v>6504</v>
      </c>
    </row>
    <row r="304" spans="1:1" x14ac:dyDescent="0.25">
      <c r="A304" t="s">
        <v>6505</v>
      </c>
    </row>
    <row r="305" spans="1:1" x14ac:dyDescent="0.25">
      <c r="A305" t="s">
        <v>6506</v>
      </c>
    </row>
    <row r="306" spans="1:1" x14ac:dyDescent="0.25">
      <c r="A306" t="s">
        <v>6507</v>
      </c>
    </row>
    <row r="307" spans="1:1" x14ac:dyDescent="0.25">
      <c r="A307" t="s">
        <v>6508</v>
      </c>
    </row>
    <row r="308" spans="1:1" x14ac:dyDescent="0.25">
      <c r="A308" t="s">
        <v>6509</v>
      </c>
    </row>
    <row r="309" spans="1:1" x14ac:dyDescent="0.25">
      <c r="A309" t="s">
        <v>6510</v>
      </c>
    </row>
    <row r="310" spans="1:1" x14ac:dyDescent="0.25">
      <c r="A310" t="s">
        <v>6511</v>
      </c>
    </row>
    <row r="311" spans="1:1" x14ac:dyDescent="0.25">
      <c r="A311" t="s">
        <v>6512</v>
      </c>
    </row>
    <row r="312" spans="1:1" x14ac:dyDescent="0.25">
      <c r="A312" t="s">
        <v>6513</v>
      </c>
    </row>
    <row r="313" spans="1:1" x14ac:dyDescent="0.25">
      <c r="A313" t="s">
        <v>6514</v>
      </c>
    </row>
    <row r="314" spans="1:1" x14ac:dyDescent="0.25">
      <c r="A314" t="s">
        <v>6515</v>
      </c>
    </row>
    <row r="315" spans="1:1" x14ac:dyDescent="0.25">
      <c r="A315" t="s">
        <v>6516</v>
      </c>
    </row>
    <row r="316" spans="1:1" x14ac:dyDescent="0.25">
      <c r="A316" t="s">
        <v>6517</v>
      </c>
    </row>
    <row r="317" spans="1:1" x14ac:dyDescent="0.25">
      <c r="A317" t="s">
        <v>6518</v>
      </c>
    </row>
    <row r="318" spans="1:1" x14ac:dyDescent="0.25">
      <c r="A318" t="s">
        <v>6519</v>
      </c>
    </row>
    <row r="319" spans="1:1" x14ac:dyDescent="0.25">
      <c r="A319" t="s">
        <v>6520</v>
      </c>
    </row>
    <row r="320" spans="1:1" x14ac:dyDescent="0.25">
      <c r="A320" t="s">
        <v>6521</v>
      </c>
    </row>
    <row r="321" spans="1:1" x14ac:dyDescent="0.25">
      <c r="A321" t="s">
        <v>6522</v>
      </c>
    </row>
    <row r="322" spans="1:1" x14ac:dyDescent="0.25">
      <c r="A322" t="s">
        <v>6523</v>
      </c>
    </row>
    <row r="323" spans="1:1" x14ac:dyDescent="0.25">
      <c r="A323" t="s">
        <v>6524</v>
      </c>
    </row>
    <row r="324" spans="1:1" x14ac:dyDescent="0.25">
      <c r="A324" t="s">
        <v>6525</v>
      </c>
    </row>
    <row r="325" spans="1:1" x14ac:dyDescent="0.25">
      <c r="A325" t="s">
        <v>6526</v>
      </c>
    </row>
    <row r="326" spans="1:1" x14ac:dyDescent="0.25">
      <c r="A326" t="s">
        <v>6527</v>
      </c>
    </row>
    <row r="327" spans="1:1" x14ac:dyDescent="0.25">
      <c r="A327" t="s">
        <v>6528</v>
      </c>
    </row>
    <row r="328" spans="1:1" x14ac:dyDescent="0.25">
      <c r="A328" t="s">
        <v>6529</v>
      </c>
    </row>
    <row r="329" spans="1:1" x14ac:dyDescent="0.25">
      <c r="A329" t="s">
        <v>6530</v>
      </c>
    </row>
    <row r="330" spans="1:1" x14ac:dyDescent="0.25">
      <c r="A330" t="s">
        <v>6531</v>
      </c>
    </row>
    <row r="331" spans="1:1" x14ac:dyDescent="0.25">
      <c r="A331" t="s">
        <v>6532</v>
      </c>
    </row>
    <row r="332" spans="1:1" x14ac:dyDescent="0.25">
      <c r="A332" t="s">
        <v>6533</v>
      </c>
    </row>
    <row r="333" spans="1:1" x14ac:dyDescent="0.25">
      <c r="A333" t="s">
        <v>6534</v>
      </c>
    </row>
    <row r="334" spans="1:1" x14ac:dyDescent="0.25">
      <c r="A334" t="s">
        <v>6535</v>
      </c>
    </row>
    <row r="335" spans="1:1" x14ac:dyDescent="0.25">
      <c r="A335" t="s">
        <v>6536</v>
      </c>
    </row>
    <row r="336" spans="1:1" x14ac:dyDescent="0.25">
      <c r="A336" t="s">
        <v>6537</v>
      </c>
    </row>
    <row r="337" spans="1:1" x14ac:dyDescent="0.25">
      <c r="A337" t="s">
        <v>6538</v>
      </c>
    </row>
    <row r="338" spans="1:1" x14ac:dyDescent="0.25">
      <c r="A338" t="s">
        <v>6539</v>
      </c>
    </row>
    <row r="339" spans="1:1" x14ac:dyDescent="0.25">
      <c r="A339" t="s">
        <v>6540</v>
      </c>
    </row>
    <row r="340" spans="1:1" x14ac:dyDescent="0.25">
      <c r="A340" t="s">
        <v>6541</v>
      </c>
    </row>
    <row r="341" spans="1:1" x14ac:dyDescent="0.25">
      <c r="A341" t="s">
        <v>6542</v>
      </c>
    </row>
    <row r="342" spans="1:1" x14ac:dyDescent="0.25">
      <c r="A342" t="s">
        <v>6543</v>
      </c>
    </row>
    <row r="343" spans="1:1" x14ac:dyDescent="0.25">
      <c r="A343" t="s">
        <v>4313</v>
      </c>
    </row>
    <row r="344" spans="1:1" x14ac:dyDescent="0.25">
      <c r="A344" t="s">
        <v>6545</v>
      </c>
    </row>
    <row r="345" spans="1:1" x14ac:dyDescent="0.25">
      <c r="A345" t="s">
        <v>6546</v>
      </c>
    </row>
    <row r="346" spans="1:1" x14ac:dyDescent="0.25">
      <c r="A346" t="s">
        <v>6547</v>
      </c>
    </row>
    <row r="347" spans="1:1" x14ac:dyDescent="0.25">
      <c r="A347" t="s">
        <v>6548</v>
      </c>
    </row>
    <row r="348" spans="1:1" x14ac:dyDescent="0.25">
      <c r="A348" t="s">
        <v>6549</v>
      </c>
    </row>
    <row r="349" spans="1:1" x14ac:dyDescent="0.25">
      <c r="A349" t="s">
        <v>6573</v>
      </c>
    </row>
    <row r="350" spans="1:1" x14ac:dyDescent="0.25">
      <c r="A350" t="s">
        <v>4103</v>
      </c>
    </row>
    <row r="351" spans="1:1" x14ac:dyDescent="0.25">
      <c r="A351" t="s">
        <v>6574</v>
      </c>
    </row>
    <row r="352" spans="1:1" x14ac:dyDescent="0.25">
      <c r="A352" t="s">
        <v>6577</v>
      </c>
    </row>
    <row r="353" spans="1:1" x14ac:dyDescent="0.25">
      <c r="A353" t="s">
        <v>6578</v>
      </c>
    </row>
    <row r="354" spans="1:1" x14ac:dyDescent="0.25">
      <c r="A354" t="s">
        <v>6579</v>
      </c>
    </row>
    <row r="355" spans="1:1" x14ac:dyDescent="0.25">
      <c r="A355" t="s">
        <v>6580</v>
      </c>
    </row>
    <row r="356" spans="1:1" x14ac:dyDescent="0.25">
      <c r="A356" t="s">
        <v>6581</v>
      </c>
    </row>
    <row r="357" spans="1:1" x14ac:dyDescent="0.25">
      <c r="A357" t="s">
        <v>6582</v>
      </c>
    </row>
    <row r="358" spans="1:1" x14ac:dyDescent="0.25">
      <c r="A358" t="s">
        <v>6583</v>
      </c>
    </row>
    <row r="359" spans="1:1" x14ac:dyDescent="0.25">
      <c r="A359" t="s">
        <v>6584</v>
      </c>
    </row>
    <row r="360" spans="1:1" x14ac:dyDescent="0.25">
      <c r="A360" t="s">
        <v>6585</v>
      </c>
    </row>
    <row r="361" spans="1:1" x14ac:dyDescent="0.25">
      <c r="A361" t="s">
        <v>6586</v>
      </c>
    </row>
    <row r="362" spans="1:1" x14ac:dyDescent="0.25">
      <c r="A362" t="s">
        <v>6587</v>
      </c>
    </row>
    <row r="363" spans="1:1" x14ac:dyDescent="0.25">
      <c r="A363" t="s">
        <v>6588</v>
      </c>
    </row>
    <row r="364" spans="1:1" x14ac:dyDescent="0.25">
      <c r="A364" t="s">
        <v>6589</v>
      </c>
    </row>
    <row r="365" spans="1:1" x14ac:dyDescent="0.25">
      <c r="A365" t="s">
        <v>6590</v>
      </c>
    </row>
    <row r="366" spans="1:1" x14ac:dyDescent="0.25">
      <c r="A366" t="s">
        <v>6591</v>
      </c>
    </row>
    <row r="367" spans="1:1" x14ac:dyDescent="0.25">
      <c r="A367" t="s">
        <v>6592</v>
      </c>
    </row>
    <row r="368" spans="1:1" x14ac:dyDescent="0.25">
      <c r="A368" t="s">
        <v>6593</v>
      </c>
    </row>
    <row r="369" spans="1:1" x14ac:dyDescent="0.25">
      <c r="A369" t="s">
        <v>6594</v>
      </c>
    </row>
    <row r="370" spans="1:1" x14ac:dyDescent="0.25">
      <c r="A370" t="s">
        <v>6595</v>
      </c>
    </row>
    <row r="371" spans="1:1" x14ac:dyDescent="0.25">
      <c r="A371" t="s">
        <v>6596</v>
      </c>
    </row>
    <row r="372" spans="1:1" x14ac:dyDescent="0.25">
      <c r="A372" t="s">
        <v>6597</v>
      </c>
    </row>
    <row r="373" spans="1:1" x14ac:dyDescent="0.25">
      <c r="A373" t="s">
        <v>6598</v>
      </c>
    </row>
    <row r="374" spans="1:1" x14ac:dyDescent="0.25">
      <c r="A374" t="s">
        <v>6599</v>
      </c>
    </row>
    <row r="375" spans="1:1" x14ac:dyDescent="0.25">
      <c r="A375" t="s">
        <v>6600</v>
      </c>
    </row>
    <row r="376" spans="1:1" x14ac:dyDescent="0.25">
      <c r="A376" t="s">
        <v>6601</v>
      </c>
    </row>
    <row r="377" spans="1:1" x14ac:dyDescent="0.25">
      <c r="A377" t="s">
        <v>6602</v>
      </c>
    </row>
    <row r="378" spans="1:1" x14ac:dyDescent="0.25">
      <c r="A378" t="s">
        <v>6603</v>
      </c>
    </row>
    <row r="379" spans="1:1" x14ac:dyDescent="0.25">
      <c r="A379" t="s">
        <v>6604</v>
      </c>
    </row>
    <row r="380" spans="1:1" x14ac:dyDescent="0.25">
      <c r="A380" t="s">
        <v>6605</v>
      </c>
    </row>
    <row r="381" spans="1:1" x14ac:dyDescent="0.25">
      <c r="A381" t="s">
        <v>6606</v>
      </c>
    </row>
    <row r="382" spans="1:1" x14ac:dyDescent="0.25">
      <c r="A382" t="s">
        <v>6607</v>
      </c>
    </row>
    <row r="383" spans="1:1" x14ac:dyDescent="0.25">
      <c r="A383" t="s">
        <v>6608</v>
      </c>
    </row>
    <row r="384" spans="1:1" x14ac:dyDescent="0.25">
      <c r="A384" t="s">
        <v>6609</v>
      </c>
    </row>
    <row r="385" spans="1:1" x14ac:dyDescent="0.25">
      <c r="A385" t="s">
        <v>6610</v>
      </c>
    </row>
    <row r="386" spans="1:1" x14ac:dyDescent="0.25">
      <c r="A386" t="s">
        <v>6611</v>
      </c>
    </row>
    <row r="387" spans="1:1" x14ac:dyDescent="0.25">
      <c r="A387" t="s">
        <v>6612</v>
      </c>
    </row>
    <row r="388" spans="1:1" x14ac:dyDescent="0.25">
      <c r="A388" t="s">
        <v>6613</v>
      </c>
    </row>
    <row r="389" spans="1:1" x14ac:dyDescent="0.25">
      <c r="A389" t="s">
        <v>6614</v>
      </c>
    </row>
    <row r="390" spans="1:1" x14ac:dyDescent="0.25">
      <c r="A390" t="s">
        <v>6615</v>
      </c>
    </row>
    <row r="391" spans="1:1" x14ac:dyDescent="0.25">
      <c r="A391" t="s">
        <v>6616</v>
      </c>
    </row>
    <row r="392" spans="1:1" x14ac:dyDescent="0.25">
      <c r="A392" t="s">
        <v>6617</v>
      </c>
    </row>
    <row r="393" spans="1:1" x14ac:dyDescent="0.25">
      <c r="A393" t="s">
        <v>6618</v>
      </c>
    </row>
    <row r="394" spans="1:1" x14ac:dyDescent="0.25">
      <c r="A394" t="s">
        <v>6619</v>
      </c>
    </row>
    <row r="395" spans="1:1" x14ac:dyDescent="0.25">
      <c r="A395" t="s">
        <v>6620</v>
      </c>
    </row>
    <row r="396" spans="1:1" x14ac:dyDescent="0.25">
      <c r="A396" t="s">
        <v>6621</v>
      </c>
    </row>
    <row r="397" spans="1:1" x14ac:dyDescent="0.25">
      <c r="A397" t="s">
        <v>6622</v>
      </c>
    </row>
    <row r="398" spans="1:1" x14ac:dyDescent="0.25">
      <c r="A398" t="s">
        <v>6623</v>
      </c>
    </row>
    <row r="399" spans="1:1" x14ac:dyDescent="0.25">
      <c r="A399" t="s">
        <v>6624</v>
      </c>
    </row>
    <row r="400" spans="1:1" x14ac:dyDescent="0.25">
      <c r="A400" t="s">
        <v>6625</v>
      </c>
    </row>
    <row r="401" spans="1:1" x14ac:dyDescent="0.25">
      <c r="A401" t="s">
        <v>6626</v>
      </c>
    </row>
    <row r="402" spans="1:1" x14ac:dyDescent="0.25">
      <c r="A402" t="s">
        <v>6627</v>
      </c>
    </row>
    <row r="403" spans="1:1" x14ac:dyDescent="0.25">
      <c r="A403" t="s">
        <v>6628</v>
      </c>
    </row>
    <row r="404" spans="1:1" x14ac:dyDescent="0.25">
      <c r="A404" t="s">
        <v>6629</v>
      </c>
    </row>
    <row r="405" spans="1:1" x14ac:dyDescent="0.25">
      <c r="A405" t="s">
        <v>6630</v>
      </c>
    </row>
    <row r="406" spans="1:1" x14ac:dyDescent="0.25">
      <c r="A406" t="s">
        <v>6631</v>
      </c>
    </row>
    <row r="407" spans="1:1" x14ac:dyDescent="0.25">
      <c r="A407" t="s">
        <v>6632</v>
      </c>
    </row>
    <row r="408" spans="1:1" x14ac:dyDescent="0.25">
      <c r="A408" t="s">
        <v>6633</v>
      </c>
    </row>
    <row r="409" spans="1:1" x14ac:dyDescent="0.25">
      <c r="A409" t="s">
        <v>6634</v>
      </c>
    </row>
    <row r="410" spans="1:1" x14ac:dyDescent="0.25">
      <c r="A410" t="s">
        <v>6635</v>
      </c>
    </row>
    <row r="411" spans="1:1" x14ac:dyDescent="0.25">
      <c r="A411" t="s">
        <v>6636</v>
      </c>
    </row>
    <row r="412" spans="1:1" x14ac:dyDescent="0.25">
      <c r="A412" t="s">
        <v>6637</v>
      </c>
    </row>
    <row r="413" spans="1:1" x14ac:dyDescent="0.25">
      <c r="A413" t="s">
        <v>6638</v>
      </c>
    </row>
    <row r="414" spans="1:1" x14ac:dyDescent="0.25">
      <c r="A414" t="s">
        <v>6639</v>
      </c>
    </row>
    <row r="415" spans="1:1" x14ac:dyDescent="0.25">
      <c r="A415" t="s">
        <v>6640</v>
      </c>
    </row>
    <row r="416" spans="1:1" x14ac:dyDescent="0.25">
      <c r="A416" t="s">
        <v>6641</v>
      </c>
    </row>
    <row r="417" spans="1:1" x14ac:dyDescent="0.25">
      <c r="A417" t="s">
        <v>6642</v>
      </c>
    </row>
    <row r="418" spans="1:1" x14ac:dyDescent="0.25">
      <c r="A418" t="s">
        <v>6643</v>
      </c>
    </row>
    <row r="419" spans="1:1" x14ac:dyDescent="0.25">
      <c r="A419" t="s">
        <v>6644</v>
      </c>
    </row>
    <row r="420" spans="1:1" x14ac:dyDescent="0.25">
      <c r="A420" t="s">
        <v>6645</v>
      </c>
    </row>
    <row r="421" spans="1:1" x14ac:dyDescent="0.25">
      <c r="A421" t="s">
        <v>6646</v>
      </c>
    </row>
    <row r="422" spans="1:1" x14ac:dyDescent="0.25">
      <c r="A422" t="s">
        <v>6647</v>
      </c>
    </row>
    <row r="423" spans="1:1" x14ac:dyDescent="0.25">
      <c r="A423" t="s">
        <v>6648</v>
      </c>
    </row>
    <row r="424" spans="1:1" x14ac:dyDescent="0.25">
      <c r="A424" t="s">
        <v>6649</v>
      </c>
    </row>
    <row r="425" spans="1:1" x14ac:dyDescent="0.25">
      <c r="A425" t="s">
        <v>6650</v>
      </c>
    </row>
    <row r="426" spans="1:1" x14ac:dyDescent="0.25">
      <c r="A426" t="s">
        <v>6651</v>
      </c>
    </row>
    <row r="427" spans="1:1" x14ac:dyDescent="0.25">
      <c r="A427" t="s">
        <v>6652</v>
      </c>
    </row>
    <row r="428" spans="1:1" x14ac:dyDescent="0.25">
      <c r="A428" t="s">
        <v>6653</v>
      </c>
    </row>
    <row r="429" spans="1:1" x14ac:dyDescent="0.25">
      <c r="A429" t="s">
        <v>6654</v>
      </c>
    </row>
    <row r="430" spans="1:1" x14ac:dyDescent="0.25">
      <c r="A430" t="s">
        <v>6655</v>
      </c>
    </row>
    <row r="431" spans="1:1" x14ac:dyDescent="0.25">
      <c r="A431" t="s">
        <v>6656</v>
      </c>
    </row>
    <row r="432" spans="1:1" x14ac:dyDescent="0.25">
      <c r="A432" t="s">
        <v>6657</v>
      </c>
    </row>
    <row r="433" spans="1:1" x14ac:dyDescent="0.25">
      <c r="A433" t="s">
        <v>6658</v>
      </c>
    </row>
    <row r="434" spans="1:1" x14ac:dyDescent="0.25">
      <c r="A434" t="s">
        <v>6659</v>
      </c>
    </row>
    <row r="435" spans="1:1" x14ac:dyDescent="0.25">
      <c r="A435" t="s">
        <v>6660</v>
      </c>
    </row>
    <row r="436" spans="1:1" x14ac:dyDescent="0.25">
      <c r="A436" t="s">
        <v>6661</v>
      </c>
    </row>
    <row r="437" spans="1:1" x14ac:dyDescent="0.25">
      <c r="A437" t="s">
        <v>6662</v>
      </c>
    </row>
    <row r="438" spans="1:1" x14ac:dyDescent="0.25">
      <c r="A438" t="s">
        <v>6663</v>
      </c>
    </row>
    <row r="439" spans="1:1" x14ac:dyDescent="0.25">
      <c r="A439" t="s">
        <v>6664</v>
      </c>
    </row>
    <row r="440" spans="1:1" x14ac:dyDescent="0.25">
      <c r="A440" t="s">
        <v>6665</v>
      </c>
    </row>
    <row r="441" spans="1:1" x14ac:dyDescent="0.25">
      <c r="A441" t="s">
        <v>6666</v>
      </c>
    </row>
    <row r="442" spans="1:1" x14ac:dyDescent="0.25">
      <c r="A442" t="s">
        <v>6668</v>
      </c>
    </row>
    <row r="443" spans="1:1" x14ac:dyDescent="0.25">
      <c r="A443" t="s">
        <v>6669</v>
      </c>
    </row>
    <row r="444" spans="1:1" x14ac:dyDescent="0.25">
      <c r="A444" t="s">
        <v>6670</v>
      </c>
    </row>
    <row r="445" spans="1:1" x14ac:dyDescent="0.25">
      <c r="A445" t="s">
        <v>6671</v>
      </c>
    </row>
    <row r="446" spans="1:1" x14ac:dyDescent="0.25">
      <c r="A446" t="s">
        <v>6672</v>
      </c>
    </row>
    <row r="447" spans="1:1" x14ac:dyDescent="0.25">
      <c r="A447" t="s">
        <v>6673</v>
      </c>
    </row>
    <row r="448" spans="1:1" x14ac:dyDescent="0.25">
      <c r="A448" t="s">
        <v>6674</v>
      </c>
    </row>
    <row r="449" spans="1:1" x14ac:dyDescent="0.25">
      <c r="A449" t="s">
        <v>6675</v>
      </c>
    </row>
    <row r="450" spans="1:1" x14ac:dyDescent="0.25">
      <c r="A450" t="s">
        <v>6676</v>
      </c>
    </row>
    <row r="451" spans="1:1" x14ac:dyDescent="0.25">
      <c r="A451" t="s">
        <v>6677</v>
      </c>
    </row>
    <row r="452" spans="1:1" x14ac:dyDescent="0.25">
      <c r="A452" t="s">
        <v>6678</v>
      </c>
    </row>
    <row r="453" spans="1:1" x14ac:dyDescent="0.25">
      <c r="A453" t="s">
        <v>6679</v>
      </c>
    </row>
    <row r="454" spans="1:1" x14ac:dyDescent="0.25">
      <c r="A454" t="s">
        <v>6680</v>
      </c>
    </row>
    <row r="455" spans="1:1" x14ac:dyDescent="0.25">
      <c r="A455" t="s">
        <v>6681</v>
      </c>
    </row>
    <row r="456" spans="1:1" x14ac:dyDescent="0.25">
      <c r="A456" t="s">
        <v>6682</v>
      </c>
    </row>
    <row r="457" spans="1:1" x14ac:dyDescent="0.25">
      <c r="A457" t="s">
        <v>6683</v>
      </c>
    </row>
    <row r="458" spans="1:1" x14ac:dyDescent="0.25">
      <c r="A458" t="s">
        <v>6684</v>
      </c>
    </row>
    <row r="459" spans="1:1" x14ac:dyDescent="0.25">
      <c r="A459" t="s">
        <v>6685</v>
      </c>
    </row>
    <row r="460" spans="1:1" x14ac:dyDescent="0.25">
      <c r="A460" t="s">
        <v>6686</v>
      </c>
    </row>
    <row r="461" spans="1:1" x14ac:dyDescent="0.25">
      <c r="A461" t="s">
        <v>6687</v>
      </c>
    </row>
    <row r="462" spans="1:1" x14ac:dyDescent="0.25">
      <c r="A462" t="s">
        <v>6688</v>
      </c>
    </row>
    <row r="463" spans="1:1" x14ac:dyDescent="0.25">
      <c r="A463" t="s">
        <v>6689</v>
      </c>
    </row>
    <row r="464" spans="1:1" x14ac:dyDescent="0.25">
      <c r="A464" t="s">
        <v>6690</v>
      </c>
    </row>
    <row r="465" spans="1:1" x14ac:dyDescent="0.25">
      <c r="A465" t="s">
        <v>6691</v>
      </c>
    </row>
    <row r="466" spans="1:1" x14ac:dyDescent="0.25">
      <c r="A466" t="s">
        <v>6692</v>
      </c>
    </row>
    <row r="467" spans="1:1" x14ac:dyDescent="0.25">
      <c r="A467" t="s">
        <v>6693</v>
      </c>
    </row>
    <row r="468" spans="1:1" x14ac:dyDescent="0.25">
      <c r="A468" t="s">
        <v>6694</v>
      </c>
    </row>
    <row r="469" spans="1:1" x14ac:dyDescent="0.25">
      <c r="A469" t="s">
        <v>6695</v>
      </c>
    </row>
    <row r="470" spans="1:1" x14ac:dyDescent="0.25">
      <c r="A470" t="s">
        <v>6696</v>
      </c>
    </row>
    <row r="471" spans="1:1" x14ac:dyDescent="0.25">
      <c r="A471" t="s">
        <v>6697</v>
      </c>
    </row>
    <row r="472" spans="1:1" x14ac:dyDescent="0.25">
      <c r="A472" t="s">
        <v>6698</v>
      </c>
    </row>
    <row r="473" spans="1:1" x14ac:dyDescent="0.25">
      <c r="A473" t="s">
        <v>6699</v>
      </c>
    </row>
    <row r="474" spans="1:1" x14ac:dyDescent="0.25">
      <c r="A474" t="s">
        <v>6700</v>
      </c>
    </row>
    <row r="475" spans="1:1" x14ac:dyDescent="0.25">
      <c r="A475" t="s">
        <v>6701</v>
      </c>
    </row>
    <row r="476" spans="1:1" x14ac:dyDescent="0.25">
      <c r="A476" t="s">
        <v>6702</v>
      </c>
    </row>
    <row r="477" spans="1:1" x14ac:dyDescent="0.25">
      <c r="A477" t="s">
        <v>6703</v>
      </c>
    </row>
    <row r="478" spans="1:1" x14ac:dyDescent="0.25">
      <c r="A478" t="s">
        <v>6704</v>
      </c>
    </row>
    <row r="479" spans="1:1" x14ac:dyDescent="0.25">
      <c r="A479" t="s">
        <v>6705</v>
      </c>
    </row>
    <row r="480" spans="1:1" x14ac:dyDescent="0.25">
      <c r="A480" t="s">
        <v>6706</v>
      </c>
    </row>
    <row r="481" spans="1:1" x14ac:dyDescent="0.25">
      <c r="A481" t="s">
        <v>6707</v>
      </c>
    </row>
    <row r="482" spans="1:1" x14ac:dyDescent="0.25">
      <c r="A482" t="s">
        <v>6708</v>
      </c>
    </row>
    <row r="483" spans="1:1" x14ac:dyDescent="0.25">
      <c r="A483" t="s">
        <v>6709</v>
      </c>
    </row>
    <row r="484" spans="1:1" x14ac:dyDescent="0.25">
      <c r="A484" t="s">
        <v>6710</v>
      </c>
    </row>
    <row r="485" spans="1:1" x14ac:dyDescent="0.25">
      <c r="A485" t="s">
        <v>6711</v>
      </c>
    </row>
    <row r="486" spans="1:1" x14ac:dyDescent="0.25">
      <c r="A486" t="s">
        <v>6712</v>
      </c>
    </row>
    <row r="487" spans="1:1" x14ac:dyDescent="0.25">
      <c r="A487" t="s">
        <v>6713</v>
      </c>
    </row>
    <row r="488" spans="1:1" x14ac:dyDescent="0.25">
      <c r="A488" t="s">
        <v>6714</v>
      </c>
    </row>
    <row r="489" spans="1:1" x14ac:dyDescent="0.25">
      <c r="A489" t="s">
        <v>6715</v>
      </c>
    </row>
    <row r="490" spans="1:1" x14ac:dyDescent="0.25">
      <c r="A490" t="s">
        <v>6716</v>
      </c>
    </row>
    <row r="491" spans="1:1" x14ac:dyDescent="0.25">
      <c r="A491" t="s">
        <v>6717</v>
      </c>
    </row>
    <row r="492" spans="1:1" x14ac:dyDescent="0.25">
      <c r="A492" t="s">
        <v>6718</v>
      </c>
    </row>
    <row r="493" spans="1:1" x14ac:dyDescent="0.25">
      <c r="A493" t="s">
        <v>6719</v>
      </c>
    </row>
    <row r="494" spans="1:1" x14ac:dyDescent="0.25">
      <c r="A494" t="s">
        <v>6720</v>
      </c>
    </row>
    <row r="495" spans="1:1" x14ac:dyDescent="0.25">
      <c r="A495" t="s">
        <v>6721</v>
      </c>
    </row>
    <row r="496" spans="1:1" x14ac:dyDescent="0.25">
      <c r="A496" t="s">
        <v>6722</v>
      </c>
    </row>
    <row r="497" spans="1:1" x14ac:dyDescent="0.25">
      <c r="A497" t="s">
        <v>6723</v>
      </c>
    </row>
    <row r="498" spans="1:1" x14ac:dyDescent="0.25">
      <c r="A498" t="s">
        <v>6724</v>
      </c>
    </row>
    <row r="499" spans="1:1" x14ac:dyDescent="0.25">
      <c r="A499" t="s">
        <v>6725</v>
      </c>
    </row>
    <row r="500" spans="1:1" x14ac:dyDescent="0.25">
      <c r="A500" t="s">
        <v>6726</v>
      </c>
    </row>
    <row r="501" spans="1:1" x14ac:dyDescent="0.25">
      <c r="A501" t="s">
        <v>6727</v>
      </c>
    </row>
    <row r="502" spans="1:1" x14ac:dyDescent="0.25">
      <c r="A502" t="s">
        <v>6728</v>
      </c>
    </row>
    <row r="503" spans="1:1" x14ac:dyDescent="0.25">
      <c r="A503" t="s">
        <v>6729</v>
      </c>
    </row>
    <row r="504" spans="1:1" x14ac:dyDescent="0.25">
      <c r="A504" t="s">
        <v>6730</v>
      </c>
    </row>
    <row r="505" spans="1:1" x14ac:dyDescent="0.25">
      <c r="A505" t="s">
        <v>6731</v>
      </c>
    </row>
    <row r="506" spans="1:1" x14ac:dyDescent="0.25">
      <c r="A506" t="s">
        <v>6732</v>
      </c>
    </row>
    <row r="507" spans="1:1" x14ac:dyDescent="0.25">
      <c r="A507" t="s">
        <v>6733</v>
      </c>
    </row>
    <row r="508" spans="1:1" x14ac:dyDescent="0.25">
      <c r="A508" t="s">
        <v>6734</v>
      </c>
    </row>
    <row r="509" spans="1:1" x14ac:dyDescent="0.25">
      <c r="A509" t="s">
        <v>6735</v>
      </c>
    </row>
    <row r="510" spans="1:1" x14ac:dyDescent="0.25">
      <c r="A510" t="s">
        <v>6736</v>
      </c>
    </row>
    <row r="511" spans="1:1" x14ac:dyDescent="0.25">
      <c r="A511" t="s">
        <v>6737</v>
      </c>
    </row>
    <row r="512" spans="1:1" x14ac:dyDescent="0.25">
      <c r="A512" t="s">
        <v>6738</v>
      </c>
    </row>
    <row r="513" spans="1:1" x14ac:dyDescent="0.25">
      <c r="A513" t="s">
        <v>6739</v>
      </c>
    </row>
    <row r="514" spans="1:1" x14ac:dyDescent="0.25">
      <c r="A514" t="s">
        <v>6740</v>
      </c>
    </row>
    <row r="515" spans="1:1" x14ac:dyDescent="0.25">
      <c r="A515" t="s">
        <v>6741</v>
      </c>
    </row>
    <row r="516" spans="1:1" x14ac:dyDescent="0.25">
      <c r="A516" t="s">
        <v>6742</v>
      </c>
    </row>
    <row r="517" spans="1:1" x14ac:dyDescent="0.25">
      <c r="A517" t="s">
        <v>6744</v>
      </c>
    </row>
    <row r="518" spans="1:1" x14ac:dyDescent="0.25">
      <c r="A518" t="s">
        <v>6745</v>
      </c>
    </row>
    <row r="519" spans="1:1" x14ac:dyDescent="0.25">
      <c r="A519" t="s">
        <v>6746</v>
      </c>
    </row>
    <row r="520" spans="1:1" x14ac:dyDescent="0.25">
      <c r="A520" t="s">
        <v>6747</v>
      </c>
    </row>
    <row r="521" spans="1:1" x14ac:dyDescent="0.25">
      <c r="A521" t="s">
        <v>6748</v>
      </c>
    </row>
    <row r="522" spans="1:1" x14ac:dyDescent="0.25">
      <c r="A522" t="s">
        <v>6749</v>
      </c>
    </row>
    <row r="523" spans="1:1" x14ac:dyDescent="0.25">
      <c r="A523" t="s">
        <v>6750</v>
      </c>
    </row>
    <row r="524" spans="1:1" x14ac:dyDescent="0.25">
      <c r="A524" t="s">
        <v>6751</v>
      </c>
    </row>
    <row r="525" spans="1:1" x14ac:dyDescent="0.25">
      <c r="A525" t="s">
        <v>6752</v>
      </c>
    </row>
    <row r="526" spans="1:1" x14ac:dyDescent="0.25">
      <c r="A526" t="s">
        <v>6753</v>
      </c>
    </row>
    <row r="527" spans="1:1" x14ac:dyDescent="0.25">
      <c r="A527" t="s">
        <v>6754</v>
      </c>
    </row>
    <row r="528" spans="1:1" x14ac:dyDescent="0.25">
      <c r="A528" t="s">
        <v>6755</v>
      </c>
    </row>
    <row r="529" spans="1:1" x14ac:dyDescent="0.25">
      <c r="A529" t="s">
        <v>6756</v>
      </c>
    </row>
    <row r="530" spans="1:1" x14ac:dyDescent="0.25">
      <c r="A530" t="s">
        <v>6757</v>
      </c>
    </row>
    <row r="531" spans="1:1" x14ac:dyDescent="0.25">
      <c r="A531" t="s">
        <v>6758</v>
      </c>
    </row>
    <row r="532" spans="1:1" x14ac:dyDescent="0.25">
      <c r="A532" t="s">
        <v>6759</v>
      </c>
    </row>
    <row r="533" spans="1:1" x14ac:dyDescent="0.25">
      <c r="A533" t="s">
        <v>6760</v>
      </c>
    </row>
    <row r="534" spans="1:1" x14ac:dyDescent="0.25">
      <c r="A534" t="s">
        <v>6761</v>
      </c>
    </row>
    <row r="535" spans="1:1" x14ac:dyDescent="0.25">
      <c r="A535" t="s">
        <v>6762</v>
      </c>
    </row>
    <row r="536" spans="1:1" x14ac:dyDescent="0.25">
      <c r="A536" t="s">
        <v>6763</v>
      </c>
    </row>
    <row r="537" spans="1:1" x14ac:dyDescent="0.25">
      <c r="A537" t="s">
        <v>6764</v>
      </c>
    </row>
    <row r="538" spans="1:1" x14ac:dyDescent="0.25">
      <c r="A538" t="s">
        <v>6765</v>
      </c>
    </row>
    <row r="539" spans="1:1" x14ac:dyDescent="0.25">
      <c r="A539" t="s">
        <v>6766</v>
      </c>
    </row>
    <row r="540" spans="1:1" x14ac:dyDescent="0.25">
      <c r="A540" t="s">
        <v>6767</v>
      </c>
    </row>
    <row r="541" spans="1:1" x14ac:dyDescent="0.25">
      <c r="A541" t="s">
        <v>6768</v>
      </c>
    </row>
    <row r="542" spans="1:1" x14ac:dyDescent="0.25">
      <c r="A542" t="s">
        <v>6769</v>
      </c>
    </row>
    <row r="543" spans="1:1" x14ac:dyDescent="0.25">
      <c r="A543" t="s">
        <v>6770</v>
      </c>
    </row>
    <row r="544" spans="1:1" x14ac:dyDescent="0.25">
      <c r="A544" t="s">
        <v>6771</v>
      </c>
    </row>
    <row r="545" spans="1:1" x14ac:dyDescent="0.25">
      <c r="A545" t="s">
        <v>6772</v>
      </c>
    </row>
    <row r="546" spans="1:1" x14ac:dyDescent="0.25">
      <c r="A546" t="s">
        <v>6773</v>
      </c>
    </row>
    <row r="547" spans="1:1" x14ac:dyDescent="0.25">
      <c r="A547" t="s">
        <v>6774</v>
      </c>
    </row>
    <row r="548" spans="1:1" x14ac:dyDescent="0.25">
      <c r="A548" t="s">
        <v>6776</v>
      </c>
    </row>
    <row r="549" spans="1:1" x14ac:dyDescent="0.25">
      <c r="A549" t="s">
        <v>6777</v>
      </c>
    </row>
    <row r="550" spans="1:1" x14ac:dyDescent="0.25">
      <c r="A550" t="s">
        <v>6778</v>
      </c>
    </row>
    <row r="551" spans="1:1" x14ac:dyDescent="0.25">
      <c r="A551" t="s">
        <v>4089</v>
      </c>
    </row>
    <row r="552" spans="1:1" x14ac:dyDescent="0.25">
      <c r="A552" t="s">
        <v>6779</v>
      </c>
    </row>
    <row r="553" spans="1:1" x14ac:dyDescent="0.25">
      <c r="A553" t="s">
        <v>6780</v>
      </c>
    </row>
    <row r="554" spans="1:1" x14ac:dyDescent="0.25">
      <c r="A554" t="s">
        <v>6781</v>
      </c>
    </row>
    <row r="555" spans="1:1" x14ac:dyDescent="0.25">
      <c r="A555" t="s">
        <v>6782</v>
      </c>
    </row>
    <row r="556" spans="1:1" x14ac:dyDescent="0.25">
      <c r="A556" t="s">
        <v>6783</v>
      </c>
    </row>
    <row r="557" spans="1:1" x14ac:dyDescent="0.25">
      <c r="A557" t="s">
        <v>6784</v>
      </c>
    </row>
    <row r="558" spans="1:1" x14ac:dyDescent="0.25">
      <c r="A558" t="s">
        <v>6785</v>
      </c>
    </row>
    <row r="559" spans="1:1" x14ac:dyDescent="0.25">
      <c r="A559" t="s">
        <v>6786</v>
      </c>
    </row>
    <row r="560" spans="1:1" x14ac:dyDescent="0.25">
      <c r="A560" t="s">
        <v>6787</v>
      </c>
    </row>
    <row r="561" spans="1:1" x14ac:dyDescent="0.25">
      <c r="A561" t="s">
        <v>6788</v>
      </c>
    </row>
    <row r="562" spans="1:1" x14ac:dyDescent="0.25">
      <c r="A562" t="s">
        <v>6789</v>
      </c>
    </row>
    <row r="563" spans="1:1" x14ac:dyDescent="0.25">
      <c r="A563" t="s">
        <v>6790</v>
      </c>
    </row>
    <row r="564" spans="1:1" x14ac:dyDescent="0.25">
      <c r="A564" t="s">
        <v>6791</v>
      </c>
    </row>
    <row r="565" spans="1:1" x14ac:dyDescent="0.25">
      <c r="A565" t="s">
        <v>6792</v>
      </c>
    </row>
    <row r="566" spans="1:1" x14ac:dyDescent="0.25">
      <c r="A566" t="s">
        <v>6793</v>
      </c>
    </row>
    <row r="567" spans="1:1" x14ac:dyDescent="0.25">
      <c r="A567" t="s">
        <v>6794</v>
      </c>
    </row>
    <row r="568" spans="1:1" x14ac:dyDescent="0.25">
      <c r="A568" t="s">
        <v>6795</v>
      </c>
    </row>
    <row r="569" spans="1:1" x14ac:dyDescent="0.25">
      <c r="A569" t="s">
        <v>6796</v>
      </c>
    </row>
    <row r="570" spans="1:1" x14ac:dyDescent="0.25">
      <c r="A570" t="s">
        <v>6797</v>
      </c>
    </row>
    <row r="571" spans="1:1" x14ac:dyDescent="0.25">
      <c r="A571" t="s">
        <v>6798</v>
      </c>
    </row>
    <row r="572" spans="1:1" x14ac:dyDescent="0.25">
      <c r="A572" t="s">
        <v>6799</v>
      </c>
    </row>
    <row r="573" spans="1:1" x14ac:dyDescent="0.25">
      <c r="A573" t="s">
        <v>6800</v>
      </c>
    </row>
    <row r="574" spans="1:1" x14ac:dyDescent="0.25">
      <c r="A574" t="s">
        <v>6801</v>
      </c>
    </row>
    <row r="575" spans="1:1" x14ac:dyDescent="0.25">
      <c r="A575" t="s">
        <v>6802</v>
      </c>
    </row>
    <row r="576" spans="1:1" x14ac:dyDescent="0.25">
      <c r="A576" t="s">
        <v>6803</v>
      </c>
    </row>
    <row r="577" spans="1:1" x14ac:dyDescent="0.25">
      <c r="A577" t="s">
        <v>6804</v>
      </c>
    </row>
    <row r="578" spans="1:1" x14ac:dyDescent="0.25">
      <c r="A578" t="s">
        <v>6805</v>
      </c>
    </row>
    <row r="579" spans="1:1" x14ac:dyDescent="0.25">
      <c r="A579" t="s">
        <v>6806</v>
      </c>
    </row>
    <row r="580" spans="1:1" x14ac:dyDescent="0.25">
      <c r="A580" t="s">
        <v>6807</v>
      </c>
    </row>
    <row r="581" spans="1:1" x14ac:dyDescent="0.25">
      <c r="A581" t="s">
        <v>6808</v>
      </c>
    </row>
    <row r="582" spans="1:1" x14ac:dyDescent="0.25">
      <c r="A582" t="s">
        <v>6809</v>
      </c>
    </row>
    <row r="583" spans="1:1" x14ac:dyDescent="0.25">
      <c r="A583" t="s">
        <v>6810</v>
      </c>
    </row>
    <row r="584" spans="1:1" x14ac:dyDescent="0.25">
      <c r="A584" t="s">
        <v>6811</v>
      </c>
    </row>
    <row r="585" spans="1:1" x14ac:dyDescent="0.25">
      <c r="A585" t="s">
        <v>6812</v>
      </c>
    </row>
    <row r="586" spans="1:1" x14ac:dyDescent="0.25">
      <c r="A586" t="s">
        <v>6813</v>
      </c>
    </row>
    <row r="587" spans="1:1" x14ac:dyDescent="0.25">
      <c r="A587" t="s">
        <v>6814</v>
      </c>
    </row>
    <row r="588" spans="1:1" x14ac:dyDescent="0.25">
      <c r="A588" t="s">
        <v>6815</v>
      </c>
    </row>
    <row r="589" spans="1:1" x14ac:dyDescent="0.25">
      <c r="A589" t="s">
        <v>6816</v>
      </c>
    </row>
    <row r="590" spans="1:1" x14ac:dyDescent="0.25">
      <c r="A590" t="s">
        <v>6817</v>
      </c>
    </row>
    <row r="591" spans="1:1" x14ac:dyDescent="0.25">
      <c r="A591" t="s">
        <v>6818</v>
      </c>
    </row>
    <row r="592" spans="1:1" x14ac:dyDescent="0.25">
      <c r="A592" t="s">
        <v>6819</v>
      </c>
    </row>
    <row r="593" spans="1:1" x14ac:dyDescent="0.25">
      <c r="A593" t="s">
        <v>6820</v>
      </c>
    </row>
    <row r="594" spans="1:1" x14ac:dyDescent="0.25">
      <c r="A594" t="s">
        <v>6821</v>
      </c>
    </row>
    <row r="595" spans="1:1" x14ac:dyDescent="0.25">
      <c r="A595" t="s">
        <v>6822</v>
      </c>
    </row>
    <row r="596" spans="1:1" x14ac:dyDescent="0.25">
      <c r="A596" t="s">
        <v>6823</v>
      </c>
    </row>
    <row r="597" spans="1:1" x14ac:dyDescent="0.25">
      <c r="A597" t="s">
        <v>6824</v>
      </c>
    </row>
    <row r="598" spans="1:1" x14ac:dyDescent="0.25">
      <c r="A598" t="s">
        <v>6825</v>
      </c>
    </row>
    <row r="599" spans="1:1" x14ac:dyDescent="0.25">
      <c r="A599" t="s">
        <v>6826</v>
      </c>
    </row>
    <row r="600" spans="1:1" x14ac:dyDescent="0.25">
      <c r="A600" t="s">
        <v>6827</v>
      </c>
    </row>
    <row r="601" spans="1:1" x14ac:dyDescent="0.25">
      <c r="A601" t="s">
        <v>6828</v>
      </c>
    </row>
    <row r="602" spans="1:1" x14ac:dyDescent="0.25">
      <c r="A602" t="s">
        <v>6829</v>
      </c>
    </row>
    <row r="603" spans="1:1" x14ac:dyDescent="0.25">
      <c r="A603" t="s">
        <v>6830</v>
      </c>
    </row>
    <row r="604" spans="1:1" x14ac:dyDescent="0.25">
      <c r="A604" t="s">
        <v>6831</v>
      </c>
    </row>
    <row r="605" spans="1:1" x14ac:dyDescent="0.25">
      <c r="A605" t="s">
        <v>6832</v>
      </c>
    </row>
    <row r="606" spans="1:1" x14ac:dyDescent="0.25">
      <c r="A606" t="s">
        <v>6833</v>
      </c>
    </row>
    <row r="607" spans="1:1" x14ac:dyDescent="0.25">
      <c r="A607" t="s">
        <v>6834</v>
      </c>
    </row>
    <row r="608" spans="1:1" x14ac:dyDescent="0.25">
      <c r="A608" t="s">
        <v>6835</v>
      </c>
    </row>
    <row r="609" spans="1:1" x14ac:dyDescent="0.25">
      <c r="A609" t="s">
        <v>6836</v>
      </c>
    </row>
    <row r="610" spans="1:1" x14ac:dyDescent="0.25">
      <c r="A610" t="s">
        <v>6837</v>
      </c>
    </row>
    <row r="611" spans="1:1" x14ac:dyDescent="0.25">
      <c r="A611" t="s">
        <v>6838</v>
      </c>
    </row>
    <row r="612" spans="1:1" x14ac:dyDescent="0.25">
      <c r="A612" t="s">
        <v>6839</v>
      </c>
    </row>
    <row r="613" spans="1:1" x14ac:dyDescent="0.25">
      <c r="A613" t="s">
        <v>6840</v>
      </c>
    </row>
    <row r="614" spans="1:1" x14ac:dyDescent="0.25">
      <c r="A614" t="s">
        <v>6841</v>
      </c>
    </row>
    <row r="615" spans="1:1" x14ac:dyDescent="0.25">
      <c r="A615" t="s">
        <v>6842</v>
      </c>
    </row>
    <row r="616" spans="1:1" x14ac:dyDescent="0.25">
      <c r="A616" t="s">
        <v>6843</v>
      </c>
    </row>
    <row r="617" spans="1:1" x14ac:dyDescent="0.25">
      <c r="A617" t="s">
        <v>6844</v>
      </c>
    </row>
    <row r="618" spans="1:1" x14ac:dyDescent="0.25">
      <c r="A618" t="s">
        <v>6845</v>
      </c>
    </row>
    <row r="619" spans="1:1" x14ac:dyDescent="0.25">
      <c r="A619" t="s">
        <v>6846</v>
      </c>
    </row>
    <row r="620" spans="1:1" x14ac:dyDescent="0.25">
      <c r="A620" t="s">
        <v>6847</v>
      </c>
    </row>
    <row r="621" spans="1:1" x14ac:dyDescent="0.25">
      <c r="A621" t="s">
        <v>6848</v>
      </c>
    </row>
    <row r="622" spans="1:1" x14ac:dyDescent="0.25">
      <c r="A622" t="s">
        <v>6849</v>
      </c>
    </row>
    <row r="623" spans="1:1" x14ac:dyDescent="0.25">
      <c r="A623" t="s">
        <v>6850</v>
      </c>
    </row>
    <row r="624" spans="1:1" x14ac:dyDescent="0.25">
      <c r="A624" t="s">
        <v>6851</v>
      </c>
    </row>
    <row r="625" spans="1:1" x14ac:dyDescent="0.25">
      <c r="A625" t="s">
        <v>6852</v>
      </c>
    </row>
    <row r="626" spans="1:1" x14ac:dyDescent="0.25">
      <c r="A626" t="s">
        <v>6853</v>
      </c>
    </row>
    <row r="627" spans="1:1" x14ac:dyDescent="0.25">
      <c r="A627" t="s">
        <v>6854</v>
      </c>
    </row>
    <row r="628" spans="1:1" x14ac:dyDescent="0.25">
      <c r="A628" t="s">
        <v>6855</v>
      </c>
    </row>
    <row r="629" spans="1:1" x14ac:dyDescent="0.25">
      <c r="A629" t="s">
        <v>6856</v>
      </c>
    </row>
    <row r="630" spans="1:1" x14ac:dyDescent="0.25">
      <c r="A630" t="s">
        <v>6857</v>
      </c>
    </row>
    <row r="631" spans="1:1" x14ac:dyDescent="0.25">
      <c r="A631" t="s">
        <v>6858</v>
      </c>
    </row>
    <row r="632" spans="1:1" x14ac:dyDescent="0.25">
      <c r="A632" t="s">
        <v>6859</v>
      </c>
    </row>
    <row r="633" spans="1:1" x14ac:dyDescent="0.25">
      <c r="A633" t="s">
        <v>6860</v>
      </c>
    </row>
    <row r="634" spans="1:1" x14ac:dyDescent="0.25">
      <c r="A634" t="s">
        <v>6861</v>
      </c>
    </row>
    <row r="635" spans="1:1" x14ac:dyDescent="0.25">
      <c r="A635" t="s">
        <v>6862</v>
      </c>
    </row>
    <row r="636" spans="1:1" x14ac:dyDescent="0.25">
      <c r="A636" t="s">
        <v>6863</v>
      </c>
    </row>
    <row r="637" spans="1:1" x14ac:dyDescent="0.25">
      <c r="A637" t="s">
        <v>6864</v>
      </c>
    </row>
    <row r="638" spans="1:1" x14ac:dyDescent="0.25">
      <c r="A638" t="s">
        <v>6865</v>
      </c>
    </row>
    <row r="639" spans="1:1" x14ac:dyDescent="0.25">
      <c r="A639" t="s">
        <v>6866</v>
      </c>
    </row>
    <row r="640" spans="1:1" x14ac:dyDescent="0.25">
      <c r="A640" t="s">
        <v>6867</v>
      </c>
    </row>
    <row r="641" spans="1:1" x14ac:dyDescent="0.25">
      <c r="A641" t="s">
        <v>6868</v>
      </c>
    </row>
    <row r="642" spans="1:1" x14ac:dyDescent="0.25">
      <c r="A642" t="s">
        <v>6869</v>
      </c>
    </row>
    <row r="643" spans="1:1" x14ac:dyDescent="0.25">
      <c r="A643" t="s">
        <v>6870</v>
      </c>
    </row>
    <row r="644" spans="1:1" x14ac:dyDescent="0.25">
      <c r="A644" t="s">
        <v>6871</v>
      </c>
    </row>
    <row r="645" spans="1:1" x14ac:dyDescent="0.25">
      <c r="A645" t="s">
        <v>6872</v>
      </c>
    </row>
    <row r="646" spans="1:1" x14ac:dyDescent="0.25">
      <c r="A646" t="s">
        <v>6873</v>
      </c>
    </row>
    <row r="647" spans="1:1" x14ac:dyDescent="0.25">
      <c r="A647" t="s">
        <v>6874</v>
      </c>
    </row>
    <row r="648" spans="1:1" x14ac:dyDescent="0.25">
      <c r="A648" t="s">
        <v>6875</v>
      </c>
    </row>
    <row r="649" spans="1:1" x14ac:dyDescent="0.25">
      <c r="A649" t="s">
        <v>6876</v>
      </c>
    </row>
    <row r="650" spans="1:1" x14ac:dyDescent="0.25">
      <c r="A650" t="s">
        <v>6877</v>
      </c>
    </row>
    <row r="651" spans="1:1" x14ac:dyDescent="0.25">
      <c r="A651" t="s">
        <v>6878</v>
      </c>
    </row>
    <row r="652" spans="1:1" x14ac:dyDescent="0.25">
      <c r="A652" t="s">
        <v>6879</v>
      </c>
    </row>
    <row r="653" spans="1:1" x14ac:dyDescent="0.25">
      <c r="A653" t="s">
        <v>6880</v>
      </c>
    </row>
    <row r="654" spans="1:1" x14ac:dyDescent="0.25">
      <c r="A654" t="s">
        <v>6881</v>
      </c>
    </row>
    <row r="655" spans="1:1" x14ac:dyDescent="0.25">
      <c r="A655" t="s">
        <v>6882</v>
      </c>
    </row>
    <row r="656" spans="1:1" x14ac:dyDescent="0.25">
      <c r="A656" t="s">
        <v>4052</v>
      </c>
    </row>
    <row r="657" spans="1:1" x14ac:dyDescent="0.25">
      <c r="A657" t="s">
        <v>6883</v>
      </c>
    </row>
    <row r="658" spans="1:1" x14ac:dyDescent="0.25">
      <c r="A658" t="s">
        <v>6884</v>
      </c>
    </row>
    <row r="659" spans="1:1" x14ac:dyDescent="0.25">
      <c r="A659" t="s">
        <v>6885</v>
      </c>
    </row>
    <row r="660" spans="1:1" x14ac:dyDescent="0.25">
      <c r="A660" t="s">
        <v>6886</v>
      </c>
    </row>
    <row r="661" spans="1:1" x14ac:dyDescent="0.25">
      <c r="A661" t="s">
        <v>6887</v>
      </c>
    </row>
    <row r="662" spans="1:1" x14ac:dyDescent="0.25">
      <c r="A662" t="s">
        <v>6888</v>
      </c>
    </row>
    <row r="663" spans="1:1" x14ac:dyDescent="0.25">
      <c r="A663" t="s">
        <v>6889</v>
      </c>
    </row>
    <row r="664" spans="1:1" x14ac:dyDescent="0.25">
      <c r="A664" t="s">
        <v>6890</v>
      </c>
    </row>
    <row r="665" spans="1:1" x14ac:dyDescent="0.25">
      <c r="A665" t="s">
        <v>6891</v>
      </c>
    </row>
    <row r="666" spans="1:1" x14ac:dyDescent="0.25">
      <c r="A666" t="s">
        <v>6892</v>
      </c>
    </row>
    <row r="667" spans="1:1" x14ac:dyDescent="0.25">
      <c r="A667" t="s">
        <v>6895</v>
      </c>
    </row>
    <row r="668" spans="1:1" x14ac:dyDescent="0.25">
      <c r="A668" t="s">
        <v>6896</v>
      </c>
    </row>
    <row r="669" spans="1:1" x14ac:dyDescent="0.25">
      <c r="A669" t="s">
        <v>6897</v>
      </c>
    </row>
    <row r="670" spans="1:1" x14ac:dyDescent="0.25">
      <c r="A670" t="s">
        <v>6898</v>
      </c>
    </row>
    <row r="671" spans="1:1" x14ac:dyDescent="0.25">
      <c r="A671" t="s">
        <v>6899</v>
      </c>
    </row>
    <row r="672" spans="1:1" x14ac:dyDescent="0.25">
      <c r="A672" t="s">
        <v>6900</v>
      </c>
    </row>
    <row r="673" spans="1:1" x14ac:dyDescent="0.25">
      <c r="A673" t="s">
        <v>6901</v>
      </c>
    </row>
    <row r="674" spans="1:1" x14ac:dyDescent="0.25">
      <c r="A674" t="s">
        <v>6902</v>
      </c>
    </row>
    <row r="675" spans="1:1" x14ac:dyDescent="0.25">
      <c r="A675" t="s">
        <v>6903</v>
      </c>
    </row>
    <row r="676" spans="1:1" x14ac:dyDescent="0.25">
      <c r="A676" t="s">
        <v>6904</v>
      </c>
    </row>
    <row r="677" spans="1:1" x14ac:dyDescent="0.25">
      <c r="A677" t="s">
        <v>6905</v>
      </c>
    </row>
    <row r="678" spans="1:1" x14ac:dyDescent="0.25">
      <c r="A678" t="s">
        <v>6906</v>
      </c>
    </row>
    <row r="679" spans="1:1" x14ac:dyDescent="0.25">
      <c r="A679" t="s">
        <v>6907</v>
      </c>
    </row>
    <row r="680" spans="1:1" x14ac:dyDescent="0.25">
      <c r="A680" t="s">
        <v>6908</v>
      </c>
    </row>
    <row r="681" spans="1:1" x14ac:dyDescent="0.25">
      <c r="A681" t="s">
        <v>6909</v>
      </c>
    </row>
    <row r="682" spans="1:1" x14ac:dyDescent="0.25">
      <c r="A682" t="s">
        <v>6910</v>
      </c>
    </row>
    <row r="683" spans="1:1" x14ac:dyDescent="0.25">
      <c r="A683" t="s">
        <v>6911</v>
      </c>
    </row>
    <row r="684" spans="1:1" x14ac:dyDescent="0.25">
      <c r="A684" t="s">
        <v>6912</v>
      </c>
    </row>
    <row r="685" spans="1:1" x14ac:dyDescent="0.25">
      <c r="A685" t="s">
        <v>6913</v>
      </c>
    </row>
    <row r="686" spans="1:1" x14ac:dyDescent="0.25">
      <c r="A686" t="s">
        <v>6914</v>
      </c>
    </row>
    <row r="687" spans="1:1" x14ac:dyDescent="0.25">
      <c r="A687" t="s">
        <v>6915</v>
      </c>
    </row>
    <row r="688" spans="1:1" x14ac:dyDescent="0.25">
      <c r="A688" t="s">
        <v>6916</v>
      </c>
    </row>
    <row r="689" spans="1:1" x14ac:dyDescent="0.25">
      <c r="A689" t="s">
        <v>6917</v>
      </c>
    </row>
    <row r="690" spans="1:1" x14ac:dyDescent="0.25">
      <c r="A690" t="s">
        <v>6918</v>
      </c>
    </row>
    <row r="691" spans="1:1" x14ac:dyDescent="0.25">
      <c r="A691" t="s">
        <v>6919</v>
      </c>
    </row>
    <row r="692" spans="1:1" x14ac:dyDescent="0.25">
      <c r="A692" t="s">
        <v>6920</v>
      </c>
    </row>
    <row r="693" spans="1:1" x14ac:dyDescent="0.25">
      <c r="A693" t="s">
        <v>6921</v>
      </c>
    </row>
    <row r="694" spans="1:1" x14ac:dyDescent="0.25">
      <c r="A694" t="s">
        <v>6922</v>
      </c>
    </row>
    <row r="695" spans="1:1" x14ac:dyDescent="0.25">
      <c r="A695" t="s">
        <v>6923</v>
      </c>
    </row>
    <row r="696" spans="1:1" x14ac:dyDescent="0.25">
      <c r="A696" t="s">
        <v>6924</v>
      </c>
    </row>
    <row r="697" spans="1:1" x14ac:dyDescent="0.25">
      <c r="A697" t="s">
        <v>6925</v>
      </c>
    </row>
    <row r="698" spans="1:1" x14ac:dyDescent="0.25">
      <c r="A698" t="s">
        <v>6926</v>
      </c>
    </row>
    <row r="699" spans="1:1" x14ac:dyDescent="0.25">
      <c r="A699" t="s">
        <v>6927</v>
      </c>
    </row>
    <row r="700" spans="1:1" x14ac:dyDescent="0.25">
      <c r="A700" t="s">
        <v>6928</v>
      </c>
    </row>
    <row r="701" spans="1:1" x14ac:dyDescent="0.25">
      <c r="A701" t="s">
        <v>6929</v>
      </c>
    </row>
    <row r="702" spans="1:1" x14ac:dyDescent="0.25">
      <c r="A702" t="s">
        <v>6930</v>
      </c>
    </row>
    <row r="703" spans="1:1" x14ac:dyDescent="0.25">
      <c r="A703" t="s">
        <v>6931</v>
      </c>
    </row>
    <row r="704" spans="1:1" x14ac:dyDescent="0.25">
      <c r="A704" t="s">
        <v>6932</v>
      </c>
    </row>
    <row r="705" spans="1:1" x14ac:dyDescent="0.25">
      <c r="A705" t="s">
        <v>6933</v>
      </c>
    </row>
    <row r="706" spans="1:1" x14ac:dyDescent="0.25">
      <c r="A706" t="s">
        <v>6934</v>
      </c>
    </row>
    <row r="707" spans="1:1" x14ac:dyDescent="0.25">
      <c r="A707" t="s">
        <v>6935</v>
      </c>
    </row>
    <row r="708" spans="1:1" x14ac:dyDescent="0.25">
      <c r="A708" t="s">
        <v>6936</v>
      </c>
    </row>
    <row r="709" spans="1:1" x14ac:dyDescent="0.25">
      <c r="A709" t="s">
        <v>6937</v>
      </c>
    </row>
    <row r="710" spans="1:1" x14ac:dyDescent="0.25">
      <c r="A710" t="s">
        <v>6938</v>
      </c>
    </row>
    <row r="711" spans="1:1" x14ac:dyDescent="0.25">
      <c r="A711" t="s">
        <v>6939</v>
      </c>
    </row>
    <row r="712" spans="1:1" x14ac:dyDescent="0.25">
      <c r="A712" t="s">
        <v>6940</v>
      </c>
    </row>
    <row r="713" spans="1:1" x14ac:dyDescent="0.25">
      <c r="A713" t="s">
        <v>6941</v>
      </c>
    </row>
    <row r="714" spans="1:1" x14ac:dyDescent="0.25">
      <c r="A714" t="s">
        <v>6942</v>
      </c>
    </row>
    <row r="715" spans="1:1" x14ac:dyDescent="0.25">
      <c r="A715" t="s">
        <v>6943</v>
      </c>
    </row>
    <row r="716" spans="1:1" x14ac:dyDescent="0.25">
      <c r="A716" t="s">
        <v>6944</v>
      </c>
    </row>
    <row r="717" spans="1:1" x14ac:dyDescent="0.25">
      <c r="A717" t="s">
        <v>6945</v>
      </c>
    </row>
    <row r="718" spans="1:1" x14ac:dyDescent="0.25">
      <c r="A718" t="s">
        <v>6946</v>
      </c>
    </row>
    <row r="719" spans="1:1" x14ac:dyDescent="0.25">
      <c r="A719" t="s">
        <v>6947</v>
      </c>
    </row>
    <row r="720" spans="1:1" x14ac:dyDescent="0.25">
      <c r="A720" t="s">
        <v>6948</v>
      </c>
    </row>
    <row r="721" spans="1:1" x14ac:dyDescent="0.25">
      <c r="A721" t="s">
        <v>6949</v>
      </c>
    </row>
    <row r="722" spans="1:1" x14ac:dyDescent="0.25">
      <c r="A722" t="s">
        <v>6950</v>
      </c>
    </row>
    <row r="723" spans="1:1" x14ac:dyDescent="0.25">
      <c r="A723" t="s">
        <v>6951</v>
      </c>
    </row>
    <row r="724" spans="1:1" x14ac:dyDescent="0.25">
      <c r="A724" t="s">
        <v>6952</v>
      </c>
    </row>
    <row r="725" spans="1:1" x14ac:dyDescent="0.25">
      <c r="A725" t="s">
        <v>6953</v>
      </c>
    </row>
    <row r="726" spans="1:1" x14ac:dyDescent="0.25">
      <c r="A726" t="s">
        <v>6954</v>
      </c>
    </row>
    <row r="727" spans="1:1" x14ac:dyDescent="0.25">
      <c r="A727" t="s">
        <v>6955</v>
      </c>
    </row>
    <row r="728" spans="1:1" x14ac:dyDescent="0.25">
      <c r="A728" t="s">
        <v>4035</v>
      </c>
    </row>
    <row r="729" spans="1:1" x14ac:dyDescent="0.25">
      <c r="A729" t="s">
        <v>6956</v>
      </c>
    </row>
    <row r="730" spans="1:1" x14ac:dyDescent="0.25">
      <c r="A730" t="s">
        <v>6957</v>
      </c>
    </row>
    <row r="731" spans="1:1" x14ac:dyDescent="0.25">
      <c r="A731" t="s">
        <v>6958</v>
      </c>
    </row>
    <row r="732" spans="1:1" x14ac:dyDescent="0.25">
      <c r="A732" t="s">
        <v>6959</v>
      </c>
    </row>
    <row r="733" spans="1:1" x14ac:dyDescent="0.25">
      <c r="A733" t="s">
        <v>6960</v>
      </c>
    </row>
    <row r="734" spans="1:1" x14ac:dyDescent="0.25">
      <c r="A734" t="s">
        <v>6961</v>
      </c>
    </row>
    <row r="735" spans="1:1" x14ac:dyDescent="0.25">
      <c r="A735" t="s">
        <v>6962</v>
      </c>
    </row>
    <row r="736" spans="1:1" x14ac:dyDescent="0.25">
      <c r="A736" t="s">
        <v>6963</v>
      </c>
    </row>
    <row r="737" spans="1:1" x14ac:dyDescent="0.25">
      <c r="A737" t="s">
        <v>6964</v>
      </c>
    </row>
    <row r="738" spans="1:1" x14ac:dyDescent="0.25">
      <c r="A738" t="s">
        <v>6965</v>
      </c>
    </row>
    <row r="739" spans="1:1" x14ac:dyDescent="0.25">
      <c r="A739" t="s">
        <v>9747</v>
      </c>
    </row>
    <row r="740" spans="1:1" x14ac:dyDescent="0.25">
      <c r="A740" t="s">
        <v>6966</v>
      </c>
    </row>
    <row r="741" spans="1:1" x14ac:dyDescent="0.25">
      <c r="A741" t="s">
        <v>6967</v>
      </c>
    </row>
    <row r="742" spans="1:1" x14ac:dyDescent="0.25">
      <c r="A742" t="s">
        <v>6968</v>
      </c>
    </row>
    <row r="743" spans="1:1" x14ac:dyDescent="0.25">
      <c r="A743" t="s">
        <v>6969</v>
      </c>
    </row>
    <row r="744" spans="1:1" x14ac:dyDescent="0.25">
      <c r="A744" t="s">
        <v>6970</v>
      </c>
    </row>
    <row r="745" spans="1:1" x14ac:dyDescent="0.25">
      <c r="A745" t="s">
        <v>6971</v>
      </c>
    </row>
    <row r="746" spans="1:1" x14ac:dyDescent="0.25">
      <c r="A746" t="s">
        <v>6972</v>
      </c>
    </row>
    <row r="747" spans="1:1" x14ac:dyDescent="0.25">
      <c r="A747" t="s">
        <v>6973</v>
      </c>
    </row>
    <row r="748" spans="1:1" x14ac:dyDescent="0.25">
      <c r="A748" t="s">
        <v>6974</v>
      </c>
    </row>
    <row r="749" spans="1:1" x14ac:dyDescent="0.25">
      <c r="A749" t="s">
        <v>6975</v>
      </c>
    </row>
    <row r="750" spans="1:1" x14ac:dyDescent="0.25">
      <c r="A750" t="s">
        <v>6976</v>
      </c>
    </row>
    <row r="751" spans="1:1" x14ac:dyDescent="0.25">
      <c r="A751" t="s">
        <v>6977</v>
      </c>
    </row>
    <row r="752" spans="1:1" x14ac:dyDescent="0.25">
      <c r="A752" t="s">
        <v>6978</v>
      </c>
    </row>
    <row r="753" spans="1:1" x14ac:dyDescent="0.25">
      <c r="A753" t="s">
        <v>6979</v>
      </c>
    </row>
    <row r="754" spans="1:1" x14ac:dyDescent="0.25">
      <c r="A754" t="s">
        <v>6980</v>
      </c>
    </row>
    <row r="755" spans="1:1" x14ac:dyDescent="0.25">
      <c r="A755" t="s">
        <v>6981</v>
      </c>
    </row>
    <row r="756" spans="1:1" x14ac:dyDescent="0.25">
      <c r="A756" t="s">
        <v>6982</v>
      </c>
    </row>
    <row r="757" spans="1:1" x14ac:dyDescent="0.25">
      <c r="A757" t="s">
        <v>6983</v>
      </c>
    </row>
    <row r="758" spans="1:1" x14ac:dyDescent="0.25">
      <c r="A758" t="s">
        <v>6984</v>
      </c>
    </row>
    <row r="759" spans="1:1" x14ac:dyDescent="0.25">
      <c r="A759" t="s">
        <v>6985</v>
      </c>
    </row>
    <row r="760" spans="1:1" x14ac:dyDescent="0.25">
      <c r="A760" t="s">
        <v>6986</v>
      </c>
    </row>
    <row r="761" spans="1:1" x14ac:dyDescent="0.25">
      <c r="A761" t="s">
        <v>6987</v>
      </c>
    </row>
    <row r="762" spans="1:1" x14ac:dyDescent="0.25">
      <c r="A762" t="s">
        <v>6988</v>
      </c>
    </row>
    <row r="763" spans="1:1" x14ac:dyDescent="0.25">
      <c r="A763" t="s">
        <v>6989</v>
      </c>
    </row>
    <row r="764" spans="1:1" x14ac:dyDescent="0.25">
      <c r="A764" t="s">
        <v>6990</v>
      </c>
    </row>
    <row r="765" spans="1:1" x14ac:dyDescent="0.25">
      <c r="A765" t="s">
        <v>6991</v>
      </c>
    </row>
    <row r="766" spans="1:1" x14ac:dyDescent="0.25">
      <c r="A766" t="s">
        <v>6992</v>
      </c>
    </row>
    <row r="767" spans="1:1" x14ac:dyDescent="0.25">
      <c r="A767" t="s">
        <v>6993</v>
      </c>
    </row>
    <row r="768" spans="1:1" x14ac:dyDescent="0.25">
      <c r="A768" t="s">
        <v>6994</v>
      </c>
    </row>
    <row r="769" spans="1:1" x14ac:dyDescent="0.25">
      <c r="A769" t="s">
        <v>6995</v>
      </c>
    </row>
    <row r="770" spans="1:1" x14ac:dyDescent="0.25">
      <c r="A770" t="s">
        <v>6996</v>
      </c>
    </row>
    <row r="771" spans="1:1" x14ac:dyDescent="0.25">
      <c r="A771" t="s">
        <v>6997</v>
      </c>
    </row>
    <row r="772" spans="1:1" x14ac:dyDescent="0.25">
      <c r="A772" t="s">
        <v>6998</v>
      </c>
    </row>
    <row r="773" spans="1:1" x14ac:dyDescent="0.25">
      <c r="A773" t="s">
        <v>6999</v>
      </c>
    </row>
    <row r="774" spans="1:1" x14ac:dyDescent="0.25">
      <c r="A774" t="s">
        <v>7000</v>
      </c>
    </row>
    <row r="775" spans="1:1" x14ac:dyDescent="0.25">
      <c r="A775" t="s">
        <v>7001</v>
      </c>
    </row>
    <row r="776" spans="1:1" x14ac:dyDescent="0.25">
      <c r="A776" t="s">
        <v>7002</v>
      </c>
    </row>
    <row r="777" spans="1:1" x14ac:dyDescent="0.25">
      <c r="A777" t="s">
        <v>7003</v>
      </c>
    </row>
    <row r="778" spans="1:1" x14ac:dyDescent="0.25">
      <c r="A778" t="s">
        <v>7004</v>
      </c>
    </row>
    <row r="779" spans="1:1" x14ac:dyDescent="0.25">
      <c r="A779" t="s">
        <v>7005</v>
      </c>
    </row>
    <row r="780" spans="1:1" x14ac:dyDescent="0.25">
      <c r="A780" t="s">
        <v>7006</v>
      </c>
    </row>
    <row r="781" spans="1:1" x14ac:dyDescent="0.25">
      <c r="A781" t="s">
        <v>7007</v>
      </c>
    </row>
    <row r="782" spans="1:1" x14ac:dyDescent="0.25">
      <c r="A782" t="s">
        <v>7008</v>
      </c>
    </row>
    <row r="783" spans="1:1" x14ac:dyDescent="0.25">
      <c r="A783" t="s">
        <v>7009</v>
      </c>
    </row>
    <row r="784" spans="1:1" x14ac:dyDescent="0.25">
      <c r="A784" t="s">
        <v>7010</v>
      </c>
    </row>
    <row r="785" spans="1:1" x14ac:dyDescent="0.25">
      <c r="A785" t="s">
        <v>7011</v>
      </c>
    </row>
    <row r="786" spans="1:1" x14ac:dyDescent="0.25">
      <c r="A786" t="s">
        <v>7012</v>
      </c>
    </row>
    <row r="787" spans="1:1" x14ac:dyDescent="0.25">
      <c r="A787" t="s">
        <v>7013</v>
      </c>
    </row>
    <row r="788" spans="1:1" x14ac:dyDescent="0.25">
      <c r="A788" t="s">
        <v>7014</v>
      </c>
    </row>
    <row r="789" spans="1:1" x14ac:dyDescent="0.25">
      <c r="A789" t="s">
        <v>7015</v>
      </c>
    </row>
    <row r="790" spans="1:1" x14ac:dyDescent="0.25">
      <c r="A790" t="s">
        <v>7016</v>
      </c>
    </row>
    <row r="791" spans="1:1" x14ac:dyDescent="0.25">
      <c r="A791" t="s">
        <v>7017</v>
      </c>
    </row>
    <row r="792" spans="1:1" x14ac:dyDescent="0.25">
      <c r="A792" t="s">
        <v>7018</v>
      </c>
    </row>
    <row r="793" spans="1:1" x14ac:dyDescent="0.25">
      <c r="A793" t="s">
        <v>7019</v>
      </c>
    </row>
    <row r="794" spans="1:1" x14ac:dyDescent="0.25">
      <c r="A794" t="s">
        <v>7020</v>
      </c>
    </row>
    <row r="795" spans="1:1" x14ac:dyDescent="0.25">
      <c r="A795" t="s">
        <v>7021</v>
      </c>
    </row>
    <row r="796" spans="1:1" x14ac:dyDescent="0.25">
      <c r="A796" t="s">
        <v>7022</v>
      </c>
    </row>
    <row r="797" spans="1:1" x14ac:dyDescent="0.25">
      <c r="A797" t="s">
        <v>7023</v>
      </c>
    </row>
    <row r="798" spans="1:1" x14ac:dyDescent="0.25">
      <c r="A798" t="s">
        <v>7024</v>
      </c>
    </row>
    <row r="799" spans="1:1" x14ac:dyDescent="0.25">
      <c r="A799" t="s">
        <v>7025</v>
      </c>
    </row>
    <row r="800" spans="1:1" x14ac:dyDescent="0.25">
      <c r="A800" t="s">
        <v>7026</v>
      </c>
    </row>
    <row r="801" spans="1:1" x14ac:dyDescent="0.25">
      <c r="A801" t="s">
        <v>7027</v>
      </c>
    </row>
    <row r="802" spans="1:1" x14ac:dyDescent="0.25">
      <c r="A802" t="s">
        <v>7030</v>
      </c>
    </row>
    <row r="803" spans="1:1" x14ac:dyDescent="0.25">
      <c r="A803" t="s">
        <v>7031</v>
      </c>
    </row>
    <row r="804" spans="1:1" x14ac:dyDescent="0.25">
      <c r="A804" t="s">
        <v>7032</v>
      </c>
    </row>
    <row r="805" spans="1:1" x14ac:dyDescent="0.25">
      <c r="A805" t="s">
        <v>7033</v>
      </c>
    </row>
    <row r="806" spans="1:1" x14ac:dyDescent="0.25">
      <c r="A806" t="s">
        <v>7034</v>
      </c>
    </row>
    <row r="807" spans="1:1" x14ac:dyDescent="0.25">
      <c r="A807" t="s">
        <v>7035</v>
      </c>
    </row>
    <row r="808" spans="1:1" x14ac:dyDescent="0.25">
      <c r="A808" t="s">
        <v>7036</v>
      </c>
    </row>
    <row r="809" spans="1:1" x14ac:dyDescent="0.25">
      <c r="A809" t="s">
        <v>7037</v>
      </c>
    </row>
    <row r="810" spans="1:1" x14ac:dyDescent="0.25">
      <c r="A810" t="s">
        <v>7038</v>
      </c>
    </row>
    <row r="811" spans="1:1" x14ac:dyDescent="0.25">
      <c r="A811" t="s">
        <v>7039</v>
      </c>
    </row>
    <row r="812" spans="1:1" x14ac:dyDescent="0.25">
      <c r="A812" t="s">
        <v>7040</v>
      </c>
    </row>
    <row r="813" spans="1:1" x14ac:dyDescent="0.25">
      <c r="A813" t="s">
        <v>7041</v>
      </c>
    </row>
    <row r="814" spans="1:1" x14ac:dyDescent="0.25">
      <c r="A814" t="s">
        <v>7043</v>
      </c>
    </row>
    <row r="815" spans="1:1" x14ac:dyDescent="0.25">
      <c r="A815" t="s">
        <v>7044</v>
      </c>
    </row>
    <row r="816" spans="1:1" x14ac:dyDescent="0.25">
      <c r="A816" t="s">
        <v>7045</v>
      </c>
    </row>
    <row r="817" spans="1:1" x14ac:dyDescent="0.25">
      <c r="A817" t="s">
        <v>7046</v>
      </c>
    </row>
    <row r="818" spans="1:1" x14ac:dyDescent="0.25">
      <c r="A818" t="s">
        <v>7047</v>
      </c>
    </row>
    <row r="819" spans="1:1" x14ac:dyDescent="0.25">
      <c r="A819" t="s">
        <v>7048</v>
      </c>
    </row>
    <row r="820" spans="1:1" x14ac:dyDescent="0.25">
      <c r="A820" t="s">
        <v>7049</v>
      </c>
    </row>
    <row r="821" spans="1:1" x14ac:dyDescent="0.25">
      <c r="A821" t="s">
        <v>7050</v>
      </c>
    </row>
    <row r="822" spans="1:1" x14ac:dyDescent="0.25">
      <c r="A822" t="s">
        <v>7051</v>
      </c>
    </row>
    <row r="823" spans="1:1" x14ac:dyDescent="0.25">
      <c r="A823" t="s">
        <v>7052</v>
      </c>
    </row>
    <row r="824" spans="1:1" x14ac:dyDescent="0.25">
      <c r="A824" t="s">
        <v>7064</v>
      </c>
    </row>
    <row r="825" spans="1:1" x14ac:dyDescent="0.25">
      <c r="A825" t="s">
        <v>7065</v>
      </c>
    </row>
    <row r="826" spans="1:1" x14ac:dyDescent="0.25">
      <c r="A826" t="s">
        <v>7066</v>
      </c>
    </row>
    <row r="827" spans="1:1" x14ac:dyDescent="0.25">
      <c r="A827" t="s">
        <v>7067</v>
      </c>
    </row>
    <row r="828" spans="1:1" x14ac:dyDescent="0.25">
      <c r="A828" t="s">
        <v>7068</v>
      </c>
    </row>
    <row r="829" spans="1:1" x14ac:dyDescent="0.25">
      <c r="A829" t="s">
        <v>7069</v>
      </c>
    </row>
    <row r="830" spans="1:1" x14ac:dyDescent="0.25">
      <c r="A830" t="s">
        <v>7070</v>
      </c>
    </row>
    <row r="831" spans="1:1" x14ac:dyDescent="0.25">
      <c r="A831" t="s">
        <v>7071</v>
      </c>
    </row>
    <row r="832" spans="1:1" x14ac:dyDescent="0.25">
      <c r="A832" t="s">
        <v>7072</v>
      </c>
    </row>
    <row r="833" spans="1:1" x14ac:dyDescent="0.25">
      <c r="A833" t="s">
        <v>7073</v>
      </c>
    </row>
    <row r="834" spans="1:1" x14ac:dyDescent="0.25">
      <c r="A834" t="s">
        <v>7074</v>
      </c>
    </row>
    <row r="835" spans="1:1" x14ac:dyDescent="0.25">
      <c r="A835" t="s">
        <v>7076</v>
      </c>
    </row>
    <row r="836" spans="1:1" x14ac:dyDescent="0.25">
      <c r="A836" t="s">
        <v>7077</v>
      </c>
    </row>
    <row r="837" spans="1:1" x14ac:dyDescent="0.25">
      <c r="A837" t="s">
        <v>7078</v>
      </c>
    </row>
    <row r="838" spans="1:1" x14ac:dyDescent="0.25">
      <c r="A838" t="s">
        <v>7079</v>
      </c>
    </row>
    <row r="839" spans="1:1" x14ac:dyDescent="0.25">
      <c r="A839" t="s">
        <v>7080</v>
      </c>
    </row>
    <row r="840" spans="1:1" x14ac:dyDescent="0.25">
      <c r="A840" t="s">
        <v>7081</v>
      </c>
    </row>
    <row r="841" spans="1:1" x14ac:dyDescent="0.25">
      <c r="A841" t="s">
        <v>7082</v>
      </c>
    </row>
    <row r="842" spans="1:1" x14ac:dyDescent="0.25">
      <c r="A842" t="s">
        <v>7083</v>
      </c>
    </row>
    <row r="843" spans="1:1" x14ac:dyDescent="0.25">
      <c r="A843" t="s">
        <v>7084</v>
      </c>
    </row>
    <row r="844" spans="1:1" x14ac:dyDescent="0.25">
      <c r="A844" t="s">
        <v>7085</v>
      </c>
    </row>
    <row r="845" spans="1:1" x14ac:dyDescent="0.25">
      <c r="A845" t="s">
        <v>7086</v>
      </c>
    </row>
    <row r="846" spans="1:1" x14ac:dyDescent="0.25">
      <c r="A846" t="s">
        <v>7087</v>
      </c>
    </row>
    <row r="847" spans="1:1" x14ac:dyDescent="0.25">
      <c r="A847" t="s">
        <v>7088</v>
      </c>
    </row>
    <row r="848" spans="1:1" x14ac:dyDescent="0.25">
      <c r="A848" t="s">
        <v>7089</v>
      </c>
    </row>
    <row r="849" spans="1:1" x14ac:dyDescent="0.25">
      <c r="A849" t="s">
        <v>7090</v>
      </c>
    </row>
    <row r="850" spans="1:1" x14ac:dyDescent="0.25">
      <c r="A850" t="s">
        <v>7091</v>
      </c>
    </row>
    <row r="851" spans="1:1" x14ac:dyDescent="0.25">
      <c r="A851" t="s">
        <v>7092</v>
      </c>
    </row>
    <row r="852" spans="1:1" x14ac:dyDescent="0.25">
      <c r="A852" t="s">
        <v>7093</v>
      </c>
    </row>
    <row r="853" spans="1:1" x14ac:dyDescent="0.25">
      <c r="A853" t="s">
        <v>7094</v>
      </c>
    </row>
    <row r="854" spans="1:1" x14ac:dyDescent="0.25">
      <c r="A854" t="s">
        <v>7095</v>
      </c>
    </row>
    <row r="855" spans="1:1" x14ac:dyDescent="0.25">
      <c r="A855" t="s">
        <v>7096</v>
      </c>
    </row>
    <row r="856" spans="1:1" x14ac:dyDescent="0.25">
      <c r="A856" t="s">
        <v>7097</v>
      </c>
    </row>
    <row r="857" spans="1:1" x14ac:dyDescent="0.25">
      <c r="A857" t="s">
        <v>7098</v>
      </c>
    </row>
    <row r="858" spans="1:1" x14ac:dyDescent="0.25">
      <c r="A858" t="s">
        <v>7099</v>
      </c>
    </row>
    <row r="859" spans="1:1" x14ac:dyDescent="0.25">
      <c r="A859" t="s">
        <v>7100</v>
      </c>
    </row>
    <row r="860" spans="1:1" x14ac:dyDescent="0.25">
      <c r="A860" t="s">
        <v>7101</v>
      </c>
    </row>
    <row r="861" spans="1:1" x14ac:dyDescent="0.25">
      <c r="A861" t="s">
        <v>7102</v>
      </c>
    </row>
    <row r="862" spans="1:1" x14ac:dyDescent="0.25">
      <c r="A862" t="s">
        <v>7103</v>
      </c>
    </row>
    <row r="863" spans="1:1" x14ac:dyDescent="0.25">
      <c r="A863" t="s">
        <v>7104</v>
      </c>
    </row>
    <row r="864" spans="1:1" x14ac:dyDescent="0.25">
      <c r="A864" t="s">
        <v>7105</v>
      </c>
    </row>
    <row r="865" spans="1:1" x14ac:dyDescent="0.25">
      <c r="A865" t="s">
        <v>7106</v>
      </c>
    </row>
    <row r="866" spans="1:1" x14ac:dyDescent="0.25">
      <c r="A866" t="s">
        <v>7107</v>
      </c>
    </row>
    <row r="867" spans="1:1" x14ac:dyDescent="0.25">
      <c r="A867" t="s">
        <v>7108</v>
      </c>
    </row>
    <row r="868" spans="1:1" x14ac:dyDescent="0.25">
      <c r="A868" t="s">
        <v>7109</v>
      </c>
    </row>
    <row r="869" spans="1:1" x14ac:dyDescent="0.25">
      <c r="A869" t="s">
        <v>7110</v>
      </c>
    </row>
    <row r="870" spans="1:1" x14ac:dyDescent="0.25">
      <c r="A870" t="s">
        <v>7111</v>
      </c>
    </row>
    <row r="871" spans="1:1" x14ac:dyDescent="0.25">
      <c r="A871" t="s">
        <v>7112</v>
      </c>
    </row>
    <row r="872" spans="1:1" x14ac:dyDescent="0.25">
      <c r="A872" t="s">
        <v>7113</v>
      </c>
    </row>
    <row r="873" spans="1:1" x14ac:dyDescent="0.25">
      <c r="A873" t="s">
        <v>7114</v>
      </c>
    </row>
    <row r="874" spans="1:1" x14ac:dyDescent="0.25">
      <c r="A874" t="s">
        <v>7115</v>
      </c>
    </row>
    <row r="875" spans="1:1" x14ac:dyDescent="0.25">
      <c r="A875" t="s">
        <v>7116</v>
      </c>
    </row>
    <row r="876" spans="1:1" x14ac:dyDescent="0.25">
      <c r="A876" t="s">
        <v>7117</v>
      </c>
    </row>
    <row r="877" spans="1:1" x14ac:dyDescent="0.25">
      <c r="A877" t="s">
        <v>7118</v>
      </c>
    </row>
    <row r="878" spans="1:1" x14ac:dyDescent="0.25">
      <c r="A878" t="s">
        <v>7119</v>
      </c>
    </row>
    <row r="879" spans="1:1" x14ac:dyDescent="0.25">
      <c r="A879" t="s">
        <v>7120</v>
      </c>
    </row>
    <row r="880" spans="1:1" x14ac:dyDescent="0.25">
      <c r="A880" t="s">
        <v>7121</v>
      </c>
    </row>
    <row r="881" spans="1:1" x14ac:dyDescent="0.25">
      <c r="A881" t="s">
        <v>7122</v>
      </c>
    </row>
    <row r="882" spans="1:1" x14ac:dyDescent="0.25">
      <c r="A882" t="s">
        <v>7123</v>
      </c>
    </row>
    <row r="883" spans="1:1" x14ac:dyDescent="0.25">
      <c r="A883" t="s">
        <v>7124</v>
      </c>
    </row>
    <row r="884" spans="1:1" x14ac:dyDescent="0.25">
      <c r="A884" t="s">
        <v>4058</v>
      </c>
    </row>
    <row r="885" spans="1:1" x14ac:dyDescent="0.25">
      <c r="A885" t="s">
        <v>7125</v>
      </c>
    </row>
    <row r="886" spans="1:1" x14ac:dyDescent="0.25">
      <c r="A886" t="s">
        <v>7126</v>
      </c>
    </row>
    <row r="887" spans="1:1" x14ac:dyDescent="0.25">
      <c r="A887" t="s">
        <v>7127</v>
      </c>
    </row>
    <row r="888" spans="1:1" x14ac:dyDescent="0.25">
      <c r="A888" t="s">
        <v>4057</v>
      </c>
    </row>
    <row r="889" spans="1:1" x14ac:dyDescent="0.25">
      <c r="A889" t="s">
        <v>7128</v>
      </c>
    </row>
    <row r="890" spans="1:1" x14ac:dyDescent="0.25">
      <c r="A890" t="s">
        <v>7129</v>
      </c>
    </row>
    <row r="891" spans="1:1" x14ac:dyDescent="0.25">
      <c r="A891" t="s">
        <v>7130</v>
      </c>
    </row>
    <row r="892" spans="1:1" x14ac:dyDescent="0.25">
      <c r="A892" t="s">
        <v>7131</v>
      </c>
    </row>
    <row r="893" spans="1:1" x14ac:dyDescent="0.25">
      <c r="A893" t="s">
        <v>7132</v>
      </c>
    </row>
    <row r="894" spans="1:1" x14ac:dyDescent="0.25">
      <c r="A894" t="s">
        <v>7133</v>
      </c>
    </row>
    <row r="895" spans="1:1" x14ac:dyDescent="0.25">
      <c r="A895" t="s">
        <v>7134</v>
      </c>
    </row>
    <row r="896" spans="1:1" x14ac:dyDescent="0.25">
      <c r="A896" t="s">
        <v>7135</v>
      </c>
    </row>
    <row r="897" spans="1:1" x14ac:dyDescent="0.25">
      <c r="A897" t="s">
        <v>7136</v>
      </c>
    </row>
    <row r="898" spans="1:1" x14ac:dyDescent="0.25">
      <c r="A898" t="s">
        <v>7137</v>
      </c>
    </row>
    <row r="899" spans="1:1" x14ac:dyDescent="0.25">
      <c r="A899" t="s">
        <v>7138</v>
      </c>
    </row>
    <row r="900" spans="1:1" x14ac:dyDescent="0.25">
      <c r="A900" t="s">
        <v>7139</v>
      </c>
    </row>
    <row r="901" spans="1:1" x14ac:dyDescent="0.25">
      <c r="A901" t="s">
        <v>7140</v>
      </c>
    </row>
    <row r="902" spans="1:1" x14ac:dyDescent="0.25">
      <c r="A902" t="s">
        <v>7141</v>
      </c>
    </row>
    <row r="903" spans="1:1" x14ac:dyDescent="0.25">
      <c r="A903" t="s">
        <v>7142</v>
      </c>
    </row>
    <row r="904" spans="1:1" x14ac:dyDescent="0.25">
      <c r="A904" t="s">
        <v>7143</v>
      </c>
    </row>
    <row r="905" spans="1:1" x14ac:dyDescent="0.25">
      <c r="A905" t="s">
        <v>7144</v>
      </c>
    </row>
    <row r="906" spans="1:1" x14ac:dyDescent="0.25">
      <c r="A906" t="s">
        <v>7145</v>
      </c>
    </row>
    <row r="907" spans="1:1" x14ac:dyDescent="0.25">
      <c r="A907" t="s">
        <v>7146</v>
      </c>
    </row>
    <row r="908" spans="1:1" x14ac:dyDescent="0.25">
      <c r="A908" t="s">
        <v>7147</v>
      </c>
    </row>
    <row r="909" spans="1:1" x14ac:dyDescent="0.25">
      <c r="A909" t="s">
        <v>7148</v>
      </c>
    </row>
    <row r="910" spans="1:1" x14ac:dyDescent="0.25">
      <c r="A910" t="s">
        <v>7149</v>
      </c>
    </row>
    <row r="911" spans="1:1" x14ac:dyDescent="0.25">
      <c r="A911" t="s">
        <v>7150</v>
      </c>
    </row>
    <row r="912" spans="1:1" x14ac:dyDescent="0.25">
      <c r="A912" t="s">
        <v>7151</v>
      </c>
    </row>
    <row r="913" spans="1:1" x14ac:dyDescent="0.25">
      <c r="A913" t="s">
        <v>7152</v>
      </c>
    </row>
    <row r="914" spans="1:1" x14ac:dyDescent="0.25">
      <c r="A914" t="s">
        <v>7153</v>
      </c>
    </row>
    <row r="915" spans="1:1" x14ac:dyDescent="0.25">
      <c r="A915" t="s">
        <v>7154</v>
      </c>
    </row>
    <row r="916" spans="1:1" x14ac:dyDescent="0.25">
      <c r="A916" t="s">
        <v>7155</v>
      </c>
    </row>
    <row r="917" spans="1:1" x14ac:dyDescent="0.25">
      <c r="A917" t="s">
        <v>7156</v>
      </c>
    </row>
    <row r="918" spans="1:1" x14ac:dyDescent="0.25">
      <c r="A918" t="s">
        <v>7157</v>
      </c>
    </row>
    <row r="919" spans="1:1" x14ac:dyDescent="0.25">
      <c r="A919" t="s">
        <v>7158</v>
      </c>
    </row>
    <row r="920" spans="1:1" x14ac:dyDescent="0.25">
      <c r="A920" t="s">
        <v>7159</v>
      </c>
    </row>
    <row r="921" spans="1:1" x14ac:dyDescent="0.25">
      <c r="A921" t="s">
        <v>7160</v>
      </c>
    </row>
    <row r="922" spans="1:1" x14ac:dyDescent="0.25">
      <c r="A922" t="s">
        <v>7161</v>
      </c>
    </row>
    <row r="923" spans="1:1" x14ac:dyDescent="0.25">
      <c r="A923" t="s">
        <v>7162</v>
      </c>
    </row>
    <row r="924" spans="1:1" x14ac:dyDescent="0.25">
      <c r="A924" t="s">
        <v>7163</v>
      </c>
    </row>
    <row r="925" spans="1:1" x14ac:dyDescent="0.25">
      <c r="A925" t="s">
        <v>7164</v>
      </c>
    </row>
    <row r="926" spans="1:1" x14ac:dyDescent="0.25">
      <c r="A926" t="s">
        <v>7165</v>
      </c>
    </row>
    <row r="927" spans="1:1" x14ac:dyDescent="0.25">
      <c r="A927" t="s">
        <v>7166</v>
      </c>
    </row>
    <row r="928" spans="1:1" x14ac:dyDescent="0.25">
      <c r="A928" t="s">
        <v>7167</v>
      </c>
    </row>
    <row r="929" spans="1:1" x14ac:dyDescent="0.25">
      <c r="A929" t="s">
        <v>7168</v>
      </c>
    </row>
    <row r="930" spans="1:1" x14ac:dyDescent="0.25">
      <c r="A930" t="s">
        <v>7169</v>
      </c>
    </row>
    <row r="931" spans="1:1" x14ac:dyDescent="0.25">
      <c r="A931" t="s">
        <v>7170</v>
      </c>
    </row>
    <row r="932" spans="1:1" x14ac:dyDescent="0.25">
      <c r="A932" t="s">
        <v>7171</v>
      </c>
    </row>
    <row r="933" spans="1:1" x14ac:dyDescent="0.25">
      <c r="A933" t="s">
        <v>7172</v>
      </c>
    </row>
    <row r="934" spans="1:1" x14ac:dyDescent="0.25">
      <c r="A934" t="s">
        <v>7173</v>
      </c>
    </row>
    <row r="935" spans="1:1" x14ac:dyDescent="0.25">
      <c r="A935" t="s">
        <v>7174</v>
      </c>
    </row>
    <row r="936" spans="1:1" x14ac:dyDescent="0.25">
      <c r="A936" t="s">
        <v>7175</v>
      </c>
    </row>
    <row r="937" spans="1:1" x14ac:dyDescent="0.25">
      <c r="A937" t="s">
        <v>7190</v>
      </c>
    </row>
    <row r="938" spans="1:1" x14ac:dyDescent="0.25">
      <c r="A938" t="s">
        <v>7191</v>
      </c>
    </row>
    <row r="939" spans="1:1" x14ac:dyDescent="0.25">
      <c r="A939" t="s">
        <v>7192</v>
      </c>
    </row>
    <row r="940" spans="1:1" x14ac:dyDescent="0.25">
      <c r="A940" t="s">
        <v>7193</v>
      </c>
    </row>
    <row r="941" spans="1:1" x14ac:dyDescent="0.25">
      <c r="A941" t="s">
        <v>7194</v>
      </c>
    </row>
    <row r="942" spans="1:1" x14ac:dyDescent="0.25">
      <c r="A942" t="s">
        <v>7195</v>
      </c>
    </row>
    <row r="943" spans="1:1" x14ac:dyDescent="0.25">
      <c r="A943" t="s">
        <v>7196</v>
      </c>
    </row>
    <row r="944" spans="1:1" x14ac:dyDescent="0.25">
      <c r="A944" t="s">
        <v>7197</v>
      </c>
    </row>
    <row r="945" spans="1:1" x14ac:dyDescent="0.25">
      <c r="A945" t="s">
        <v>7198</v>
      </c>
    </row>
    <row r="946" spans="1:1" x14ac:dyDescent="0.25">
      <c r="A946" t="s">
        <v>7199</v>
      </c>
    </row>
    <row r="947" spans="1:1" x14ac:dyDescent="0.25">
      <c r="A947" t="s">
        <v>7200</v>
      </c>
    </row>
    <row r="948" spans="1:1" x14ac:dyDescent="0.25">
      <c r="A948" t="s">
        <v>7201</v>
      </c>
    </row>
    <row r="949" spans="1:1" x14ac:dyDescent="0.25">
      <c r="A949" t="s">
        <v>7202</v>
      </c>
    </row>
    <row r="950" spans="1:1" x14ac:dyDescent="0.25">
      <c r="A950" t="s">
        <v>7203</v>
      </c>
    </row>
    <row r="951" spans="1:1" x14ac:dyDescent="0.25">
      <c r="A951" t="s">
        <v>7204</v>
      </c>
    </row>
    <row r="952" spans="1:1" x14ac:dyDescent="0.25">
      <c r="A952" t="s">
        <v>7205</v>
      </c>
    </row>
    <row r="953" spans="1:1" x14ac:dyDescent="0.25">
      <c r="A953" t="s">
        <v>7206</v>
      </c>
    </row>
    <row r="954" spans="1:1" x14ac:dyDescent="0.25">
      <c r="A954" t="s">
        <v>7207</v>
      </c>
    </row>
    <row r="955" spans="1:1" x14ac:dyDescent="0.25">
      <c r="A955" t="s">
        <v>7208</v>
      </c>
    </row>
    <row r="956" spans="1:1" x14ac:dyDescent="0.25">
      <c r="A956" t="s">
        <v>7209</v>
      </c>
    </row>
    <row r="957" spans="1:1" x14ac:dyDescent="0.25">
      <c r="A957" t="s">
        <v>7210</v>
      </c>
    </row>
    <row r="958" spans="1:1" x14ac:dyDescent="0.25">
      <c r="A958" t="s">
        <v>7211</v>
      </c>
    </row>
    <row r="959" spans="1:1" x14ac:dyDescent="0.25">
      <c r="A959" t="s">
        <v>7212</v>
      </c>
    </row>
    <row r="960" spans="1:1" x14ac:dyDescent="0.25">
      <c r="A960" t="s">
        <v>7213</v>
      </c>
    </row>
    <row r="961" spans="1:1" x14ac:dyDescent="0.25">
      <c r="A961" t="s">
        <v>7214</v>
      </c>
    </row>
    <row r="962" spans="1:1" x14ac:dyDescent="0.25">
      <c r="A962" t="s">
        <v>7215</v>
      </c>
    </row>
    <row r="963" spans="1:1" x14ac:dyDescent="0.25">
      <c r="A963" t="s">
        <v>7216</v>
      </c>
    </row>
    <row r="964" spans="1:1" x14ac:dyDescent="0.25">
      <c r="A964" t="s">
        <v>7217</v>
      </c>
    </row>
    <row r="965" spans="1:1" x14ac:dyDescent="0.25">
      <c r="A965" t="s">
        <v>7218</v>
      </c>
    </row>
    <row r="966" spans="1:1" x14ac:dyDescent="0.25">
      <c r="A966" t="s">
        <v>7221</v>
      </c>
    </row>
    <row r="967" spans="1:1" x14ac:dyDescent="0.25">
      <c r="A967" t="s">
        <v>7223</v>
      </c>
    </row>
    <row r="968" spans="1:1" x14ac:dyDescent="0.25">
      <c r="A968" t="s">
        <v>7226</v>
      </c>
    </row>
    <row r="969" spans="1:1" x14ac:dyDescent="0.25">
      <c r="A969" t="s">
        <v>7227</v>
      </c>
    </row>
    <row r="970" spans="1:1" x14ac:dyDescent="0.25">
      <c r="A970" t="s">
        <v>7230</v>
      </c>
    </row>
    <row r="971" spans="1:1" x14ac:dyDescent="0.25">
      <c r="A971" t="s">
        <v>7232</v>
      </c>
    </row>
    <row r="972" spans="1:1" x14ac:dyDescent="0.25">
      <c r="A972" t="s">
        <v>7241</v>
      </c>
    </row>
    <row r="973" spans="1:1" x14ac:dyDescent="0.25">
      <c r="A973" t="s">
        <v>7242</v>
      </c>
    </row>
    <row r="974" spans="1:1" x14ac:dyDescent="0.25">
      <c r="A974" t="s">
        <v>7243</v>
      </c>
    </row>
    <row r="975" spans="1:1" x14ac:dyDescent="0.25">
      <c r="A975" t="s">
        <v>7245</v>
      </c>
    </row>
    <row r="976" spans="1:1" x14ac:dyDescent="0.25">
      <c r="A976" t="s">
        <v>7246</v>
      </c>
    </row>
    <row r="977" spans="1:1" x14ac:dyDescent="0.25">
      <c r="A977" t="s">
        <v>7247</v>
      </c>
    </row>
    <row r="978" spans="1:1" x14ac:dyDescent="0.25">
      <c r="A978" t="s">
        <v>7248</v>
      </c>
    </row>
    <row r="979" spans="1:1" x14ac:dyDescent="0.25">
      <c r="A979" t="s">
        <v>7249</v>
      </c>
    </row>
    <row r="980" spans="1:1" x14ac:dyDescent="0.25">
      <c r="A980" t="s">
        <v>7250</v>
      </c>
    </row>
    <row r="981" spans="1:1" x14ac:dyDescent="0.25">
      <c r="A981" t="s">
        <v>7251</v>
      </c>
    </row>
    <row r="982" spans="1:1" x14ac:dyDescent="0.25">
      <c r="A982" t="s">
        <v>7252</v>
      </c>
    </row>
    <row r="983" spans="1:1" x14ac:dyDescent="0.25">
      <c r="A983" t="s">
        <v>7253</v>
      </c>
    </row>
    <row r="984" spans="1:1" x14ac:dyDescent="0.25">
      <c r="A984" t="s">
        <v>7254</v>
      </c>
    </row>
    <row r="985" spans="1:1" x14ac:dyDescent="0.25">
      <c r="A985" t="s">
        <v>7255</v>
      </c>
    </row>
    <row r="986" spans="1:1" x14ac:dyDescent="0.25">
      <c r="A986" t="s">
        <v>7256</v>
      </c>
    </row>
    <row r="987" spans="1:1" x14ac:dyDescent="0.25">
      <c r="A987" t="s">
        <v>7257</v>
      </c>
    </row>
    <row r="988" spans="1:1" x14ac:dyDescent="0.25">
      <c r="A988" t="s">
        <v>7258</v>
      </c>
    </row>
    <row r="989" spans="1:1" x14ac:dyDescent="0.25">
      <c r="A989" t="s">
        <v>7259</v>
      </c>
    </row>
    <row r="990" spans="1:1" x14ac:dyDescent="0.25">
      <c r="A990" t="s">
        <v>7260</v>
      </c>
    </row>
    <row r="991" spans="1:1" x14ac:dyDescent="0.25">
      <c r="A991" t="s">
        <v>7261</v>
      </c>
    </row>
    <row r="992" spans="1:1" x14ac:dyDescent="0.25">
      <c r="A992" t="s">
        <v>7262</v>
      </c>
    </row>
    <row r="993" spans="1:1" x14ac:dyDescent="0.25">
      <c r="A993" t="s">
        <v>7263</v>
      </c>
    </row>
    <row r="994" spans="1:1" x14ac:dyDescent="0.25">
      <c r="A994" t="s">
        <v>7264</v>
      </c>
    </row>
    <row r="995" spans="1:1" x14ac:dyDescent="0.25">
      <c r="A995" t="s">
        <v>7265</v>
      </c>
    </row>
    <row r="996" spans="1:1" x14ac:dyDescent="0.25">
      <c r="A996" t="s">
        <v>7266</v>
      </c>
    </row>
    <row r="997" spans="1:1" x14ac:dyDescent="0.25">
      <c r="A997" t="s">
        <v>7267</v>
      </c>
    </row>
    <row r="998" spans="1:1" x14ac:dyDescent="0.25">
      <c r="A998" t="s">
        <v>7268</v>
      </c>
    </row>
    <row r="999" spans="1:1" x14ac:dyDescent="0.25">
      <c r="A999" t="s">
        <v>7269</v>
      </c>
    </row>
    <row r="1000" spans="1:1" x14ac:dyDescent="0.25">
      <c r="A1000" t="s">
        <v>7270</v>
      </c>
    </row>
    <row r="1001" spans="1:1" x14ac:dyDescent="0.25">
      <c r="A1001" t="s">
        <v>7271</v>
      </c>
    </row>
    <row r="1002" spans="1:1" x14ac:dyDescent="0.25">
      <c r="A1002" t="s">
        <v>7272</v>
      </c>
    </row>
    <row r="1003" spans="1:1" x14ac:dyDescent="0.25">
      <c r="A1003" t="s">
        <v>7274</v>
      </c>
    </row>
    <row r="1004" spans="1:1" x14ac:dyDescent="0.25">
      <c r="A1004" t="s">
        <v>7275</v>
      </c>
    </row>
    <row r="1005" spans="1:1" x14ac:dyDescent="0.25">
      <c r="A1005" t="s">
        <v>7276</v>
      </c>
    </row>
    <row r="1006" spans="1:1" x14ac:dyDescent="0.25">
      <c r="A1006" t="s">
        <v>7277</v>
      </c>
    </row>
    <row r="1007" spans="1:1" x14ac:dyDescent="0.25">
      <c r="A1007" t="s">
        <v>7278</v>
      </c>
    </row>
    <row r="1008" spans="1:1" x14ac:dyDescent="0.25">
      <c r="A1008" t="s">
        <v>7279</v>
      </c>
    </row>
    <row r="1009" spans="1:1" x14ac:dyDescent="0.25">
      <c r="A1009" t="s">
        <v>7280</v>
      </c>
    </row>
    <row r="1010" spans="1:1" x14ac:dyDescent="0.25">
      <c r="A1010" t="s">
        <v>7281</v>
      </c>
    </row>
    <row r="1011" spans="1:1" x14ac:dyDescent="0.25">
      <c r="A1011" t="s">
        <v>7282</v>
      </c>
    </row>
    <row r="1012" spans="1:1" x14ac:dyDescent="0.25">
      <c r="A1012" t="s">
        <v>7283</v>
      </c>
    </row>
    <row r="1013" spans="1:1" x14ac:dyDescent="0.25">
      <c r="A1013" t="s">
        <v>7284</v>
      </c>
    </row>
    <row r="1014" spans="1:1" x14ac:dyDescent="0.25">
      <c r="A1014" t="s">
        <v>7285</v>
      </c>
    </row>
    <row r="1015" spans="1:1" x14ac:dyDescent="0.25">
      <c r="A1015" t="s">
        <v>7286</v>
      </c>
    </row>
    <row r="1016" spans="1:1" x14ac:dyDescent="0.25">
      <c r="A1016" t="s">
        <v>7287</v>
      </c>
    </row>
    <row r="1017" spans="1:1" x14ac:dyDescent="0.25">
      <c r="A1017" t="s">
        <v>7288</v>
      </c>
    </row>
    <row r="1018" spans="1:1" x14ac:dyDescent="0.25">
      <c r="A1018" t="s">
        <v>7289</v>
      </c>
    </row>
    <row r="1019" spans="1:1" x14ac:dyDescent="0.25">
      <c r="A1019" t="s">
        <v>7290</v>
      </c>
    </row>
    <row r="1020" spans="1:1" x14ac:dyDescent="0.25">
      <c r="A1020" t="s">
        <v>7291</v>
      </c>
    </row>
    <row r="1021" spans="1:1" x14ac:dyDescent="0.25">
      <c r="A1021" t="s">
        <v>7292</v>
      </c>
    </row>
    <row r="1022" spans="1:1" x14ac:dyDescent="0.25">
      <c r="A1022" t="s">
        <v>7358</v>
      </c>
    </row>
    <row r="1023" spans="1:1" x14ac:dyDescent="0.25">
      <c r="A1023" t="s">
        <v>7359</v>
      </c>
    </row>
    <row r="1024" spans="1:1" x14ac:dyDescent="0.25">
      <c r="A1024" t="s">
        <v>7360</v>
      </c>
    </row>
    <row r="1025" spans="1:1" x14ac:dyDescent="0.25">
      <c r="A1025" t="s">
        <v>7362</v>
      </c>
    </row>
    <row r="1026" spans="1:1" x14ac:dyDescent="0.25">
      <c r="A1026" t="s">
        <v>7363</v>
      </c>
    </row>
    <row r="1027" spans="1:1" x14ac:dyDescent="0.25">
      <c r="A1027" t="s">
        <v>7369</v>
      </c>
    </row>
    <row r="1028" spans="1:1" x14ac:dyDescent="0.25">
      <c r="A1028" t="s">
        <v>7370</v>
      </c>
    </row>
    <row r="1029" spans="1:1" x14ac:dyDescent="0.25">
      <c r="A1029" t="s">
        <v>7372</v>
      </c>
    </row>
    <row r="1030" spans="1:1" x14ac:dyDescent="0.25">
      <c r="A1030" t="s">
        <v>7376</v>
      </c>
    </row>
    <row r="1031" spans="1:1" x14ac:dyDescent="0.25">
      <c r="A1031" t="s">
        <v>7377</v>
      </c>
    </row>
    <row r="1032" spans="1:1" x14ac:dyDescent="0.25">
      <c r="A1032" t="s">
        <v>7379</v>
      </c>
    </row>
    <row r="1033" spans="1:1" x14ac:dyDescent="0.25">
      <c r="A1033" t="s">
        <v>7555</v>
      </c>
    </row>
    <row r="1034" spans="1:1" x14ac:dyDescent="0.25">
      <c r="A1034" t="s">
        <v>7556</v>
      </c>
    </row>
    <row r="1035" spans="1:1" x14ac:dyDescent="0.25">
      <c r="A1035" t="s">
        <v>7557</v>
      </c>
    </row>
    <row r="1036" spans="1:1" x14ac:dyDescent="0.25">
      <c r="A1036" t="s">
        <v>7558</v>
      </c>
    </row>
    <row r="1037" spans="1:1" x14ac:dyDescent="0.25">
      <c r="A1037" t="s">
        <v>7559</v>
      </c>
    </row>
    <row r="1038" spans="1:1" x14ac:dyDescent="0.25">
      <c r="A1038" t="s">
        <v>7560</v>
      </c>
    </row>
    <row r="1039" spans="1:1" x14ac:dyDescent="0.25">
      <c r="A1039" t="s">
        <v>7561</v>
      </c>
    </row>
    <row r="1040" spans="1:1" x14ac:dyDescent="0.25">
      <c r="A1040" t="s">
        <v>7562</v>
      </c>
    </row>
    <row r="1041" spans="1:1" x14ac:dyDescent="0.25">
      <c r="A1041" t="s">
        <v>7563</v>
      </c>
    </row>
    <row r="1042" spans="1:1" x14ac:dyDescent="0.25">
      <c r="A1042" t="s">
        <v>7564</v>
      </c>
    </row>
    <row r="1043" spans="1:1" x14ac:dyDescent="0.25">
      <c r="A1043" t="s">
        <v>7565</v>
      </c>
    </row>
    <row r="1044" spans="1:1" x14ac:dyDescent="0.25">
      <c r="A1044" t="s">
        <v>7566</v>
      </c>
    </row>
    <row r="1045" spans="1:1" x14ac:dyDescent="0.25">
      <c r="A1045" t="s">
        <v>7567</v>
      </c>
    </row>
    <row r="1046" spans="1:1" x14ac:dyDescent="0.25">
      <c r="A1046" t="s">
        <v>7568</v>
      </c>
    </row>
    <row r="1047" spans="1:1" x14ac:dyDescent="0.25">
      <c r="A1047" t="s">
        <v>7569</v>
      </c>
    </row>
    <row r="1048" spans="1:1" x14ac:dyDescent="0.25">
      <c r="A1048" t="s">
        <v>7570</v>
      </c>
    </row>
    <row r="1049" spans="1:1" x14ac:dyDescent="0.25">
      <c r="A1049" t="s">
        <v>7571</v>
      </c>
    </row>
    <row r="1050" spans="1:1" x14ac:dyDescent="0.25">
      <c r="A1050" t="s">
        <v>7572</v>
      </c>
    </row>
    <row r="1051" spans="1:1" x14ac:dyDescent="0.25">
      <c r="A1051" t="s">
        <v>7573</v>
      </c>
    </row>
    <row r="1052" spans="1:1" x14ac:dyDescent="0.25">
      <c r="A1052" t="s">
        <v>7574</v>
      </c>
    </row>
    <row r="1053" spans="1:1" x14ac:dyDescent="0.25">
      <c r="A1053" t="s">
        <v>7575</v>
      </c>
    </row>
    <row r="1054" spans="1:1" x14ac:dyDescent="0.25">
      <c r="A1054" t="s">
        <v>7576</v>
      </c>
    </row>
    <row r="1055" spans="1:1" x14ac:dyDescent="0.25">
      <c r="A1055" t="s">
        <v>7577</v>
      </c>
    </row>
    <row r="1056" spans="1:1" x14ac:dyDescent="0.25">
      <c r="A1056" t="s">
        <v>7578</v>
      </c>
    </row>
    <row r="1057" spans="1:1" x14ac:dyDescent="0.25">
      <c r="A1057" t="s">
        <v>7579</v>
      </c>
    </row>
    <row r="1058" spans="1:1" x14ac:dyDescent="0.25">
      <c r="A1058" t="s">
        <v>7580</v>
      </c>
    </row>
    <row r="1059" spans="1:1" x14ac:dyDescent="0.25">
      <c r="A1059" t="s">
        <v>7581</v>
      </c>
    </row>
    <row r="1060" spans="1:1" x14ac:dyDescent="0.25">
      <c r="A1060" t="s">
        <v>7582</v>
      </c>
    </row>
    <row r="1061" spans="1:1" x14ac:dyDescent="0.25">
      <c r="A1061" t="s">
        <v>7583</v>
      </c>
    </row>
    <row r="1062" spans="1:1" x14ac:dyDescent="0.25">
      <c r="A1062" t="s">
        <v>7584</v>
      </c>
    </row>
    <row r="1063" spans="1:1" x14ac:dyDescent="0.25">
      <c r="A1063" t="s">
        <v>7585</v>
      </c>
    </row>
    <row r="1064" spans="1:1" x14ac:dyDescent="0.25">
      <c r="A1064" t="s">
        <v>7586</v>
      </c>
    </row>
    <row r="1065" spans="1:1" x14ac:dyDescent="0.25">
      <c r="A1065" t="s">
        <v>7587</v>
      </c>
    </row>
    <row r="1066" spans="1:1" x14ac:dyDescent="0.25">
      <c r="A1066" t="s">
        <v>7588</v>
      </c>
    </row>
    <row r="1067" spans="1:1" x14ac:dyDescent="0.25">
      <c r="A1067" t="s">
        <v>7589</v>
      </c>
    </row>
    <row r="1068" spans="1:1" x14ac:dyDescent="0.25">
      <c r="A1068" t="s">
        <v>7590</v>
      </c>
    </row>
    <row r="1069" spans="1:1" x14ac:dyDescent="0.25">
      <c r="A1069" t="s">
        <v>7591</v>
      </c>
    </row>
    <row r="1070" spans="1:1" x14ac:dyDescent="0.25">
      <c r="A1070" t="s">
        <v>7592</v>
      </c>
    </row>
    <row r="1071" spans="1:1" x14ac:dyDescent="0.25">
      <c r="A1071" t="s">
        <v>7593</v>
      </c>
    </row>
    <row r="1072" spans="1:1" x14ac:dyDescent="0.25">
      <c r="A1072" t="s">
        <v>7594</v>
      </c>
    </row>
    <row r="1073" spans="1:1" x14ac:dyDescent="0.25">
      <c r="A1073" t="s">
        <v>7595</v>
      </c>
    </row>
    <row r="1074" spans="1:1" x14ac:dyDescent="0.25">
      <c r="A1074" t="s">
        <v>7596</v>
      </c>
    </row>
    <row r="1075" spans="1:1" x14ac:dyDescent="0.25">
      <c r="A1075" t="s">
        <v>7597</v>
      </c>
    </row>
    <row r="1076" spans="1:1" x14ac:dyDescent="0.25">
      <c r="A1076" t="s">
        <v>7598</v>
      </c>
    </row>
    <row r="1077" spans="1:1" x14ac:dyDescent="0.25">
      <c r="A1077" t="s">
        <v>7599</v>
      </c>
    </row>
    <row r="1078" spans="1:1" x14ac:dyDescent="0.25">
      <c r="A1078" t="s">
        <v>7600</v>
      </c>
    </row>
    <row r="1079" spans="1:1" x14ac:dyDescent="0.25">
      <c r="A1079" t="s">
        <v>7601</v>
      </c>
    </row>
    <row r="1080" spans="1:1" x14ac:dyDescent="0.25">
      <c r="A1080" t="s">
        <v>7602</v>
      </c>
    </row>
    <row r="1081" spans="1:1" x14ac:dyDescent="0.25">
      <c r="A1081" t="s">
        <v>7603</v>
      </c>
    </row>
    <row r="1082" spans="1:1" x14ac:dyDescent="0.25">
      <c r="A1082" t="s">
        <v>7604</v>
      </c>
    </row>
    <row r="1083" spans="1:1" x14ac:dyDescent="0.25">
      <c r="A1083" t="s">
        <v>7605</v>
      </c>
    </row>
    <row r="1084" spans="1:1" x14ac:dyDescent="0.25">
      <c r="A1084" t="s">
        <v>7606</v>
      </c>
    </row>
    <row r="1085" spans="1:1" x14ac:dyDescent="0.25">
      <c r="A1085" t="s">
        <v>7607</v>
      </c>
    </row>
    <row r="1086" spans="1:1" x14ac:dyDescent="0.25">
      <c r="A1086" t="s">
        <v>7608</v>
      </c>
    </row>
    <row r="1087" spans="1:1" x14ac:dyDescent="0.25">
      <c r="A1087" t="s">
        <v>7609</v>
      </c>
    </row>
    <row r="1088" spans="1:1" x14ac:dyDescent="0.25">
      <c r="A1088" t="s">
        <v>7610</v>
      </c>
    </row>
    <row r="1089" spans="1:1" x14ac:dyDescent="0.25">
      <c r="A1089" t="s">
        <v>7611</v>
      </c>
    </row>
    <row r="1090" spans="1:1" x14ac:dyDescent="0.25">
      <c r="A1090" t="s">
        <v>7612</v>
      </c>
    </row>
    <row r="1091" spans="1:1" x14ac:dyDescent="0.25">
      <c r="A1091" t="s">
        <v>7613</v>
      </c>
    </row>
    <row r="1092" spans="1:1" x14ac:dyDescent="0.25">
      <c r="A1092" t="s">
        <v>7614</v>
      </c>
    </row>
    <row r="1093" spans="1:1" x14ac:dyDescent="0.25">
      <c r="A1093" t="s">
        <v>7615</v>
      </c>
    </row>
    <row r="1094" spans="1:1" x14ac:dyDescent="0.25">
      <c r="A1094" t="s">
        <v>7616</v>
      </c>
    </row>
    <row r="1095" spans="1:1" x14ac:dyDescent="0.25">
      <c r="A1095" t="s">
        <v>7617</v>
      </c>
    </row>
    <row r="1096" spans="1:1" x14ac:dyDescent="0.25">
      <c r="A1096" t="s">
        <v>7618</v>
      </c>
    </row>
    <row r="1097" spans="1:1" x14ac:dyDescent="0.25">
      <c r="A1097" t="s">
        <v>7619</v>
      </c>
    </row>
    <row r="1098" spans="1:1" x14ac:dyDescent="0.25">
      <c r="A1098" t="s">
        <v>7620</v>
      </c>
    </row>
    <row r="1099" spans="1:1" x14ac:dyDescent="0.25">
      <c r="A1099" t="s">
        <v>7621</v>
      </c>
    </row>
    <row r="1100" spans="1:1" x14ac:dyDescent="0.25">
      <c r="A1100" t="s">
        <v>7622</v>
      </c>
    </row>
    <row r="1101" spans="1:1" x14ac:dyDescent="0.25">
      <c r="A1101" t="s">
        <v>7623</v>
      </c>
    </row>
    <row r="1102" spans="1:1" x14ac:dyDescent="0.25">
      <c r="A1102" t="s">
        <v>7624</v>
      </c>
    </row>
    <row r="1103" spans="1:1" x14ac:dyDescent="0.25">
      <c r="A1103" t="s">
        <v>7625</v>
      </c>
    </row>
    <row r="1104" spans="1:1" x14ac:dyDescent="0.25">
      <c r="A1104" t="s">
        <v>7626</v>
      </c>
    </row>
    <row r="1105" spans="1:1" x14ac:dyDescent="0.25">
      <c r="A1105" t="s">
        <v>7627</v>
      </c>
    </row>
    <row r="1106" spans="1:1" x14ac:dyDescent="0.25">
      <c r="A1106" t="s">
        <v>7628</v>
      </c>
    </row>
    <row r="1107" spans="1:1" x14ac:dyDescent="0.25">
      <c r="A1107" t="s">
        <v>7629</v>
      </c>
    </row>
    <row r="1108" spans="1:1" x14ac:dyDescent="0.25">
      <c r="A1108" t="s">
        <v>7630</v>
      </c>
    </row>
    <row r="1109" spans="1:1" x14ac:dyDescent="0.25">
      <c r="A1109" t="s">
        <v>7631</v>
      </c>
    </row>
    <row r="1110" spans="1:1" x14ac:dyDescent="0.25">
      <c r="A1110" t="s">
        <v>7632</v>
      </c>
    </row>
    <row r="1111" spans="1:1" x14ac:dyDescent="0.25">
      <c r="A1111" t="s">
        <v>7633</v>
      </c>
    </row>
    <row r="1112" spans="1:1" x14ac:dyDescent="0.25">
      <c r="A1112" t="s">
        <v>7634</v>
      </c>
    </row>
    <row r="1113" spans="1:1" x14ac:dyDescent="0.25">
      <c r="A1113" t="s">
        <v>7635</v>
      </c>
    </row>
    <row r="1114" spans="1:1" x14ac:dyDescent="0.25">
      <c r="A1114" t="s">
        <v>7636</v>
      </c>
    </row>
    <row r="1115" spans="1:1" x14ac:dyDescent="0.25">
      <c r="A1115" t="s">
        <v>7637</v>
      </c>
    </row>
    <row r="1116" spans="1:1" x14ac:dyDescent="0.25">
      <c r="A1116" t="s">
        <v>7638</v>
      </c>
    </row>
    <row r="1117" spans="1:1" x14ac:dyDescent="0.25">
      <c r="A1117" t="s">
        <v>7639</v>
      </c>
    </row>
    <row r="1118" spans="1:1" x14ac:dyDescent="0.25">
      <c r="A1118" t="s">
        <v>7640</v>
      </c>
    </row>
    <row r="1119" spans="1:1" x14ac:dyDescent="0.25">
      <c r="A1119" t="s">
        <v>7641</v>
      </c>
    </row>
    <row r="1120" spans="1:1" x14ac:dyDescent="0.25">
      <c r="A1120" t="s">
        <v>7642</v>
      </c>
    </row>
    <row r="1121" spans="1:1" x14ac:dyDescent="0.25">
      <c r="A1121" t="s">
        <v>7643</v>
      </c>
    </row>
    <row r="1122" spans="1:1" x14ac:dyDescent="0.25">
      <c r="A1122" t="s">
        <v>7644</v>
      </c>
    </row>
    <row r="1123" spans="1:1" x14ac:dyDescent="0.25">
      <c r="A1123" t="s">
        <v>7645</v>
      </c>
    </row>
    <row r="1124" spans="1:1" x14ac:dyDescent="0.25">
      <c r="A1124" t="s">
        <v>7646</v>
      </c>
    </row>
    <row r="1125" spans="1:1" x14ac:dyDescent="0.25">
      <c r="A1125" t="s">
        <v>7647</v>
      </c>
    </row>
    <row r="1126" spans="1:1" x14ac:dyDescent="0.25">
      <c r="A1126" t="s">
        <v>7648</v>
      </c>
    </row>
    <row r="1127" spans="1:1" x14ac:dyDescent="0.25">
      <c r="A1127" t="s">
        <v>7649</v>
      </c>
    </row>
    <row r="1128" spans="1:1" x14ac:dyDescent="0.25">
      <c r="A1128" t="s">
        <v>7650</v>
      </c>
    </row>
    <row r="1129" spans="1:1" x14ac:dyDescent="0.25">
      <c r="A1129" t="s">
        <v>7651</v>
      </c>
    </row>
    <row r="1130" spans="1:1" x14ac:dyDescent="0.25">
      <c r="A1130" t="s">
        <v>7652</v>
      </c>
    </row>
    <row r="1131" spans="1:1" x14ac:dyDescent="0.25">
      <c r="A1131" t="s">
        <v>7653</v>
      </c>
    </row>
    <row r="1132" spans="1:1" x14ac:dyDescent="0.25">
      <c r="A1132" t="s">
        <v>7654</v>
      </c>
    </row>
    <row r="1133" spans="1:1" x14ac:dyDescent="0.25">
      <c r="A1133" t="s">
        <v>7655</v>
      </c>
    </row>
    <row r="1134" spans="1:1" x14ac:dyDescent="0.25">
      <c r="A1134" t="s">
        <v>7656</v>
      </c>
    </row>
    <row r="1135" spans="1:1" x14ac:dyDescent="0.25">
      <c r="A1135" t="s">
        <v>7657</v>
      </c>
    </row>
    <row r="1136" spans="1:1" x14ac:dyDescent="0.25">
      <c r="A1136" t="s">
        <v>7658</v>
      </c>
    </row>
    <row r="1137" spans="1:1" x14ac:dyDescent="0.25">
      <c r="A1137" t="s">
        <v>7659</v>
      </c>
    </row>
    <row r="1138" spans="1:1" x14ac:dyDescent="0.25">
      <c r="A1138" t="s">
        <v>7660</v>
      </c>
    </row>
    <row r="1139" spans="1:1" x14ac:dyDescent="0.25">
      <c r="A1139" t="s">
        <v>7661</v>
      </c>
    </row>
    <row r="1140" spans="1:1" x14ac:dyDescent="0.25">
      <c r="A1140" t="s">
        <v>7662</v>
      </c>
    </row>
    <row r="1141" spans="1:1" x14ac:dyDescent="0.25">
      <c r="A1141" t="s">
        <v>7663</v>
      </c>
    </row>
    <row r="1142" spans="1:1" x14ac:dyDescent="0.25">
      <c r="A1142" t="s">
        <v>7664</v>
      </c>
    </row>
    <row r="1143" spans="1:1" x14ac:dyDescent="0.25">
      <c r="A1143" t="s">
        <v>7665</v>
      </c>
    </row>
    <row r="1144" spans="1:1" x14ac:dyDescent="0.25">
      <c r="A1144" t="s">
        <v>7666</v>
      </c>
    </row>
    <row r="1145" spans="1:1" x14ac:dyDescent="0.25">
      <c r="A1145" t="s">
        <v>7667</v>
      </c>
    </row>
    <row r="1146" spans="1:1" x14ac:dyDescent="0.25">
      <c r="A1146" t="s">
        <v>7668</v>
      </c>
    </row>
    <row r="1147" spans="1:1" x14ac:dyDescent="0.25">
      <c r="A1147" t="s">
        <v>7669</v>
      </c>
    </row>
    <row r="1148" spans="1:1" x14ac:dyDescent="0.25">
      <c r="A1148" t="s">
        <v>7670</v>
      </c>
    </row>
    <row r="1149" spans="1:1" x14ac:dyDescent="0.25">
      <c r="A1149" t="s">
        <v>7671</v>
      </c>
    </row>
    <row r="1150" spans="1:1" x14ac:dyDescent="0.25">
      <c r="A1150" t="s">
        <v>7672</v>
      </c>
    </row>
    <row r="1151" spans="1:1" x14ac:dyDescent="0.25">
      <c r="A1151" t="s">
        <v>7673</v>
      </c>
    </row>
    <row r="1152" spans="1:1" x14ac:dyDescent="0.25">
      <c r="A1152" t="s">
        <v>7674</v>
      </c>
    </row>
    <row r="1153" spans="1:1" x14ac:dyDescent="0.25">
      <c r="A1153" t="s">
        <v>7675</v>
      </c>
    </row>
    <row r="1154" spans="1:1" x14ac:dyDescent="0.25">
      <c r="A1154" t="s">
        <v>7676</v>
      </c>
    </row>
    <row r="1155" spans="1:1" x14ac:dyDescent="0.25">
      <c r="A1155" t="s">
        <v>7677</v>
      </c>
    </row>
    <row r="1156" spans="1:1" x14ac:dyDescent="0.25">
      <c r="A1156" t="s">
        <v>7678</v>
      </c>
    </row>
    <row r="1157" spans="1:1" x14ac:dyDescent="0.25">
      <c r="A1157" t="s">
        <v>7679</v>
      </c>
    </row>
    <row r="1158" spans="1:1" x14ac:dyDescent="0.25">
      <c r="A1158" t="s">
        <v>7680</v>
      </c>
    </row>
    <row r="1159" spans="1:1" x14ac:dyDescent="0.25">
      <c r="A1159" t="s">
        <v>7681</v>
      </c>
    </row>
    <row r="1160" spans="1:1" x14ac:dyDescent="0.25">
      <c r="A1160" t="s">
        <v>7682</v>
      </c>
    </row>
    <row r="1161" spans="1:1" x14ac:dyDescent="0.25">
      <c r="A1161" t="s">
        <v>7683</v>
      </c>
    </row>
    <row r="1162" spans="1:1" x14ac:dyDescent="0.25">
      <c r="A1162" t="s">
        <v>7684</v>
      </c>
    </row>
    <row r="1163" spans="1:1" x14ac:dyDescent="0.25">
      <c r="A1163" t="s">
        <v>7685</v>
      </c>
    </row>
    <row r="1164" spans="1:1" x14ac:dyDescent="0.25">
      <c r="A1164" t="s">
        <v>7686</v>
      </c>
    </row>
    <row r="1165" spans="1:1" x14ac:dyDescent="0.25">
      <c r="A1165" t="s">
        <v>7687</v>
      </c>
    </row>
    <row r="1166" spans="1:1" x14ac:dyDescent="0.25">
      <c r="A1166" t="s">
        <v>7688</v>
      </c>
    </row>
    <row r="1167" spans="1:1" x14ac:dyDescent="0.25">
      <c r="A1167" t="s">
        <v>7689</v>
      </c>
    </row>
    <row r="1168" spans="1:1" x14ac:dyDescent="0.25">
      <c r="A1168" t="s">
        <v>7690</v>
      </c>
    </row>
    <row r="1169" spans="1:1" x14ac:dyDescent="0.25">
      <c r="A1169" t="s">
        <v>7691</v>
      </c>
    </row>
    <row r="1170" spans="1:1" x14ac:dyDescent="0.25">
      <c r="A1170" t="s">
        <v>7692</v>
      </c>
    </row>
    <row r="1171" spans="1:1" x14ac:dyDescent="0.25">
      <c r="A1171" t="s">
        <v>7693</v>
      </c>
    </row>
    <row r="1172" spans="1:1" x14ac:dyDescent="0.25">
      <c r="A1172" t="s">
        <v>7694</v>
      </c>
    </row>
    <row r="1173" spans="1:1" x14ac:dyDescent="0.25">
      <c r="A1173" t="s">
        <v>7695</v>
      </c>
    </row>
    <row r="1174" spans="1:1" x14ac:dyDescent="0.25">
      <c r="A1174" t="s">
        <v>7696</v>
      </c>
    </row>
    <row r="1175" spans="1:1" x14ac:dyDescent="0.25">
      <c r="A1175" t="s">
        <v>7697</v>
      </c>
    </row>
    <row r="1176" spans="1:1" x14ac:dyDescent="0.25">
      <c r="A1176" t="s">
        <v>7698</v>
      </c>
    </row>
    <row r="1177" spans="1:1" x14ac:dyDescent="0.25">
      <c r="A1177" t="s">
        <v>7699</v>
      </c>
    </row>
    <row r="1178" spans="1:1" x14ac:dyDescent="0.25">
      <c r="A1178" t="s">
        <v>7700</v>
      </c>
    </row>
    <row r="1179" spans="1:1" x14ac:dyDescent="0.25">
      <c r="A1179" t="s">
        <v>7701</v>
      </c>
    </row>
    <row r="1180" spans="1:1" x14ac:dyDescent="0.25">
      <c r="A1180" t="s">
        <v>7702</v>
      </c>
    </row>
    <row r="1181" spans="1:1" x14ac:dyDescent="0.25">
      <c r="A1181" t="s">
        <v>7703</v>
      </c>
    </row>
    <row r="1182" spans="1:1" x14ac:dyDescent="0.25">
      <c r="A1182" t="s">
        <v>7704</v>
      </c>
    </row>
    <row r="1183" spans="1:1" x14ac:dyDescent="0.25">
      <c r="A1183" t="s">
        <v>7705</v>
      </c>
    </row>
    <row r="1184" spans="1:1" x14ac:dyDescent="0.25">
      <c r="A1184" t="s">
        <v>7706</v>
      </c>
    </row>
    <row r="1185" spans="1:1" x14ac:dyDescent="0.25">
      <c r="A1185" t="s">
        <v>7707</v>
      </c>
    </row>
    <row r="1186" spans="1:1" x14ac:dyDescent="0.25">
      <c r="A1186" t="s">
        <v>7708</v>
      </c>
    </row>
    <row r="1187" spans="1:1" x14ac:dyDescent="0.25">
      <c r="A1187" t="s">
        <v>7709</v>
      </c>
    </row>
    <row r="1188" spans="1:1" x14ac:dyDescent="0.25">
      <c r="A1188" t="s">
        <v>7710</v>
      </c>
    </row>
    <row r="1189" spans="1:1" x14ac:dyDescent="0.25">
      <c r="A1189" t="s">
        <v>7711</v>
      </c>
    </row>
    <row r="1190" spans="1:1" x14ac:dyDescent="0.25">
      <c r="A1190" t="s">
        <v>7712</v>
      </c>
    </row>
    <row r="1191" spans="1:1" x14ac:dyDescent="0.25">
      <c r="A1191" t="s">
        <v>7713</v>
      </c>
    </row>
    <row r="1192" spans="1:1" x14ac:dyDescent="0.25">
      <c r="A1192" t="s">
        <v>7714</v>
      </c>
    </row>
    <row r="1193" spans="1:1" x14ac:dyDescent="0.25">
      <c r="A1193" t="s">
        <v>7715</v>
      </c>
    </row>
    <row r="1194" spans="1:1" x14ac:dyDescent="0.25">
      <c r="A1194" t="s">
        <v>7716</v>
      </c>
    </row>
    <row r="1195" spans="1:1" x14ac:dyDescent="0.25">
      <c r="A1195" t="s">
        <v>7717</v>
      </c>
    </row>
    <row r="1196" spans="1:1" x14ac:dyDescent="0.25">
      <c r="A1196" t="s">
        <v>7718</v>
      </c>
    </row>
    <row r="1197" spans="1:1" x14ac:dyDescent="0.25">
      <c r="A1197" t="s">
        <v>7719</v>
      </c>
    </row>
    <row r="1198" spans="1:1" x14ac:dyDescent="0.25">
      <c r="A1198" t="s">
        <v>7720</v>
      </c>
    </row>
    <row r="1199" spans="1:1" x14ac:dyDescent="0.25">
      <c r="A1199" t="s">
        <v>7721</v>
      </c>
    </row>
    <row r="1200" spans="1:1" x14ac:dyDescent="0.25">
      <c r="A1200" t="s">
        <v>7722</v>
      </c>
    </row>
    <row r="1201" spans="1:1" x14ac:dyDescent="0.25">
      <c r="A1201" t="s">
        <v>7723</v>
      </c>
    </row>
    <row r="1202" spans="1:1" x14ac:dyDescent="0.25">
      <c r="A1202" t="s">
        <v>7724</v>
      </c>
    </row>
    <row r="1203" spans="1:1" x14ac:dyDescent="0.25">
      <c r="A1203" t="s">
        <v>7725</v>
      </c>
    </row>
    <row r="1204" spans="1:1" x14ac:dyDescent="0.25">
      <c r="A1204" t="s">
        <v>7726</v>
      </c>
    </row>
    <row r="1205" spans="1:1" x14ac:dyDescent="0.25">
      <c r="A1205" t="s">
        <v>7727</v>
      </c>
    </row>
    <row r="1206" spans="1:1" x14ac:dyDescent="0.25">
      <c r="A1206" t="s">
        <v>7728</v>
      </c>
    </row>
    <row r="1207" spans="1:1" x14ac:dyDescent="0.25">
      <c r="A1207" t="s">
        <v>7729</v>
      </c>
    </row>
    <row r="1208" spans="1:1" x14ac:dyDescent="0.25">
      <c r="A1208" t="s">
        <v>7730</v>
      </c>
    </row>
    <row r="1209" spans="1:1" x14ac:dyDescent="0.25">
      <c r="A1209" t="s">
        <v>7731</v>
      </c>
    </row>
    <row r="1210" spans="1:1" x14ac:dyDescent="0.25">
      <c r="A1210" t="s">
        <v>7732</v>
      </c>
    </row>
    <row r="1211" spans="1:1" x14ac:dyDescent="0.25">
      <c r="A1211" t="s">
        <v>7733</v>
      </c>
    </row>
    <row r="1212" spans="1:1" x14ac:dyDescent="0.25">
      <c r="A1212" t="s">
        <v>7734</v>
      </c>
    </row>
    <row r="1213" spans="1:1" x14ac:dyDescent="0.25">
      <c r="A1213" t="s">
        <v>7735</v>
      </c>
    </row>
    <row r="1214" spans="1:1" x14ac:dyDescent="0.25">
      <c r="A1214" t="s">
        <v>7736</v>
      </c>
    </row>
    <row r="1215" spans="1:1" x14ac:dyDescent="0.25">
      <c r="A1215" t="s">
        <v>7737</v>
      </c>
    </row>
    <row r="1216" spans="1:1" x14ac:dyDescent="0.25">
      <c r="A1216" t="s">
        <v>7738</v>
      </c>
    </row>
    <row r="1217" spans="1:1" x14ac:dyDescent="0.25">
      <c r="A1217" t="s">
        <v>7739</v>
      </c>
    </row>
    <row r="1218" spans="1:1" x14ac:dyDescent="0.25">
      <c r="A1218" t="s">
        <v>7740</v>
      </c>
    </row>
    <row r="1219" spans="1:1" x14ac:dyDescent="0.25">
      <c r="A1219" t="s">
        <v>7741</v>
      </c>
    </row>
    <row r="1220" spans="1:1" x14ac:dyDescent="0.25">
      <c r="A1220" t="s">
        <v>7742</v>
      </c>
    </row>
    <row r="1221" spans="1:1" x14ac:dyDescent="0.25">
      <c r="A1221" t="s">
        <v>7743</v>
      </c>
    </row>
    <row r="1222" spans="1:1" x14ac:dyDescent="0.25">
      <c r="A1222" t="s">
        <v>7744</v>
      </c>
    </row>
    <row r="1223" spans="1:1" x14ac:dyDescent="0.25">
      <c r="A1223" t="s">
        <v>7745</v>
      </c>
    </row>
    <row r="1224" spans="1:1" x14ac:dyDescent="0.25">
      <c r="A1224" t="s">
        <v>7746</v>
      </c>
    </row>
    <row r="1225" spans="1:1" x14ac:dyDescent="0.25">
      <c r="A1225" t="s">
        <v>7747</v>
      </c>
    </row>
    <row r="1226" spans="1:1" x14ac:dyDescent="0.25">
      <c r="A1226" t="s">
        <v>7748</v>
      </c>
    </row>
    <row r="1227" spans="1:1" x14ac:dyDescent="0.25">
      <c r="A1227" t="s">
        <v>7749</v>
      </c>
    </row>
    <row r="1228" spans="1:1" x14ac:dyDescent="0.25">
      <c r="A1228" t="s">
        <v>7750</v>
      </c>
    </row>
    <row r="1229" spans="1:1" x14ac:dyDescent="0.25">
      <c r="A1229" t="s">
        <v>7751</v>
      </c>
    </row>
    <row r="1230" spans="1:1" x14ac:dyDescent="0.25">
      <c r="A1230" t="s">
        <v>7752</v>
      </c>
    </row>
    <row r="1231" spans="1:1" x14ac:dyDescent="0.25">
      <c r="A1231" t="s">
        <v>7753</v>
      </c>
    </row>
    <row r="1232" spans="1:1" x14ac:dyDescent="0.25">
      <c r="A1232" t="s">
        <v>7754</v>
      </c>
    </row>
    <row r="1233" spans="1:1" x14ac:dyDescent="0.25">
      <c r="A1233" t="s">
        <v>7755</v>
      </c>
    </row>
    <row r="1234" spans="1:1" x14ac:dyDescent="0.25">
      <c r="A1234" t="s">
        <v>7756</v>
      </c>
    </row>
    <row r="1235" spans="1:1" x14ac:dyDescent="0.25">
      <c r="A1235" t="s">
        <v>7757</v>
      </c>
    </row>
    <row r="1236" spans="1:1" x14ac:dyDescent="0.25">
      <c r="A1236" t="s">
        <v>7758</v>
      </c>
    </row>
    <row r="1237" spans="1:1" x14ac:dyDescent="0.25">
      <c r="A1237" t="s">
        <v>7759</v>
      </c>
    </row>
    <row r="1238" spans="1:1" x14ac:dyDescent="0.25">
      <c r="A1238" t="s">
        <v>7760</v>
      </c>
    </row>
    <row r="1239" spans="1:1" x14ac:dyDescent="0.25">
      <c r="A1239" t="s">
        <v>7761</v>
      </c>
    </row>
    <row r="1240" spans="1:1" x14ac:dyDescent="0.25">
      <c r="A1240" t="s">
        <v>7762</v>
      </c>
    </row>
    <row r="1241" spans="1:1" x14ac:dyDescent="0.25">
      <c r="A1241" t="s">
        <v>7763</v>
      </c>
    </row>
    <row r="1242" spans="1:1" x14ac:dyDescent="0.25">
      <c r="A1242" t="s">
        <v>7764</v>
      </c>
    </row>
    <row r="1243" spans="1:1" x14ac:dyDescent="0.25">
      <c r="A1243" t="s">
        <v>7765</v>
      </c>
    </row>
    <row r="1244" spans="1:1" x14ac:dyDescent="0.25">
      <c r="A1244" t="s">
        <v>7766</v>
      </c>
    </row>
    <row r="1245" spans="1:1" x14ac:dyDescent="0.25">
      <c r="A1245" t="s">
        <v>7767</v>
      </c>
    </row>
    <row r="1246" spans="1:1" x14ac:dyDescent="0.25">
      <c r="A1246" t="s">
        <v>7768</v>
      </c>
    </row>
    <row r="1247" spans="1:1" x14ac:dyDescent="0.25">
      <c r="A1247" t="s">
        <v>7769</v>
      </c>
    </row>
    <row r="1248" spans="1:1" x14ac:dyDescent="0.25">
      <c r="A1248" t="s">
        <v>7770</v>
      </c>
    </row>
    <row r="1249" spans="1:1" x14ac:dyDescent="0.25">
      <c r="A1249" t="s">
        <v>7771</v>
      </c>
    </row>
    <row r="1250" spans="1:1" x14ac:dyDescent="0.25">
      <c r="A1250" t="s">
        <v>7772</v>
      </c>
    </row>
    <row r="1251" spans="1:1" x14ac:dyDescent="0.25">
      <c r="A1251" t="s">
        <v>7773</v>
      </c>
    </row>
    <row r="1252" spans="1:1" x14ac:dyDescent="0.25">
      <c r="A1252" t="s">
        <v>7774</v>
      </c>
    </row>
    <row r="1253" spans="1:1" x14ac:dyDescent="0.25">
      <c r="A1253" t="s">
        <v>7775</v>
      </c>
    </row>
    <row r="1254" spans="1:1" x14ac:dyDescent="0.25">
      <c r="A1254" t="s">
        <v>7776</v>
      </c>
    </row>
    <row r="1255" spans="1:1" x14ac:dyDescent="0.25">
      <c r="A1255" t="s">
        <v>7777</v>
      </c>
    </row>
    <row r="1256" spans="1:1" x14ac:dyDescent="0.25">
      <c r="A1256" t="s">
        <v>7778</v>
      </c>
    </row>
    <row r="1257" spans="1:1" x14ac:dyDescent="0.25">
      <c r="A1257" t="s">
        <v>7779</v>
      </c>
    </row>
    <row r="1258" spans="1:1" x14ac:dyDescent="0.25">
      <c r="A1258" t="s">
        <v>7780</v>
      </c>
    </row>
    <row r="1259" spans="1:1" x14ac:dyDescent="0.25">
      <c r="A1259" t="s">
        <v>7781</v>
      </c>
    </row>
    <row r="1260" spans="1:1" x14ac:dyDescent="0.25">
      <c r="A1260" t="s">
        <v>7782</v>
      </c>
    </row>
    <row r="1261" spans="1:1" x14ac:dyDescent="0.25">
      <c r="A1261" t="s">
        <v>7783</v>
      </c>
    </row>
    <row r="1262" spans="1:1" x14ac:dyDescent="0.25">
      <c r="A1262" t="s">
        <v>7784</v>
      </c>
    </row>
    <row r="1263" spans="1:1" x14ac:dyDescent="0.25">
      <c r="A1263" t="s">
        <v>7785</v>
      </c>
    </row>
    <row r="1264" spans="1:1" x14ac:dyDescent="0.25">
      <c r="A1264" t="s">
        <v>7786</v>
      </c>
    </row>
    <row r="1265" spans="1:1" x14ac:dyDescent="0.25">
      <c r="A1265" t="s">
        <v>7787</v>
      </c>
    </row>
    <row r="1266" spans="1:1" x14ac:dyDescent="0.25">
      <c r="A1266" t="s">
        <v>7788</v>
      </c>
    </row>
    <row r="1267" spans="1:1" x14ac:dyDescent="0.25">
      <c r="A1267" t="s">
        <v>7789</v>
      </c>
    </row>
    <row r="1268" spans="1:1" x14ac:dyDescent="0.25">
      <c r="A1268" t="s">
        <v>7790</v>
      </c>
    </row>
    <row r="1269" spans="1:1" x14ac:dyDescent="0.25">
      <c r="A1269" t="s">
        <v>7791</v>
      </c>
    </row>
    <row r="1270" spans="1:1" x14ac:dyDescent="0.25">
      <c r="A1270" t="s">
        <v>7792</v>
      </c>
    </row>
    <row r="1271" spans="1:1" x14ac:dyDescent="0.25">
      <c r="A1271" t="s">
        <v>7793</v>
      </c>
    </row>
    <row r="1272" spans="1:1" x14ac:dyDescent="0.25">
      <c r="A1272" t="s">
        <v>7794</v>
      </c>
    </row>
    <row r="1273" spans="1:1" x14ac:dyDescent="0.25">
      <c r="A1273" t="s">
        <v>7795</v>
      </c>
    </row>
    <row r="1274" spans="1:1" x14ac:dyDescent="0.25">
      <c r="A1274" t="s">
        <v>7796</v>
      </c>
    </row>
    <row r="1275" spans="1:1" x14ac:dyDescent="0.25">
      <c r="A1275" t="s">
        <v>7797</v>
      </c>
    </row>
    <row r="1276" spans="1:1" x14ac:dyDescent="0.25">
      <c r="A1276" t="s">
        <v>7798</v>
      </c>
    </row>
    <row r="1277" spans="1:1" x14ac:dyDescent="0.25">
      <c r="A1277" t="s">
        <v>7799</v>
      </c>
    </row>
    <row r="1278" spans="1:1" x14ac:dyDescent="0.25">
      <c r="A1278" t="s">
        <v>7800</v>
      </c>
    </row>
    <row r="1279" spans="1:1" x14ac:dyDescent="0.25">
      <c r="A1279" t="s">
        <v>7801</v>
      </c>
    </row>
    <row r="1280" spans="1:1" x14ac:dyDescent="0.25">
      <c r="A1280" t="s">
        <v>7802</v>
      </c>
    </row>
    <row r="1281" spans="1:1" x14ac:dyDescent="0.25">
      <c r="A1281" t="s">
        <v>7803</v>
      </c>
    </row>
    <row r="1282" spans="1:1" x14ac:dyDescent="0.25">
      <c r="A1282" t="s">
        <v>7804</v>
      </c>
    </row>
    <row r="1283" spans="1:1" x14ac:dyDescent="0.25">
      <c r="A1283" t="s">
        <v>7805</v>
      </c>
    </row>
    <row r="1284" spans="1:1" x14ac:dyDescent="0.25">
      <c r="A1284" t="s">
        <v>7806</v>
      </c>
    </row>
    <row r="1285" spans="1:1" x14ac:dyDescent="0.25">
      <c r="A1285" t="s">
        <v>7807</v>
      </c>
    </row>
    <row r="1286" spans="1:1" x14ac:dyDescent="0.25">
      <c r="A1286" t="s">
        <v>7808</v>
      </c>
    </row>
    <row r="1287" spans="1:1" x14ac:dyDescent="0.25">
      <c r="A1287" t="s">
        <v>7809</v>
      </c>
    </row>
    <row r="1288" spans="1:1" x14ac:dyDescent="0.25">
      <c r="A1288" t="s">
        <v>7810</v>
      </c>
    </row>
    <row r="1289" spans="1:1" x14ac:dyDescent="0.25">
      <c r="A1289" t="s">
        <v>7811</v>
      </c>
    </row>
    <row r="1290" spans="1:1" x14ac:dyDescent="0.25">
      <c r="A1290" t="s">
        <v>7812</v>
      </c>
    </row>
    <row r="1291" spans="1:1" x14ac:dyDescent="0.25">
      <c r="A1291" t="s">
        <v>7813</v>
      </c>
    </row>
    <row r="1292" spans="1:1" x14ac:dyDescent="0.25">
      <c r="A1292" t="s">
        <v>7814</v>
      </c>
    </row>
    <row r="1293" spans="1:1" x14ac:dyDescent="0.25">
      <c r="A1293" t="s">
        <v>7815</v>
      </c>
    </row>
    <row r="1294" spans="1:1" x14ac:dyDescent="0.25">
      <c r="A1294" t="s">
        <v>7816</v>
      </c>
    </row>
    <row r="1295" spans="1:1" x14ac:dyDescent="0.25">
      <c r="A1295" t="s">
        <v>7817</v>
      </c>
    </row>
    <row r="1296" spans="1:1" x14ac:dyDescent="0.25">
      <c r="A1296" t="s">
        <v>7818</v>
      </c>
    </row>
    <row r="1297" spans="1:1" x14ac:dyDescent="0.25">
      <c r="A1297" t="s">
        <v>7819</v>
      </c>
    </row>
    <row r="1298" spans="1:1" x14ac:dyDescent="0.25">
      <c r="A1298" t="s">
        <v>7820</v>
      </c>
    </row>
    <row r="1299" spans="1:1" x14ac:dyDescent="0.25">
      <c r="A1299" t="s">
        <v>7821</v>
      </c>
    </row>
    <row r="1300" spans="1:1" x14ac:dyDescent="0.25">
      <c r="A1300" t="s">
        <v>7822</v>
      </c>
    </row>
    <row r="1301" spans="1:1" x14ac:dyDescent="0.25">
      <c r="A1301" t="s">
        <v>7823</v>
      </c>
    </row>
    <row r="1302" spans="1:1" x14ac:dyDescent="0.25">
      <c r="A1302" t="s">
        <v>7824</v>
      </c>
    </row>
    <row r="1303" spans="1:1" x14ac:dyDescent="0.25">
      <c r="A1303" t="s">
        <v>7825</v>
      </c>
    </row>
    <row r="1304" spans="1:1" x14ac:dyDescent="0.25">
      <c r="A1304" t="s">
        <v>7826</v>
      </c>
    </row>
    <row r="1305" spans="1:1" x14ac:dyDescent="0.25">
      <c r="A1305" t="s">
        <v>7827</v>
      </c>
    </row>
    <row r="1306" spans="1:1" x14ac:dyDescent="0.25">
      <c r="A1306" t="s">
        <v>7828</v>
      </c>
    </row>
    <row r="1307" spans="1:1" x14ac:dyDescent="0.25">
      <c r="A1307" t="s">
        <v>7829</v>
      </c>
    </row>
    <row r="1308" spans="1:1" x14ac:dyDescent="0.25">
      <c r="A1308" t="s">
        <v>7830</v>
      </c>
    </row>
    <row r="1309" spans="1:1" x14ac:dyDescent="0.25">
      <c r="A1309" t="s">
        <v>7831</v>
      </c>
    </row>
    <row r="1310" spans="1:1" x14ac:dyDescent="0.25">
      <c r="A1310" t="s">
        <v>7832</v>
      </c>
    </row>
    <row r="1311" spans="1:1" x14ac:dyDescent="0.25">
      <c r="A1311" t="s">
        <v>7833</v>
      </c>
    </row>
    <row r="1312" spans="1:1" x14ac:dyDescent="0.25">
      <c r="A1312" t="s">
        <v>7834</v>
      </c>
    </row>
    <row r="1313" spans="1:1" x14ac:dyDescent="0.25">
      <c r="A1313" t="s">
        <v>7835</v>
      </c>
    </row>
    <row r="1314" spans="1:1" x14ac:dyDescent="0.25">
      <c r="A1314" t="s">
        <v>7836</v>
      </c>
    </row>
    <row r="1315" spans="1:1" x14ac:dyDescent="0.25">
      <c r="A1315" t="s">
        <v>7837</v>
      </c>
    </row>
    <row r="1316" spans="1:1" x14ac:dyDescent="0.25">
      <c r="A1316" t="s">
        <v>7838</v>
      </c>
    </row>
    <row r="1317" spans="1:1" x14ac:dyDescent="0.25">
      <c r="A1317" t="s">
        <v>7839</v>
      </c>
    </row>
    <row r="1318" spans="1:1" x14ac:dyDescent="0.25">
      <c r="A1318" t="s">
        <v>7840</v>
      </c>
    </row>
    <row r="1319" spans="1:1" x14ac:dyDescent="0.25">
      <c r="A1319" t="s">
        <v>7841</v>
      </c>
    </row>
    <row r="1320" spans="1:1" x14ac:dyDescent="0.25">
      <c r="A1320" t="s">
        <v>7842</v>
      </c>
    </row>
    <row r="1321" spans="1:1" x14ac:dyDescent="0.25">
      <c r="A1321" t="s">
        <v>7843</v>
      </c>
    </row>
    <row r="1322" spans="1:1" x14ac:dyDescent="0.25">
      <c r="A1322" t="s">
        <v>7844</v>
      </c>
    </row>
    <row r="1323" spans="1:1" x14ac:dyDescent="0.25">
      <c r="A1323" t="s">
        <v>7845</v>
      </c>
    </row>
    <row r="1324" spans="1:1" x14ac:dyDescent="0.25">
      <c r="A1324" t="s">
        <v>7846</v>
      </c>
    </row>
    <row r="1325" spans="1:1" x14ac:dyDescent="0.25">
      <c r="A1325" t="s">
        <v>7847</v>
      </c>
    </row>
    <row r="1326" spans="1:1" x14ac:dyDescent="0.25">
      <c r="A1326" t="s">
        <v>7848</v>
      </c>
    </row>
    <row r="1327" spans="1:1" x14ac:dyDescent="0.25">
      <c r="A1327" t="s">
        <v>7849</v>
      </c>
    </row>
    <row r="1328" spans="1:1" x14ac:dyDescent="0.25">
      <c r="A1328" t="s">
        <v>7850</v>
      </c>
    </row>
    <row r="1329" spans="1:1" x14ac:dyDescent="0.25">
      <c r="A1329" t="s">
        <v>7851</v>
      </c>
    </row>
    <row r="1330" spans="1:1" x14ac:dyDescent="0.25">
      <c r="A1330" t="s">
        <v>7852</v>
      </c>
    </row>
    <row r="1331" spans="1:1" x14ac:dyDescent="0.25">
      <c r="A1331" t="s">
        <v>7853</v>
      </c>
    </row>
    <row r="1332" spans="1:1" x14ac:dyDescent="0.25">
      <c r="A1332" t="s">
        <v>7854</v>
      </c>
    </row>
    <row r="1333" spans="1:1" x14ac:dyDescent="0.25">
      <c r="A1333" t="s">
        <v>7855</v>
      </c>
    </row>
    <row r="1334" spans="1:1" x14ac:dyDescent="0.25">
      <c r="A1334" t="s">
        <v>7856</v>
      </c>
    </row>
    <row r="1335" spans="1:1" x14ac:dyDescent="0.25">
      <c r="A1335" t="s">
        <v>7857</v>
      </c>
    </row>
    <row r="1336" spans="1:1" x14ac:dyDescent="0.25">
      <c r="A1336" t="s">
        <v>7858</v>
      </c>
    </row>
    <row r="1337" spans="1:1" x14ac:dyDescent="0.25">
      <c r="A1337" t="s">
        <v>7859</v>
      </c>
    </row>
    <row r="1338" spans="1:1" x14ac:dyDescent="0.25">
      <c r="A1338" t="s">
        <v>7860</v>
      </c>
    </row>
    <row r="1339" spans="1:1" x14ac:dyDescent="0.25">
      <c r="A1339" t="s">
        <v>7861</v>
      </c>
    </row>
    <row r="1340" spans="1:1" x14ac:dyDescent="0.25">
      <c r="A1340" t="s">
        <v>7862</v>
      </c>
    </row>
    <row r="1341" spans="1:1" x14ac:dyDescent="0.25">
      <c r="A1341" t="s">
        <v>7863</v>
      </c>
    </row>
    <row r="1342" spans="1:1" x14ac:dyDescent="0.25">
      <c r="A1342" t="s">
        <v>7864</v>
      </c>
    </row>
    <row r="1343" spans="1:1" x14ac:dyDescent="0.25">
      <c r="A1343" t="s">
        <v>7865</v>
      </c>
    </row>
    <row r="1344" spans="1:1" x14ac:dyDescent="0.25">
      <c r="A1344" t="s">
        <v>7866</v>
      </c>
    </row>
    <row r="1345" spans="1:1" x14ac:dyDescent="0.25">
      <c r="A1345" t="s">
        <v>7867</v>
      </c>
    </row>
    <row r="1346" spans="1:1" x14ac:dyDescent="0.25">
      <c r="A1346" t="s">
        <v>7868</v>
      </c>
    </row>
    <row r="1347" spans="1:1" x14ac:dyDescent="0.25">
      <c r="A1347" t="s">
        <v>7869</v>
      </c>
    </row>
    <row r="1348" spans="1:1" x14ac:dyDescent="0.25">
      <c r="A1348" t="s">
        <v>7870</v>
      </c>
    </row>
    <row r="1349" spans="1:1" x14ac:dyDescent="0.25">
      <c r="A1349" t="s">
        <v>7871</v>
      </c>
    </row>
    <row r="1350" spans="1:1" x14ac:dyDescent="0.25">
      <c r="A1350" t="s">
        <v>7872</v>
      </c>
    </row>
    <row r="1351" spans="1:1" x14ac:dyDescent="0.25">
      <c r="A1351" t="s">
        <v>7873</v>
      </c>
    </row>
    <row r="1352" spans="1:1" x14ac:dyDescent="0.25">
      <c r="A1352" t="s">
        <v>7874</v>
      </c>
    </row>
    <row r="1353" spans="1:1" x14ac:dyDescent="0.25">
      <c r="A1353" t="s">
        <v>7875</v>
      </c>
    </row>
    <row r="1354" spans="1:1" x14ac:dyDescent="0.25">
      <c r="A1354" t="s">
        <v>7876</v>
      </c>
    </row>
    <row r="1355" spans="1:1" x14ac:dyDescent="0.25">
      <c r="A1355" t="s">
        <v>7877</v>
      </c>
    </row>
    <row r="1356" spans="1:1" x14ac:dyDescent="0.25">
      <c r="A1356" t="s">
        <v>7878</v>
      </c>
    </row>
    <row r="1357" spans="1:1" x14ac:dyDescent="0.25">
      <c r="A1357" t="s">
        <v>7879</v>
      </c>
    </row>
    <row r="1358" spans="1:1" x14ac:dyDescent="0.25">
      <c r="A1358" t="s">
        <v>7880</v>
      </c>
    </row>
    <row r="1359" spans="1:1" x14ac:dyDescent="0.25">
      <c r="A1359" t="s">
        <v>7881</v>
      </c>
    </row>
    <row r="1360" spans="1:1" x14ac:dyDescent="0.25">
      <c r="A1360" t="s">
        <v>7882</v>
      </c>
    </row>
    <row r="1361" spans="1:1" x14ac:dyDescent="0.25">
      <c r="A1361" t="s">
        <v>7883</v>
      </c>
    </row>
    <row r="1362" spans="1:1" x14ac:dyDescent="0.25">
      <c r="A1362" t="s">
        <v>7884</v>
      </c>
    </row>
    <row r="1363" spans="1:1" x14ac:dyDescent="0.25">
      <c r="A1363" t="s">
        <v>7885</v>
      </c>
    </row>
    <row r="1364" spans="1:1" x14ac:dyDescent="0.25">
      <c r="A1364" t="s">
        <v>7886</v>
      </c>
    </row>
    <row r="1365" spans="1:1" x14ac:dyDescent="0.25">
      <c r="A1365" t="s">
        <v>7887</v>
      </c>
    </row>
    <row r="1366" spans="1:1" x14ac:dyDescent="0.25">
      <c r="A1366" t="s">
        <v>7888</v>
      </c>
    </row>
    <row r="1367" spans="1:1" x14ac:dyDescent="0.25">
      <c r="A1367" t="s">
        <v>7889</v>
      </c>
    </row>
    <row r="1368" spans="1:1" x14ac:dyDescent="0.25">
      <c r="A1368" t="s">
        <v>7890</v>
      </c>
    </row>
    <row r="1369" spans="1:1" x14ac:dyDescent="0.25">
      <c r="A1369" t="s">
        <v>7891</v>
      </c>
    </row>
    <row r="1370" spans="1:1" x14ac:dyDescent="0.25">
      <c r="A1370" t="s">
        <v>7892</v>
      </c>
    </row>
    <row r="1371" spans="1:1" x14ac:dyDescent="0.25">
      <c r="A1371" t="s">
        <v>7893</v>
      </c>
    </row>
    <row r="1372" spans="1:1" x14ac:dyDescent="0.25">
      <c r="A1372" t="s">
        <v>7894</v>
      </c>
    </row>
    <row r="1373" spans="1:1" x14ac:dyDescent="0.25">
      <c r="A1373" t="s">
        <v>7895</v>
      </c>
    </row>
    <row r="1374" spans="1:1" x14ac:dyDescent="0.25">
      <c r="A1374" t="s">
        <v>7896</v>
      </c>
    </row>
    <row r="1375" spans="1:1" x14ac:dyDescent="0.25">
      <c r="A1375" t="s">
        <v>7897</v>
      </c>
    </row>
    <row r="1376" spans="1:1" x14ac:dyDescent="0.25">
      <c r="A1376" t="s">
        <v>7898</v>
      </c>
    </row>
    <row r="1377" spans="1:1" x14ac:dyDescent="0.25">
      <c r="A1377" t="s">
        <v>7899</v>
      </c>
    </row>
    <row r="1378" spans="1:1" x14ac:dyDescent="0.25">
      <c r="A1378" t="s">
        <v>7900</v>
      </c>
    </row>
    <row r="1379" spans="1:1" x14ac:dyDescent="0.25">
      <c r="A1379" t="s">
        <v>7901</v>
      </c>
    </row>
    <row r="1380" spans="1:1" x14ac:dyDescent="0.25">
      <c r="A1380" t="s">
        <v>7902</v>
      </c>
    </row>
    <row r="1381" spans="1:1" x14ac:dyDescent="0.25">
      <c r="A1381" t="s">
        <v>7903</v>
      </c>
    </row>
    <row r="1382" spans="1:1" x14ac:dyDescent="0.25">
      <c r="A1382" t="s">
        <v>7904</v>
      </c>
    </row>
    <row r="1383" spans="1:1" x14ac:dyDescent="0.25">
      <c r="A1383" t="s">
        <v>7905</v>
      </c>
    </row>
    <row r="1384" spans="1:1" x14ac:dyDescent="0.25">
      <c r="A1384" t="s">
        <v>7906</v>
      </c>
    </row>
    <row r="1385" spans="1:1" x14ac:dyDescent="0.25">
      <c r="A1385" t="s">
        <v>7907</v>
      </c>
    </row>
    <row r="1386" spans="1:1" x14ac:dyDescent="0.25">
      <c r="A1386" t="s">
        <v>7908</v>
      </c>
    </row>
    <row r="1387" spans="1:1" x14ac:dyDescent="0.25">
      <c r="A1387" t="s">
        <v>7909</v>
      </c>
    </row>
    <row r="1388" spans="1:1" x14ac:dyDescent="0.25">
      <c r="A1388" t="s">
        <v>7910</v>
      </c>
    </row>
    <row r="1389" spans="1:1" x14ac:dyDescent="0.25">
      <c r="A1389" t="s">
        <v>7911</v>
      </c>
    </row>
    <row r="1390" spans="1:1" x14ac:dyDescent="0.25">
      <c r="A1390" t="s">
        <v>7912</v>
      </c>
    </row>
    <row r="1391" spans="1:1" x14ac:dyDescent="0.25">
      <c r="A1391" t="s">
        <v>7913</v>
      </c>
    </row>
    <row r="1392" spans="1:1" x14ac:dyDescent="0.25">
      <c r="A1392" t="s">
        <v>7914</v>
      </c>
    </row>
    <row r="1393" spans="1:1" x14ac:dyDescent="0.25">
      <c r="A1393" t="s">
        <v>7915</v>
      </c>
    </row>
    <row r="1394" spans="1:1" x14ac:dyDescent="0.25">
      <c r="A1394" t="s">
        <v>7916</v>
      </c>
    </row>
    <row r="1395" spans="1:1" x14ac:dyDescent="0.25">
      <c r="A1395" t="s">
        <v>7917</v>
      </c>
    </row>
    <row r="1396" spans="1:1" x14ac:dyDescent="0.25">
      <c r="A1396" t="s">
        <v>7918</v>
      </c>
    </row>
    <row r="1397" spans="1:1" x14ac:dyDescent="0.25">
      <c r="A1397" t="s">
        <v>7919</v>
      </c>
    </row>
    <row r="1398" spans="1:1" x14ac:dyDescent="0.25">
      <c r="A1398" t="s">
        <v>7920</v>
      </c>
    </row>
    <row r="1399" spans="1:1" x14ac:dyDescent="0.25">
      <c r="A1399" t="s">
        <v>7921</v>
      </c>
    </row>
    <row r="1400" spans="1:1" x14ac:dyDescent="0.25">
      <c r="A1400" t="s">
        <v>7922</v>
      </c>
    </row>
    <row r="1401" spans="1:1" x14ac:dyDescent="0.25">
      <c r="A1401" t="s">
        <v>7923</v>
      </c>
    </row>
    <row r="1402" spans="1:1" x14ac:dyDescent="0.25">
      <c r="A1402" t="s">
        <v>7924</v>
      </c>
    </row>
    <row r="1403" spans="1:1" x14ac:dyDescent="0.25">
      <c r="A1403" t="s">
        <v>7925</v>
      </c>
    </row>
    <row r="1404" spans="1:1" x14ac:dyDescent="0.25">
      <c r="A1404" t="s">
        <v>7926</v>
      </c>
    </row>
    <row r="1405" spans="1:1" x14ac:dyDescent="0.25">
      <c r="A1405" t="s">
        <v>7927</v>
      </c>
    </row>
    <row r="1406" spans="1:1" x14ac:dyDescent="0.25">
      <c r="A1406" t="s">
        <v>7928</v>
      </c>
    </row>
    <row r="1407" spans="1:1" x14ac:dyDescent="0.25">
      <c r="A1407" t="s">
        <v>7929</v>
      </c>
    </row>
    <row r="1408" spans="1:1" x14ac:dyDescent="0.25">
      <c r="A1408" t="s">
        <v>7930</v>
      </c>
    </row>
    <row r="1409" spans="1:1" x14ac:dyDescent="0.25">
      <c r="A1409" t="s">
        <v>7931</v>
      </c>
    </row>
    <row r="1410" spans="1:1" x14ac:dyDescent="0.25">
      <c r="A1410" t="s">
        <v>7932</v>
      </c>
    </row>
    <row r="1411" spans="1:1" x14ac:dyDescent="0.25">
      <c r="A1411" t="s">
        <v>7933</v>
      </c>
    </row>
    <row r="1412" spans="1:1" x14ac:dyDescent="0.25">
      <c r="A1412" t="s">
        <v>7934</v>
      </c>
    </row>
    <row r="1413" spans="1:1" x14ac:dyDescent="0.25">
      <c r="A1413" t="s">
        <v>7935</v>
      </c>
    </row>
    <row r="1414" spans="1:1" x14ac:dyDescent="0.25">
      <c r="A1414" t="s">
        <v>7936</v>
      </c>
    </row>
    <row r="1415" spans="1:1" x14ac:dyDescent="0.25">
      <c r="A1415" t="s">
        <v>7937</v>
      </c>
    </row>
    <row r="1416" spans="1:1" x14ac:dyDescent="0.25">
      <c r="A1416" t="s">
        <v>7938</v>
      </c>
    </row>
    <row r="1417" spans="1:1" x14ac:dyDescent="0.25">
      <c r="A1417" t="s">
        <v>7939</v>
      </c>
    </row>
    <row r="1418" spans="1:1" x14ac:dyDescent="0.25">
      <c r="A1418" t="s">
        <v>7940</v>
      </c>
    </row>
    <row r="1419" spans="1:1" x14ac:dyDescent="0.25">
      <c r="A1419" t="s">
        <v>7941</v>
      </c>
    </row>
    <row r="1420" spans="1:1" x14ac:dyDescent="0.25">
      <c r="A1420" t="s">
        <v>7942</v>
      </c>
    </row>
    <row r="1421" spans="1:1" x14ac:dyDescent="0.25">
      <c r="A1421" t="s">
        <v>7943</v>
      </c>
    </row>
    <row r="1422" spans="1:1" x14ac:dyDescent="0.25">
      <c r="A1422" t="s">
        <v>7944</v>
      </c>
    </row>
    <row r="1423" spans="1:1" x14ac:dyDescent="0.25">
      <c r="A1423" t="s">
        <v>7945</v>
      </c>
    </row>
    <row r="1424" spans="1:1" x14ac:dyDescent="0.25">
      <c r="A1424" t="s">
        <v>7946</v>
      </c>
    </row>
    <row r="1425" spans="1:1" x14ac:dyDescent="0.25">
      <c r="A1425" t="s">
        <v>7947</v>
      </c>
    </row>
    <row r="1426" spans="1:1" x14ac:dyDescent="0.25">
      <c r="A1426" t="s">
        <v>7948</v>
      </c>
    </row>
    <row r="1427" spans="1:1" x14ac:dyDescent="0.25">
      <c r="A1427" t="s">
        <v>7949</v>
      </c>
    </row>
    <row r="1428" spans="1:1" x14ac:dyDescent="0.25">
      <c r="A1428" t="s">
        <v>7950</v>
      </c>
    </row>
    <row r="1429" spans="1:1" x14ac:dyDescent="0.25">
      <c r="A1429" t="s">
        <v>7951</v>
      </c>
    </row>
    <row r="1430" spans="1:1" x14ac:dyDescent="0.25">
      <c r="A1430" t="s">
        <v>7952</v>
      </c>
    </row>
    <row r="1431" spans="1:1" x14ac:dyDescent="0.25">
      <c r="A1431" t="s">
        <v>7953</v>
      </c>
    </row>
    <row r="1432" spans="1:1" x14ac:dyDescent="0.25">
      <c r="A1432" t="s">
        <v>7954</v>
      </c>
    </row>
    <row r="1433" spans="1:1" x14ac:dyDescent="0.25">
      <c r="A1433" t="s">
        <v>7955</v>
      </c>
    </row>
    <row r="1434" spans="1:1" x14ac:dyDescent="0.25">
      <c r="A1434" t="s">
        <v>7956</v>
      </c>
    </row>
    <row r="1435" spans="1:1" x14ac:dyDescent="0.25">
      <c r="A1435" t="s">
        <v>7957</v>
      </c>
    </row>
    <row r="1436" spans="1:1" x14ac:dyDescent="0.25">
      <c r="A1436" t="s">
        <v>7958</v>
      </c>
    </row>
    <row r="1437" spans="1:1" x14ac:dyDescent="0.25">
      <c r="A1437" t="s">
        <v>7959</v>
      </c>
    </row>
    <row r="1438" spans="1:1" x14ac:dyDescent="0.25">
      <c r="A1438" t="s">
        <v>7960</v>
      </c>
    </row>
    <row r="1439" spans="1:1" x14ac:dyDescent="0.25">
      <c r="A1439" t="s">
        <v>7961</v>
      </c>
    </row>
    <row r="1440" spans="1:1" x14ac:dyDescent="0.25">
      <c r="A1440" t="s">
        <v>7962</v>
      </c>
    </row>
    <row r="1441" spans="1:1" x14ac:dyDescent="0.25">
      <c r="A1441" t="s">
        <v>7963</v>
      </c>
    </row>
    <row r="1442" spans="1:1" x14ac:dyDescent="0.25">
      <c r="A1442" t="s">
        <v>7964</v>
      </c>
    </row>
    <row r="1443" spans="1:1" x14ac:dyDescent="0.25">
      <c r="A1443" t="s">
        <v>7965</v>
      </c>
    </row>
    <row r="1444" spans="1:1" x14ac:dyDescent="0.25">
      <c r="A1444" t="s">
        <v>7966</v>
      </c>
    </row>
    <row r="1445" spans="1:1" x14ac:dyDescent="0.25">
      <c r="A1445" t="s">
        <v>7967</v>
      </c>
    </row>
    <row r="1446" spans="1:1" x14ac:dyDescent="0.25">
      <c r="A1446" t="s">
        <v>7968</v>
      </c>
    </row>
    <row r="1447" spans="1:1" x14ac:dyDescent="0.25">
      <c r="A1447" t="s">
        <v>7969</v>
      </c>
    </row>
    <row r="1448" spans="1:1" x14ac:dyDescent="0.25">
      <c r="A1448" t="s">
        <v>7970</v>
      </c>
    </row>
    <row r="1449" spans="1:1" x14ac:dyDescent="0.25">
      <c r="A1449" t="s">
        <v>7971</v>
      </c>
    </row>
    <row r="1450" spans="1:1" x14ac:dyDescent="0.25">
      <c r="A1450" t="s">
        <v>7972</v>
      </c>
    </row>
    <row r="1451" spans="1:1" x14ac:dyDescent="0.25">
      <c r="A1451" t="s">
        <v>7973</v>
      </c>
    </row>
    <row r="1452" spans="1:1" x14ac:dyDescent="0.25">
      <c r="A1452" t="s">
        <v>7974</v>
      </c>
    </row>
    <row r="1453" spans="1:1" x14ac:dyDescent="0.25">
      <c r="A1453" t="s">
        <v>7975</v>
      </c>
    </row>
    <row r="1454" spans="1:1" x14ac:dyDescent="0.25">
      <c r="A1454" t="s">
        <v>7976</v>
      </c>
    </row>
    <row r="1455" spans="1:1" x14ac:dyDescent="0.25">
      <c r="A1455" t="s">
        <v>7977</v>
      </c>
    </row>
    <row r="1456" spans="1:1" x14ac:dyDescent="0.25">
      <c r="A1456" t="s">
        <v>7978</v>
      </c>
    </row>
    <row r="1457" spans="1:1" x14ac:dyDescent="0.25">
      <c r="A1457" t="s">
        <v>7979</v>
      </c>
    </row>
    <row r="1458" spans="1:1" x14ac:dyDescent="0.25">
      <c r="A1458" t="s">
        <v>7980</v>
      </c>
    </row>
    <row r="1459" spans="1:1" x14ac:dyDescent="0.25">
      <c r="A1459" t="s">
        <v>7981</v>
      </c>
    </row>
    <row r="1460" spans="1:1" x14ac:dyDescent="0.25">
      <c r="A1460" t="s">
        <v>7982</v>
      </c>
    </row>
    <row r="1461" spans="1:1" x14ac:dyDescent="0.25">
      <c r="A1461" t="s">
        <v>7983</v>
      </c>
    </row>
    <row r="1462" spans="1:1" x14ac:dyDescent="0.25">
      <c r="A1462" t="s">
        <v>7984</v>
      </c>
    </row>
    <row r="1463" spans="1:1" x14ac:dyDescent="0.25">
      <c r="A1463" t="s">
        <v>7985</v>
      </c>
    </row>
    <row r="1464" spans="1:1" x14ac:dyDescent="0.25">
      <c r="A1464" t="s">
        <v>7986</v>
      </c>
    </row>
    <row r="1465" spans="1:1" x14ac:dyDescent="0.25">
      <c r="A1465" t="s">
        <v>7987</v>
      </c>
    </row>
    <row r="1466" spans="1:1" x14ac:dyDescent="0.25">
      <c r="A1466" t="s">
        <v>7988</v>
      </c>
    </row>
    <row r="1467" spans="1:1" x14ac:dyDescent="0.25">
      <c r="A1467" t="s">
        <v>7989</v>
      </c>
    </row>
    <row r="1468" spans="1:1" x14ac:dyDescent="0.25">
      <c r="A1468" t="s">
        <v>7990</v>
      </c>
    </row>
    <row r="1469" spans="1:1" x14ac:dyDescent="0.25">
      <c r="A1469" t="s">
        <v>7991</v>
      </c>
    </row>
    <row r="1470" spans="1:1" x14ac:dyDescent="0.25">
      <c r="A1470" t="s">
        <v>7992</v>
      </c>
    </row>
    <row r="1471" spans="1:1" x14ac:dyDescent="0.25">
      <c r="A1471" t="s">
        <v>7993</v>
      </c>
    </row>
    <row r="1472" spans="1:1" x14ac:dyDescent="0.25">
      <c r="A1472" t="s">
        <v>7994</v>
      </c>
    </row>
    <row r="1473" spans="1:1" x14ac:dyDescent="0.25">
      <c r="A1473" t="s">
        <v>7995</v>
      </c>
    </row>
    <row r="1474" spans="1:1" x14ac:dyDescent="0.25">
      <c r="A1474" t="s">
        <v>7996</v>
      </c>
    </row>
    <row r="1475" spans="1:1" x14ac:dyDescent="0.25">
      <c r="A1475" t="s">
        <v>7997</v>
      </c>
    </row>
    <row r="1476" spans="1:1" x14ac:dyDescent="0.25">
      <c r="A1476" t="s">
        <v>7998</v>
      </c>
    </row>
    <row r="1477" spans="1:1" x14ac:dyDescent="0.25">
      <c r="A1477" t="s">
        <v>7999</v>
      </c>
    </row>
    <row r="1478" spans="1:1" x14ac:dyDescent="0.25">
      <c r="A1478" t="s">
        <v>8000</v>
      </c>
    </row>
    <row r="1479" spans="1:1" x14ac:dyDescent="0.25">
      <c r="A1479" t="s">
        <v>8001</v>
      </c>
    </row>
    <row r="1480" spans="1:1" x14ac:dyDescent="0.25">
      <c r="A1480" t="s">
        <v>8002</v>
      </c>
    </row>
    <row r="1481" spans="1:1" x14ac:dyDescent="0.25">
      <c r="A1481" t="s">
        <v>8003</v>
      </c>
    </row>
    <row r="1482" spans="1:1" x14ac:dyDescent="0.25">
      <c r="A1482" t="s">
        <v>8004</v>
      </c>
    </row>
    <row r="1483" spans="1:1" x14ac:dyDescent="0.25">
      <c r="A1483" t="s">
        <v>8005</v>
      </c>
    </row>
    <row r="1484" spans="1:1" x14ac:dyDescent="0.25">
      <c r="A1484" t="s">
        <v>8006</v>
      </c>
    </row>
    <row r="1485" spans="1:1" x14ac:dyDescent="0.25">
      <c r="A1485" t="s">
        <v>8007</v>
      </c>
    </row>
    <row r="1486" spans="1:1" x14ac:dyDescent="0.25">
      <c r="A1486" t="s">
        <v>8008</v>
      </c>
    </row>
    <row r="1487" spans="1:1" x14ac:dyDescent="0.25">
      <c r="A1487" t="s">
        <v>8009</v>
      </c>
    </row>
    <row r="1488" spans="1:1" x14ac:dyDescent="0.25">
      <c r="A1488" t="s">
        <v>8010</v>
      </c>
    </row>
    <row r="1489" spans="1:1" x14ac:dyDescent="0.25">
      <c r="A1489" t="s">
        <v>8011</v>
      </c>
    </row>
    <row r="1490" spans="1:1" x14ac:dyDescent="0.25">
      <c r="A1490" t="s">
        <v>8012</v>
      </c>
    </row>
    <row r="1491" spans="1:1" x14ac:dyDescent="0.25">
      <c r="A1491" t="s">
        <v>8013</v>
      </c>
    </row>
    <row r="1492" spans="1:1" x14ac:dyDescent="0.25">
      <c r="A1492" t="s">
        <v>8014</v>
      </c>
    </row>
    <row r="1493" spans="1:1" x14ac:dyDescent="0.25">
      <c r="A1493" t="s">
        <v>8015</v>
      </c>
    </row>
    <row r="1494" spans="1:1" x14ac:dyDescent="0.25">
      <c r="A1494" t="s">
        <v>8016</v>
      </c>
    </row>
    <row r="1495" spans="1:1" x14ac:dyDescent="0.25">
      <c r="A1495" t="s">
        <v>8017</v>
      </c>
    </row>
    <row r="1496" spans="1:1" x14ac:dyDescent="0.25">
      <c r="A1496" t="s">
        <v>8018</v>
      </c>
    </row>
    <row r="1497" spans="1:1" x14ac:dyDescent="0.25">
      <c r="A1497" t="s">
        <v>8019</v>
      </c>
    </row>
    <row r="1498" spans="1:1" x14ac:dyDescent="0.25">
      <c r="A1498" t="s">
        <v>8020</v>
      </c>
    </row>
    <row r="1499" spans="1:1" x14ac:dyDescent="0.25">
      <c r="A1499" t="s">
        <v>8021</v>
      </c>
    </row>
    <row r="1500" spans="1:1" x14ac:dyDescent="0.25">
      <c r="A1500" t="s">
        <v>8022</v>
      </c>
    </row>
    <row r="1501" spans="1:1" x14ac:dyDescent="0.25">
      <c r="A1501" t="s">
        <v>8023</v>
      </c>
    </row>
    <row r="1502" spans="1:1" x14ac:dyDescent="0.25">
      <c r="A1502" t="s">
        <v>8024</v>
      </c>
    </row>
    <row r="1503" spans="1:1" x14ac:dyDescent="0.25">
      <c r="A1503" t="s">
        <v>8025</v>
      </c>
    </row>
    <row r="1504" spans="1:1" x14ac:dyDescent="0.25">
      <c r="A1504" t="s">
        <v>8026</v>
      </c>
    </row>
    <row r="1505" spans="1:1" x14ac:dyDescent="0.25">
      <c r="A1505" t="s">
        <v>8027</v>
      </c>
    </row>
    <row r="1506" spans="1:1" x14ac:dyDescent="0.25">
      <c r="A1506" t="s">
        <v>8028</v>
      </c>
    </row>
    <row r="1507" spans="1:1" x14ac:dyDescent="0.25">
      <c r="A1507" t="s">
        <v>8029</v>
      </c>
    </row>
    <row r="1508" spans="1:1" x14ac:dyDescent="0.25">
      <c r="A1508" t="s">
        <v>8030</v>
      </c>
    </row>
    <row r="1509" spans="1:1" x14ac:dyDescent="0.25">
      <c r="A1509" t="s">
        <v>8031</v>
      </c>
    </row>
    <row r="1510" spans="1:1" x14ac:dyDescent="0.25">
      <c r="A1510" t="s">
        <v>8032</v>
      </c>
    </row>
    <row r="1511" spans="1:1" x14ac:dyDescent="0.25">
      <c r="A1511" t="s">
        <v>8033</v>
      </c>
    </row>
    <row r="1512" spans="1:1" x14ac:dyDescent="0.25">
      <c r="A1512" t="s">
        <v>8034</v>
      </c>
    </row>
    <row r="1513" spans="1:1" x14ac:dyDescent="0.25">
      <c r="A1513" t="s">
        <v>8035</v>
      </c>
    </row>
    <row r="1514" spans="1:1" x14ac:dyDescent="0.25">
      <c r="A1514" t="s">
        <v>8036</v>
      </c>
    </row>
    <row r="1515" spans="1:1" x14ac:dyDescent="0.25">
      <c r="A1515" t="s">
        <v>8037</v>
      </c>
    </row>
    <row r="1516" spans="1:1" x14ac:dyDescent="0.25">
      <c r="A1516" t="s">
        <v>8038</v>
      </c>
    </row>
    <row r="1517" spans="1:1" x14ac:dyDescent="0.25">
      <c r="A1517" t="s">
        <v>8039</v>
      </c>
    </row>
    <row r="1518" spans="1:1" x14ac:dyDescent="0.25">
      <c r="A1518" t="s">
        <v>7414</v>
      </c>
    </row>
    <row r="1519" spans="1:1" x14ac:dyDescent="0.25">
      <c r="A1519" t="s">
        <v>7416</v>
      </c>
    </row>
    <row r="1520" spans="1:1" x14ac:dyDescent="0.25">
      <c r="A1520" t="s">
        <v>7418</v>
      </c>
    </row>
    <row r="1521" spans="1:1" x14ac:dyDescent="0.25">
      <c r="A1521" t="s">
        <v>7433</v>
      </c>
    </row>
    <row r="1522" spans="1:1" x14ac:dyDescent="0.25">
      <c r="A1522" t="s">
        <v>7434</v>
      </c>
    </row>
    <row r="1523" spans="1:1" x14ac:dyDescent="0.25">
      <c r="A1523" t="s">
        <v>7435</v>
      </c>
    </row>
    <row r="1524" spans="1:1" x14ac:dyDescent="0.25">
      <c r="A1524" t="s">
        <v>7447</v>
      </c>
    </row>
    <row r="1525" spans="1:1" x14ac:dyDescent="0.25">
      <c r="A1525" t="s">
        <v>7454</v>
      </c>
    </row>
    <row r="1526" spans="1:1" x14ac:dyDescent="0.25">
      <c r="A1526" t="s">
        <v>7464</v>
      </c>
    </row>
    <row r="1527" spans="1:1" x14ac:dyDescent="0.25">
      <c r="A1527" t="s">
        <v>7465</v>
      </c>
    </row>
    <row r="1528" spans="1:1" x14ac:dyDescent="0.25">
      <c r="A1528" t="s">
        <v>7466</v>
      </c>
    </row>
    <row r="1529" spans="1:1" x14ac:dyDescent="0.25">
      <c r="A1529" t="s">
        <v>7469</v>
      </c>
    </row>
    <row r="1530" spans="1:1" x14ac:dyDescent="0.25">
      <c r="A1530" t="s">
        <v>7493</v>
      </c>
    </row>
    <row r="1531" spans="1:1" x14ac:dyDescent="0.25">
      <c r="A1531" t="s">
        <v>7496</v>
      </c>
    </row>
    <row r="1532" spans="1:1" x14ac:dyDescent="0.25">
      <c r="A1532" t="s">
        <v>7498</v>
      </c>
    </row>
    <row r="1533" spans="1:1" x14ac:dyDescent="0.25">
      <c r="A1533" t="s">
        <v>7505</v>
      </c>
    </row>
    <row r="1534" spans="1:1" x14ac:dyDescent="0.25">
      <c r="A1534" t="s">
        <v>7506</v>
      </c>
    </row>
    <row r="1535" spans="1:1" x14ac:dyDescent="0.25">
      <c r="A1535" t="s">
        <v>7508</v>
      </c>
    </row>
    <row r="1536" spans="1:1" x14ac:dyDescent="0.25">
      <c r="A1536" t="s">
        <v>7510</v>
      </c>
    </row>
    <row r="1537" spans="1:1" x14ac:dyDescent="0.25">
      <c r="A1537" t="s">
        <v>4368</v>
      </c>
    </row>
    <row r="1538" spans="1:1" x14ac:dyDescent="0.25">
      <c r="A1538" t="s">
        <v>7516</v>
      </c>
    </row>
    <row r="1539" spans="1:1" x14ac:dyDescent="0.25">
      <c r="A1539" t="s">
        <v>7517</v>
      </c>
    </row>
    <row r="1540" spans="1:1" x14ac:dyDescent="0.25">
      <c r="A1540" t="s">
        <v>7518</v>
      </c>
    </row>
    <row r="1541" spans="1:1" x14ac:dyDescent="0.25">
      <c r="A1541" t="s">
        <v>7522</v>
      </c>
    </row>
    <row r="1542" spans="1:1" x14ac:dyDescent="0.25">
      <c r="A1542" t="s">
        <v>7523</v>
      </c>
    </row>
    <row r="1543" spans="1:1" x14ac:dyDescent="0.25">
      <c r="A1543" t="s">
        <v>7524</v>
      </c>
    </row>
    <row r="1544" spans="1:1" x14ac:dyDescent="0.25">
      <c r="A1544" t="s">
        <v>7525</v>
      </c>
    </row>
    <row r="1545" spans="1:1" x14ac:dyDescent="0.25">
      <c r="A1545" t="s">
        <v>7526</v>
      </c>
    </row>
    <row r="1546" spans="1:1" x14ac:dyDescent="0.25">
      <c r="A1546" t="s">
        <v>7527</v>
      </c>
    </row>
    <row r="1547" spans="1:1" x14ac:dyDescent="0.25">
      <c r="A1547" t="s">
        <v>7528</v>
      </c>
    </row>
    <row r="1548" spans="1:1" x14ac:dyDescent="0.25">
      <c r="A1548" t="s">
        <v>7529</v>
      </c>
    </row>
    <row r="1549" spans="1:1" x14ac:dyDescent="0.25">
      <c r="A1549" t="s">
        <v>7530</v>
      </c>
    </row>
    <row r="1550" spans="1:1" x14ac:dyDescent="0.25">
      <c r="A1550" t="s">
        <v>7531</v>
      </c>
    </row>
    <row r="1551" spans="1:1" x14ac:dyDescent="0.25">
      <c r="A1551" t="s">
        <v>7532</v>
      </c>
    </row>
    <row r="1552" spans="1:1" x14ac:dyDescent="0.25">
      <c r="A1552" t="s">
        <v>7533</v>
      </c>
    </row>
    <row r="1553" spans="1:1" x14ac:dyDescent="0.25">
      <c r="A1553" t="s">
        <v>7534</v>
      </c>
    </row>
    <row r="1554" spans="1:1" x14ac:dyDescent="0.25">
      <c r="A1554" t="s">
        <v>7535</v>
      </c>
    </row>
    <row r="1555" spans="1:1" x14ac:dyDescent="0.25">
      <c r="A1555" t="s">
        <v>7536</v>
      </c>
    </row>
    <row r="1556" spans="1:1" x14ac:dyDescent="0.25">
      <c r="A1556" t="s">
        <v>7537</v>
      </c>
    </row>
    <row r="1557" spans="1:1" x14ac:dyDescent="0.25">
      <c r="A1557" t="s">
        <v>7538</v>
      </c>
    </row>
    <row r="1558" spans="1:1" x14ac:dyDescent="0.25">
      <c r="A1558" t="s">
        <v>7539</v>
      </c>
    </row>
    <row r="1559" spans="1:1" x14ac:dyDescent="0.25">
      <c r="A1559" t="s">
        <v>7540</v>
      </c>
    </row>
    <row r="1560" spans="1:1" x14ac:dyDescent="0.25">
      <c r="A1560" t="s">
        <v>7541</v>
      </c>
    </row>
    <row r="1561" spans="1:1" x14ac:dyDescent="0.25">
      <c r="A1561" t="s">
        <v>7542</v>
      </c>
    </row>
    <row r="1562" spans="1:1" x14ac:dyDescent="0.25">
      <c r="A1562" t="s">
        <v>7543</v>
      </c>
    </row>
    <row r="1563" spans="1:1" x14ac:dyDescent="0.25">
      <c r="A1563" t="s">
        <v>7544</v>
      </c>
    </row>
    <row r="1564" spans="1:1" x14ac:dyDescent="0.25">
      <c r="A1564" t="s">
        <v>7545</v>
      </c>
    </row>
    <row r="1565" spans="1:1" x14ac:dyDescent="0.25">
      <c r="A1565" t="s">
        <v>7546</v>
      </c>
    </row>
    <row r="1566" spans="1:1" x14ac:dyDescent="0.25">
      <c r="A1566" t="s">
        <v>7547</v>
      </c>
    </row>
    <row r="1567" spans="1:1" x14ac:dyDescent="0.25">
      <c r="A1567" t="s">
        <v>7548</v>
      </c>
    </row>
    <row r="1568" spans="1:1" x14ac:dyDescent="0.25">
      <c r="A1568" t="s">
        <v>7549</v>
      </c>
    </row>
    <row r="1569" spans="1:1" x14ac:dyDescent="0.25">
      <c r="A1569" t="s">
        <v>7550</v>
      </c>
    </row>
    <row r="1570" spans="1:1" x14ac:dyDescent="0.25">
      <c r="A1570" t="s">
        <v>7551</v>
      </c>
    </row>
    <row r="1571" spans="1:1" x14ac:dyDescent="0.25">
      <c r="A1571" t="s">
        <v>7552</v>
      </c>
    </row>
    <row r="1572" spans="1:1" x14ac:dyDescent="0.25">
      <c r="A1572" t="s">
        <v>7553</v>
      </c>
    </row>
    <row r="1573" spans="1:1" x14ac:dyDescent="0.25">
      <c r="A1573" t="s">
        <v>7554</v>
      </c>
    </row>
    <row r="1574" spans="1:1" x14ac:dyDescent="0.25">
      <c r="A1574" t="s">
        <v>8040</v>
      </c>
    </row>
    <row r="1575" spans="1:1" x14ac:dyDescent="0.25">
      <c r="A1575" t="s">
        <v>8041</v>
      </c>
    </row>
    <row r="1576" spans="1:1" x14ac:dyDescent="0.25">
      <c r="A1576" t="s">
        <v>8042</v>
      </c>
    </row>
    <row r="1577" spans="1:1" x14ac:dyDescent="0.25">
      <c r="A1577" t="s">
        <v>8043</v>
      </c>
    </row>
    <row r="1578" spans="1:1" x14ac:dyDescent="0.25">
      <c r="A1578" t="s">
        <v>8044</v>
      </c>
    </row>
    <row r="1579" spans="1:1" x14ac:dyDescent="0.25">
      <c r="A1579" t="s">
        <v>8045</v>
      </c>
    </row>
    <row r="1580" spans="1:1" x14ac:dyDescent="0.25">
      <c r="A1580" t="s">
        <v>8046</v>
      </c>
    </row>
    <row r="1581" spans="1:1" x14ac:dyDescent="0.25">
      <c r="A1581" t="s">
        <v>8047</v>
      </c>
    </row>
    <row r="1582" spans="1:1" x14ac:dyDescent="0.25">
      <c r="A1582" t="s">
        <v>8048</v>
      </c>
    </row>
    <row r="1583" spans="1:1" x14ac:dyDescent="0.25">
      <c r="A1583" t="s">
        <v>8049</v>
      </c>
    </row>
    <row r="1584" spans="1:1" x14ac:dyDescent="0.25">
      <c r="A1584" t="s">
        <v>8050</v>
      </c>
    </row>
    <row r="1585" spans="1:1" x14ac:dyDescent="0.25">
      <c r="A1585" t="s">
        <v>8051</v>
      </c>
    </row>
    <row r="1586" spans="1:1" x14ac:dyDescent="0.25">
      <c r="A1586" t="s">
        <v>8052</v>
      </c>
    </row>
    <row r="1587" spans="1:1" x14ac:dyDescent="0.25">
      <c r="A1587" t="s">
        <v>8053</v>
      </c>
    </row>
    <row r="1588" spans="1:1" x14ac:dyDescent="0.25">
      <c r="A1588" t="s">
        <v>8054</v>
      </c>
    </row>
    <row r="1589" spans="1:1" x14ac:dyDescent="0.25">
      <c r="A1589" t="s">
        <v>8055</v>
      </c>
    </row>
    <row r="1590" spans="1:1" x14ac:dyDescent="0.25">
      <c r="A1590" t="s">
        <v>8056</v>
      </c>
    </row>
    <row r="1591" spans="1:1" x14ac:dyDescent="0.25">
      <c r="A1591" t="s">
        <v>8057</v>
      </c>
    </row>
    <row r="1592" spans="1:1" x14ac:dyDescent="0.25">
      <c r="A1592" t="s">
        <v>8058</v>
      </c>
    </row>
    <row r="1593" spans="1:1" x14ac:dyDescent="0.25">
      <c r="A1593" t="s">
        <v>8059</v>
      </c>
    </row>
    <row r="1594" spans="1:1" x14ac:dyDescent="0.25">
      <c r="A1594" t="s">
        <v>8060</v>
      </c>
    </row>
    <row r="1595" spans="1:1" x14ac:dyDescent="0.25">
      <c r="A1595" t="s">
        <v>8061</v>
      </c>
    </row>
    <row r="1596" spans="1:1" x14ac:dyDescent="0.25">
      <c r="A1596" t="s">
        <v>8062</v>
      </c>
    </row>
    <row r="1597" spans="1:1" x14ac:dyDescent="0.25">
      <c r="A1597" t="s">
        <v>8063</v>
      </c>
    </row>
    <row r="1598" spans="1:1" x14ac:dyDescent="0.25">
      <c r="A1598" t="s">
        <v>8064</v>
      </c>
    </row>
    <row r="1599" spans="1:1" x14ac:dyDescent="0.25">
      <c r="A1599" t="s">
        <v>8065</v>
      </c>
    </row>
    <row r="1600" spans="1:1" x14ac:dyDescent="0.25">
      <c r="A1600" t="s">
        <v>8066</v>
      </c>
    </row>
    <row r="1601" spans="1:1" x14ac:dyDescent="0.25">
      <c r="A1601" t="s">
        <v>8067</v>
      </c>
    </row>
    <row r="1602" spans="1:1" x14ac:dyDescent="0.25">
      <c r="A1602" t="s">
        <v>8068</v>
      </c>
    </row>
    <row r="1603" spans="1:1" x14ac:dyDescent="0.25">
      <c r="A1603" t="s">
        <v>8069</v>
      </c>
    </row>
    <row r="1604" spans="1:1" x14ac:dyDescent="0.25">
      <c r="A1604" t="s">
        <v>8070</v>
      </c>
    </row>
    <row r="1605" spans="1:1" x14ac:dyDescent="0.25">
      <c r="A1605" t="s">
        <v>8071</v>
      </c>
    </row>
    <row r="1606" spans="1:1" x14ac:dyDescent="0.25">
      <c r="A1606" t="s">
        <v>8072</v>
      </c>
    </row>
    <row r="1607" spans="1:1" x14ac:dyDescent="0.25">
      <c r="A1607" t="s">
        <v>8073</v>
      </c>
    </row>
    <row r="1608" spans="1:1" x14ac:dyDescent="0.25">
      <c r="A1608" t="s">
        <v>8074</v>
      </c>
    </row>
    <row r="1609" spans="1:1" x14ac:dyDescent="0.25">
      <c r="A1609" t="s">
        <v>8075</v>
      </c>
    </row>
    <row r="1610" spans="1:1" x14ac:dyDescent="0.25">
      <c r="A1610" t="s">
        <v>8076</v>
      </c>
    </row>
    <row r="1611" spans="1:1" x14ac:dyDescent="0.25">
      <c r="A1611" t="s">
        <v>8077</v>
      </c>
    </row>
    <row r="1612" spans="1:1" x14ac:dyDescent="0.25">
      <c r="A1612" t="s">
        <v>8078</v>
      </c>
    </row>
    <row r="1613" spans="1:1" x14ac:dyDescent="0.25">
      <c r="A1613" t="s">
        <v>8079</v>
      </c>
    </row>
    <row r="1614" spans="1:1" x14ac:dyDescent="0.25">
      <c r="A1614" t="s">
        <v>8080</v>
      </c>
    </row>
    <row r="1615" spans="1:1" x14ac:dyDescent="0.25">
      <c r="A1615" t="s">
        <v>8081</v>
      </c>
    </row>
    <row r="1616" spans="1:1" x14ac:dyDescent="0.25">
      <c r="A1616" t="s">
        <v>8082</v>
      </c>
    </row>
    <row r="1617" spans="1:1" x14ac:dyDescent="0.25">
      <c r="A1617" t="s">
        <v>8083</v>
      </c>
    </row>
    <row r="1618" spans="1:1" x14ac:dyDescent="0.25">
      <c r="A1618" t="s">
        <v>8084</v>
      </c>
    </row>
    <row r="1619" spans="1:1" x14ac:dyDescent="0.25">
      <c r="A1619" t="s">
        <v>8085</v>
      </c>
    </row>
    <row r="1620" spans="1:1" x14ac:dyDescent="0.25">
      <c r="A1620" t="s">
        <v>8086</v>
      </c>
    </row>
    <row r="1621" spans="1:1" x14ac:dyDescent="0.25">
      <c r="A1621" t="s">
        <v>8087</v>
      </c>
    </row>
    <row r="1622" spans="1:1" x14ac:dyDescent="0.25">
      <c r="A1622" t="s">
        <v>8088</v>
      </c>
    </row>
    <row r="1623" spans="1:1" x14ac:dyDescent="0.25">
      <c r="A1623" t="s">
        <v>8089</v>
      </c>
    </row>
    <row r="1624" spans="1:1" x14ac:dyDescent="0.25">
      <c r="A1624" t="s">
        <v>8090</v>
      </c>
    </row>
    <row r="1625" spans="1:1" x14ac:dyDescent="0.25">
      <c r="A1625" t="s">
        <v>8091</v>
      </c>
    </row>
    <row r="1626" spans="1:1" x14ac:dyDescent="0.25">
      <c r="A1626" t="s">
        <v>8092</v>
      </c>
    </row>
    <row r="1627" spans="1:1" x14ac:dyDescent="0.25">
      <c r="A1627" t="s">
        <v>8093</v>
      </c>
    </row>
    <row r="1628" spans="1:1" x14ac:dyDescent="0.25">
      <c r="A1628" t="s">
        <v>8094</v>
      </c>
    </row>
    <row r="1629" spans="1:1" x14ac:dyDescent="0.25">
      <c r="A1629" t="s">
        <v>8095</v>
      </c>
    </row>
    <row r="1630" spans="1:1" x14ac:dyDescent="0.25">
      <c r="A1630" t="s">
        <v>8096</v>
      </c>
    </row>
    <row r="1631" spans="1:1" x14ac:dyDescent="0.25">
      <c r="A1631" t="s">
        <v>8097</v>
      </c>
    </row>
    <row r="1632" spans="1:1" x14ac:dyDescent="0.25">
      <c r="A1632" t="s">
        <v>8098</v>
      </c>
    </row>
    <row r="1633" spans="1:1" x14ac:dyDescent="0.25">
      <c r="A1633" t="s">
        <v>8099</v>
      </c>
    </row>
    <row r="1634" spans="1:1" x14ac:dyDescent="0.25">
      <c r="A1634" t="s">
        <v>8100</v>
      </c>
    </row>
    <row r="1635" spans="1:1" x14ac:dyDescent="0.25">
      <c r="A1635" t="s">
        <v>8101</v>
      </c>
    </row>
    <row r="1636" spans="1:1" x14ac:dyDescent="0.25">
      <c r="A1636" t="s">
        <v>8102</v>
      </c>
    </row>
    <row r="1637" spans="1:1" x14ac:dyDescent="0.25">
      <c r="A1637" t="s">
        <v>8103</v>
      </c>
    </row>
    <row r="1638" spans="1:1" x14ac:dyDescent="0.25">
      <c r="A1638" t="s">
        <v>8104</v>
      </c>
    </row>
    <row r="1639" spans="1:1" x14ac:dyDescent="0.25">
      <c r="A1639" t="s">
        <v>8105</v>
      </c>
    </row>
    <row r="1640" spans="1:1" x14ac:dyDescent="0.25">
      <c r="A1640" t="s">
        <v>8106</v>
      </c>
    </row>
    <row r="1641" spans="1:1" x14ac:dyDescent="0.25">
      <c r="A1641" t="s">
        <v>8107</v>
      </c>
    </row>
    <row r="1642" spans="1:1" x14ac:dyDescent="0.25">
      <c r="A1642" t="s">
        <v>8108</v>
      </c>
    </row>
    <row r="1643" spans="1:1" x14ac:dyDescent="0.25">
      <c r="A1643" t="s">
        <v>8109</v>
      </c>
    </row>
    <row r="1644" spans="1:1" x14ac:dyDescent="0.25">
      <c r="A1644" t="s">
        <v>8110</v>
      </c>
    </row>
    <row r="1645" spans="1:1" x14ac:dyDescent="0.25">
      <c r="A1645" t="s">
        <v>8111</v>
      </c>
    </row>
    <row r="1646" spans="1:1" x14ac:dyDescent="0.25">
      <c r="A1646" t="s">
        <v>8112</v>
      </c>
    </row>
    <row r="1647" spans="1:1" x14ac:dyDescent="0.25">
      <c r="A1647" t="s">
        <v>8113</v>
      </c>
    </row>
    <row r="1648" spans="1:1" x14ac:dyDescent="0.25">
      <c r="A1648" t="s">
        <v>8114</v>
      </c>
    </row>
    <row r="1649" spans="1:1" x14ac:dyDescent="0.25">
      <c r="A1649" t="s">
        <v>8115</v>
      </c>
    </row>
    <row r="1650" spans="1:1" x14ac:dyDescent="0.25">
      <c r="A1650" t="s">
        <v>8116</v>
      </c>
    </row>
    <row r="1651" spans="1:1" x14ac:dyDescent="0.25">
      <c r="A1651" t="s">
        <v>8117</v>
      </c>
    </row>
    <row r="1652" spans="1:1" x14ac:dyDescent="0.25">
      <c r="A1652" t="s">
        <v>8118</v>
      </c>
    </row>
    <row r="1653" spans="1:1" x14ac:dyDescent="0.25">
      <c r="A1653" t="s">
        <v>8119</v>
      </c>
    </row>
    <row r="1654" spans="1:1" x14ac:dyDescent="0.25">
      <c r="A1654" t="s">
        <v>8120</v>
      </c>
    </row>
    <row r="1655" spans="1:1" x14ac:dyDescent="0.25">
      <c r="A1655" t="s">
        <v>8121</v>
      </c>
    </row>
    <row r="1656" spans="1:1" x14ac:dyDescent="0.25">
      <c r="A1656" t="s">
        <v>8122</v>
      </c>
    </row>
    <row r="1657" spans="1:1" x14ac:dyDescent="0.25">
      <c r="A1657" t="s">
        <v>8123</v>
      </c>
    </row>
    <row r="1658" spans="1:1" x14ac:dyDescent="0.25">
      <c r="A1658" t="s">
        <v>8124</v>
      </c>
    </row>
    <row r="1659" spans="1:1" x14ac:dyDescent="0.25">
      <c r="A1659" t="s">
        <v>8125</v>
      </c>
    </row>
    <row r="1660" spans="1:1" x14ac:dyDescent="0.25">
      <c r="A1660" t="s">
        <v>8126</v>
      </c>
    </row>
    <row r="1661" spans="1:1" x14ac:dyDescent="0.25">
      <c r="A1661" t="s">
        <v>8127</v>
      </c>
    </row>
    <row r="1662" spans="1:1" x14ac:dyDescent="0.25">
      <c r="A1662" t="s">
        <v>8128</v>
      </c>
    </row>
    <row r="1663" spans="1:1" x14ac:dyDescent="0.25">
      <c r="A1663" t="s">
        <v>8129</v>
      </c>
    </row>
    <row r="1664" spans="1:1" x14ac:dyDescent="0.25">
      <c r="A1664" t="s">
        <v>8130</v>
      </c>
    </row>
    <row r="1665" spans="1:1" x14ac:dyDescent="0.25">
      <c r="A1665" t="s">
        <v>8131</v>
      </c>
    </row>
    <row r="1666" spans="1:1" x14ac:dyDescent="0.25">
      <c r="A1666" t="s">
        <v>8132</v>
      </c>
    </row>
    <row r="1667" spans="1:1" x14ac:dyDescent="0.25">
      <c r="A1667" t="s">
        <v>8133</v>
      </c>
    </row>
    <row r="1668" spans="1:1" x14ac:dyDescent="0.25">
      <c r="A1668" t="s">
        <v>8134</v>
      </c>
    </row>
    <row r="1669" spans="1:1" x14ac:dyDescent="0.25">
      <c r="A1669" t="s">
        <v>8135</v>
      </c>
    </row>
    <row r="1670" spans="1:1" x14ac:dyDescent="0.25">
      <c r="A1670" t="s">
        <v>8136</v>
      </c>
    </row>
    <row r="1671" spans="1:1" x14ac:dyDescent="0.25">
      <c r="A1671" t="s">
        <v>8137</v>
      </c>
    </row>
    <row r="1672" spans="1:1" x14ac:dyDescent="0.25">
      <c r="A1672" t="s">
        <v>8138</v>
      </c>
    </row>
    <row r="1673" spans="1:1" x14ac:dyDescent="0.25">
      <c r="A1673" t="s">
        <v>8139</v>
      </c>
    </row>
    <row r="1674" spans="1:1" x14ac:dyDescent="0.25">
      <c r="A1674" t="s">
        <v>8140</v>
      </c>
    </row>
    <row r="1675" spans="1:1" x14ac:dyDescent="0.25">
      <c r="A1675" t="s">
        <v>8141</v>
      </c>
    </row>
    <row r="1676" spans="1:1" x14ac:dyDescent="0.25">
      <c r="A1676" t="s">
        <v>8142</v>
      </c>
    </row>
    <row r="1677" spans="1:1" x14ac:dyDescent="0.25">
      <c r="A1677" t="s">
        <v>8143</v>
      </c>
    </row>
    <row r="1678" spans="1:1" x14ac:dyDescent="0.25">
      <c r="A1678" t="s">
        <v>8144</v>
      </c>
    </row>
    <row r="1679" spans="1:1" x14ac:dyDescent="0.25">
      <c r="A1679" t="s">
        <v>8145</v>
      </c>
    </row>
    <row r="1680" spans="1:1" x14ac:dyDescent="0.25">
      <c r="A1680" t="s">
        <v>8146</v>
      </c>
    </row>
    <row r="1681" spans="1:1" x14ac:dyDescent="0.25">
      <c r="A1681" t="s">
        <v>8147</v>
      </c>
    </row>
    <row r="1682" spans="1:1" x14ac:dyDescent="0.25">
      <c r="A1682" t="s">
        <v>8148</v>
      </c>
    </row>
    <row r="1683" spans="1:1" x14ac:dyDescent="0.25">
      <c r="A1683" t="s">
        <v>8149</v>
      </c>
    </row>
    <row r="1684" spans="1:1" x14ac:dyDescent="0.25">
      <c r="A1684" t="s">
        <v>8150</v>
      </c>
    </row>
    <row r="1685" spans="1:1" x14ac:dyDescent="0.25">
      <c r="A1685" t="s">
        <v>8151</v>
      </c>
    </row>
    <row r="1686" spans="1:1" x14ac:dyDescent="0.25">
      <c r="A1686" t="s">
        <v>8152</v>
      </c>
    </row>
    <row r="1687" spans="1:1" x14ac:dyDescent="0.25">
      <c r="A1687" t="s">
        <v>8153</v>
      </c>
    </row>
    <row r="1688" spans="1:1" x14ac:dyDescent="0.25">
      <c r="A1688" t="s">
        <v>8154</v>
      </c>
    </row>
    <row r="1689" spans="1:1" x14ac:dyDescent="0.25">
      <c r="A1689" t="s">
        <v>8155</v>
      </c>
    </row>
    <row r="1690" spans="1:1" x14ac:dyDescent="0.25">
      <c r="A1690" t="s">
        <v>8156</v>
      </c>
    </row>
    <row r="1691" spans="1:1" x14ac:dyDescent="0.25">
      <c r="A1691" t="s">
        <v>8157</v>
      </c>
    </row>
    <row r="1692" spans="1:1" x14ac:dyDescent="0.25">
      <c r="A1692" t="s">
        <v>8158</v>
      </c>
    </row>
    <row r="1693" spans="1:1" x14ac:dyDescent="0.25">
      <c r="A1693" t="s">
        <v>8159</v>
      </c>
    </row>
    <row r="1694" spans="1:1" x14ac:dyDescent="0.25">
      <c r="A1694" t="s">
        <v>8160</v>
      </c>
    </row>
    <row r="1695" spans="1:1" x14ac:dyDescent="0.25">
      <c r="A1695" t="s">
        <v>8161</v>
      </c>
    </row>
    <row r="1696" spans="1:1" x14ac:dyDescent="0.25">
      <c r="A1696" t="s">
        <v>8162</v>
      </c>
    </row>
    <row r="1697" spans="1:1" x14ac:dyDescent="0.25">
      <c r="A1697" t="s">
        <v>8163</v>
      </c>
    </row>
    <row r="1698" spans="1:1" x14ac:dyDescent="0.25">
      <c r="A1698" t="s">
        <v>8164</v>
      </c>
    </row>
    <row r="1699" spans="1:1" x14ac:dyDescent="0.25">
      <c r="A1699" t="s">
        <v>8165</v>
      </c>
    </row>
    <row r="1700" spans="1:1" x14ac:dyDescent="0.25">
      <c r="A1700" t="s">
        <v>8166</v>
      </c>
    </row>
    <row r="1701" spans="1:1" x14ac:dyDescent="0.25">
      <c r="A1701" t="s">
        <v>8167</v>
      </c>
    </row>
    <row r="1702" spans="1:1" x14ac:dyDescent="0.25">
      <c r="A1702" t="s">
        <v>8168</v>
      </c>
    </row>
    <row r="1703" spans="1:1" x14ac:dyDescent="0.25">
      <c r="A1703" t="s">
        <v>8169</v>
      </c>
    </row>
    <row r="1704" spans="1:1" x14ac:dyDescent="0.25">
      <c r="A1704" t="s">
        <v>8170</v>
      </c>
    </row>
    <row r="1705" spans="1:1" x14ac:dyDescent="0.25">
      <c r="A1705" t="s">
        <v>8171</v>
      </c>
    </row>
    <row r="1706" spans="1:1" x14ac:dyDescent="0.25">
      <c r="A1706" t="s">
        <v>8172</v>
      </c>
    </row>
    <row r="1707" spans="1:1" x14ac:dyDescent="0.25">
      <c r="A1707" t="s">
        <v>8173</v>
      </c>
    </row>
    <row r="1708" spans="1:1" x14ac:dyDescent="0.25">
      <c r="A1708" t="s">
        <v>8174</v>
      </c>
    </row>
    <row r="1709" spans="1:1" x14ac:dyDescent="0.25">
      <c r="A1709" t="s">
        <v>8175</v>
      </c>
    </row>
    <row r="1710" spans="1:1" x14ac:dyDescent="0.25">
      <c r="A1710" t="s">
        <v>8176</v>
      </c>
    </row>
    <row r="1711" spans="1:1" x14ac:dyDescent="0.25">
      <c r="A1711" t="s">
        <v>8177</v>
      </c>
    </row>
    <row r="1712" spans="1:1" x14ac:dyDescent="0.25">
      <c r="A1712" t="s">
        <v>8178</v>
      </c>
    </row>
    <row r="1713" spans="1:1" x14ac:dyDescent="0.25">
      <c r="A1713" t="s">
        <v>8179</v>
      </c>
    </row>
    <row r="1714" spans="1:1" x14ac:dyDescent="0.25">
      <c r="A1714" t="s">
        <v>8180</v>
      </c>
    </row>
    <row r="1715" spans="1:1" x14ac:dyDescent="0.25">
      <c r="A1715" t="s">
        <v>8181</v>
      </c>
    </row>
    <row r="1716" spans="1:1" x14ac:dyDescent="0.25">
      <c r="A1716" t="s">
        <v>8182</v>
      </c>
    </row>
    <row r="1717" spans="1:1" x14ac:dyDescent="0.25">
      <c r="A1717" t="s">
        <v>8183</v>
      </c>
    </row>
    <row r="1718" spans="1:1" x14ac:dyDescent="0.25">
      <c r="A1718" t="s">
        <v>8184</v>
      </c>
    </row>
    <row r="1719" spans="1:1" x14ac:dyDescent="0.25">
      <c r="A1719" t="s">
        <v>8185</v>
      </c>
    </row>
    <row r="1720" spans="1:1" x14ac:dyDescent="0.25">
      <c r="A1720" t="s">
        <v>8186</v>
      </c>
    </row>
    <row r="1721" spans="1:1" x14ac:dyDescent="0.25">
      <c r="A1721" t="s">
        <v>8187</v>
      </c>
    </row>
    <row r="1722" spans="1:1" x14ac:dyDescent="0.25">
      <c r="A1722" t="s">
        <v>8188</v>
      </c>
    </row>
    <row r="1723" spans="1:1" x14ac:dyDescent="0.25">
      <c r="A1723" t="s">
        <v>8189</v>
      </c>
    </row>
    <row r="1724" spans="1:1" x14ac:dyDescent="0.25">
      <c r="A1724" t="s">
        <v>8190</v>
      </c>
    </row>
    <row r="1725" spans="1:1" x14ac:dyDescent="0.25">
      <c r="A1725" t="s">
        <v>8191</v>
      </c>
    </row>
    <row r="1726" spans="1:1" x14ac:dyDescent="0.25">
      <c r="A1726" t="s">
        <v>8192</v>
      </c>
    </row>
    <row r="1727" spans="1:1" x14ac:dyDescent="0.25">
      <c r="A1727" t="s">
        <v>8193</v>
      </c>
    </row>
    <row r="1728" spans="1:1" x14ac:dyDescent="0.25">
      <c r="A1728" t="s">
        <v>8194</v>
      </c>
    </row>
    <row r="1729" spans="1:1" x14ac:dyDescent="0.25">
      <c r="A1729" t="s">
        <v>8195</v>
      </c>
    </row>
    <row r="1730" spans="1:1" x14ac:dyDescent="0.25">
      <c r="A1730" t="s">
        <v>8196</v>
      </c>
    </row>
    <row r="1731" spans="1:1" x14ac:dyDescent="0.25">
      <c r="A1731" t="s">
        <v>8197</v>
      </c>
    </row>
    <row r="1732" spans="1:1" x14ac:dyDescent="0.25">
      <c r="A1732" t="s">
        <v>8198</v>
      </c>
    </row>
    <row r="1733" spans="1:1" x14ac:dyDescent="0.25">
      <c r="A1733" t="s">
        <v>8199</v>
      </c>
    </row>
    <row r="1734" spans="1:1" x14ac:dyDescent="0.25">
      <c r="A1734" t="s">
        <v>8200</v>
      </c>
    </row>
    <row r="1735" spans="1:1" x14ac:dyDescent="0.25">
      <c r="A1735" t="s">
        <v>8201</v>
      </c>
    </row>
    <row r="1736" spans="1:1" x14ac:dyDescent="0.25">
      <c r="A1736" t="s">
        <v>8202</v>
      </c>
    </row>
    <row r="1737" spans="1:1" x14ac:dyDescent="0.25">
      <c r="A1737" t="s">
        <v>8203</v>
      </c>
    </row>
    <row r="1738" spans="1:1" x14ac:dyDescent="0.25">
      <c r="A1738" t="s">
        <v>8204</v>
      </c>
    </row>
    <row r="1739" spans="1:1" x14ac:dyDescent="0.25">
      <c r="A1739" t="s">
        <v>8205</v>
      </c>
    </row>
    <row r="1740" spans="1:1" x14ac:dyDescent="0.25">
      <c r="A1740" t="s">
        <v>8206</v>
      </c>
    </row>
    <row r="1741" spans="1:1" x14ac:dyDescent="0.25">
      <c r="A1741" t="s">
        <v>8207</v>
      </c>
    </row>
    <row r="1742" spans="1:1" x14ac:dyDescent="0.25">
      <c r="A1742" t="s">
        <v>8208</v>
      </c>
    </row>
    <row r="1743" spans="1:1" x14ac:dyDescent="0.25">
      <c r="A1743" t="s">
        <v>8209</v>
      </c>
    </row>
    <row r="1744" spans="1:1" x14ac:dyDescent="0.25">
      <c r="A1744" t="s">
        <v>8210</v>
      </c>
    </row>
    <row r="1745" spans="1:1" x14ac:dyDescent="0.25">
      <c r="A1745" t="s">
        <v>8211</v>
      </c>
    </row>
    <row r="1746" spans="1:1" x14ac:dyDescent="0.25">
      <c r="A1746" t="s">
        <v>8212</v>
      </c>
    </row>
    <row r="1747" spans="1:1" x14ac:dyDescent="0.25">
      <c r="A1747" t="s">
        <v>8213</v>
      </c>
    </row>
    <row r="1748" spans="1:1" x14ac:dyDescent="0.25">
      <c r="A1748" t="s">
        <v>8214</v>
      </c>
    </row>
    <row r="1749" spans="1:1" x14ac:dyDescent="0.25">
      <c r="A1749" t="s">
        <v>8215</v>
      </c>
    </row>
    <row r="1750" spans="1:1" x14ac:dyDescent="0.25">
      <c r="A1750" t="s">
        <v>8216</v>
      </c>
    </row>
    <row r="1751" spans="1:1" x14ac:dyDescent="0.25">
      <c r="A1751" t="s">
        <v>8217</v>
      </c>
    </row>
    <row r="1752" spans="1:1" x14ac:dyDescent="0.25">
      <c r="A1752" t="s">
        <v>8218</v>
      </c>
    </row>
    <row r="1753" spans="1:1" x14ac:dyDescent="0.25">
      <c r="A1753" t="s">
        <v>8219</v>
      </c>
    </row>
    <row r="1754" spans="1:1" x14ac:dyDescent="0.25">
      <c r="A1754" t="s">
        <v>8220</v>
      </c>
    </row>
    <row r="1755" spans="1:1" x14ac:dyDescent="0.25">
      <c r="A1755" t="s">
        <v>8221</v>
      </c>
    </row>
    <row r="1756" spans="1:1" x14ac:dyDescent="0.25">
      <c r="A1756" t="s">
        <v>8222</v>
      </c>
    </row>
    <row r="1757" spans="1:1" x14ac:dyDescent="0.25">
      <c r="A1757" t="s">
        <v>8223</v>
      </c>
    </row>
    <row r="1758" spans="1:1" x14ac:dyDescent="0.25">
      <c r="A1758" t="s">
        <v>8224</v>
      </c>
    </row>
    <row r="1759" spans="1:1" x14ac:dyDescent="0.25">
      <c r="A1759" t="s">
        <v>8225</v>
      </c>
    </row>
    <row r="1760" spans="1:1" x14ac:dyDescent="0.25">
      <c r="A1760" t="s">
        <v>8226</v>
      </c>
    </row>
    <row r="1761" spans="1:1" x14ac:dyDescent="0.25">
      <c r="A1761" t="s">
        <v>8227</v>
      </c>
    </row>
    <row r="1762" spans="1:1" x14ac:dyDescent="0.25">
      <c r="A1762" t="s">
        <v>8228</v>
      </c>
    </row>
    <row r="1763" spans="1:1" x14ac:dyDescent="0.25">
      <c r="A1763" t="s">
        <v>8229</v>
      </c>
    </row>
    <row r="1764" spans="1:1" x14ac:dyDescent="0.25">
      <c r="A1764" t="s">
        <v>8230</v>
      </c>
    </row>
    <row r="1765" spans="1:1" x14ac:dyDescent="0.25">
      <c r="A1765" t="s">
        <v>8231</v>
      </c>
    </row>
    <row r="1766" spans="1:1" x14ac:dyDescent="0.25">
      <c r="A1766" t="s">
        <v>8232</v>
      </c>
    </row>
    <row r="1767" spans="1:1" x14ac:dyDescent="0.25">
      <c r="A1767" t="s">
        <v>8233</v>
      </c>
    </row>
    <row r="1768" spans="1:1" x14ac:dyDescent="0.25">
      <c r="A1768" t="s">
        <v>8234</v>
      </c>
    </row>
    <row r="1769" spans="1:1" x14ac:dyDescent="0.25">
      <c r="A1769" t="s">
        <v>8235</v>
      </c>
    </row>
    <row r="1770" spans="1:1" x14ac:dyDescent="0.25">
      <c r="A1770" t="s">
        <v>8236</v>
      </c>
    </row>
    <row r="1771" spans="1:1" x14ac:dyDescent="0.25">
      <c r="A1771" t="s">
        <v>8237</v>
      </c>
    </row>
    <row r="1772" spans="1:1" x14ac:dyDescent="0.25">
      <c r="A1772" t="s">
        <v>8238</v>
      </c>
    </row>
    <row r="1773" spans="1:1" x14ac:dyDescent="0.25">
      <c r="A1773" t="s">
        <v>8239</v>
      </c>
    </row>
    <row r="1774" spans="1:1" x14ac:dyDescent="0.25">
      <c r="A1774" t="s">
        <v>8240</v>
      </c>
    </row>
    <row r="1775" spans="1:1" x14ac:dyDescent="0.25">
      <c r="A1775" t="s">
        <v>8241</v>
      </c>
    </row>
    <row r="1776" spans="1:1" x14ac:dyDescent="0.25">
      <c r="A1776" t="s">
        <v>8242</v>
      </c>
    </row>
    <row r="1777" spans="1:1" x14ac:dyDescent="0.25">
      <c r="A1777" t="s">
        <v>8243</v>
      </c>
    </row>
    <row r="1778" spans="1:1" x14ac:dyDescent="0.25">
      <c r="A1778" t="s">
        <v>8244</v>
      </c>
    </row>
    <row r="1779" spans="1:1" x14ac:dyDescent="0.25">
      <c r="A1779" t="s">
        <v>8245</v>
      </c>
    </row>
    <row r="1780" spans="1:1" x14ac:dyDescent="0.25">
      <c r="A1780" t="s">
        <v>8246</v>
      </c>
    </row>
    <row r="1781" spans="1:1" x14ac:dyDescent="0.25">
      <c r="A1781" t="s">
        <v>8247</v>
      </c>
    </row>
    <row r="1782" spans="1:1" x14ac:dyDescent="0.25">
      <c r="A1782" t="s">
        <v>8248</v>
      </c>
    </row>
    <row r="1783" spans="1:1" x14ac:dyDescent="0.25">
      <c r="A1783" t="s">
        <v>8249</v>
      </c>
    </row>
    <row r="1784" spans="1:1" x14ac:dyDescent="0.25">
      <c r="A1784" t="s">
        <v>8250</v>
      </c>
    </row>
    <row r="1785" spans="1:1" x14ac:dyDescent="0.25">
      <c r="A1785" t="s">
        <v>8251</v>
      </c>
    </row>
    <row r="1786" spans="1:1" x14ac:dyDescent="0.25">
      <c r="A1786" t="s">
        <v>8252</v>
      </c>
    </row>
    <row r="1787" spans="1:1" x14ac:dyDescent="0.25">
      <c r="A1787" t="s">
        <v>8253</v>
      </c>
    </row>
    <row r="1788" spans="1:1" x14ac:dyDescent="0.25">
      <c r="A1788" t="s">
        <v>8254</v>
      </c>
    </row>
    <row r="1789" spans="1:1" x14ac:dyDescent="0.25">
      <c r="A1789" t="s">
        <v>8255</v>
      </c>
    </row>
    <row r="1790" spans="1:1" x14ac:dyDescent="0.25">
      <c r="A1790" t="s">
        <v>8256</v>
      </c>
    </row>
    <row r="1791" spans="1:1" x14ac:dyDescent="0.25">
      <c r="A1791" t="s">
        <v>8257</v>
      </c>
    </row>
    <row r="1792" spans="1:1" x14ac:dyDescent="0.25">
      <c r="A1792" t="s">
        <v>8258</v>
      </c>
    </row>
    <row r="1793" spans="1:1" x14ac:dyDescent="0.25">
      <c r="A1793" t="s">
        <v>8259</v>
      </c>
    </row>
    <row r="1794" spans="1:1" x14ac:dyDescent="0.25">
      <c r="A1794" t="s">
        <v>8260</v>
      </c>
    </row>
    <row r="1795" spans="1:1" x14ac:dyDescent="0.25">
      <c r="A1795" t="s">
        <v>8261</v>
      </c>
    </row>
    <row r="1796" spans="1:1" x14ac:dyDescent="0.25">
      <c r="A1796" t="s">
        <v>8262</v>
      </c>
    </row>
    <row r="1797" spans="1:1" x14ac:dyDescent="0.25">
      <c r="A1797" t="s">
        <v>8263</v>
      </c>
    </row>
    <row r="1798" spans="1:1" x14ac:dyDescent="0.25">
      <c r="A1798" t="s">
        <v>8264</v>
      </c>
    </row>
    <row r="1799" spans="1:1" x14ac:dyDescent="0.25">
      <c r="A1799" t="s">
        <v>8265</v>
      </c>
    </row>
    <row r="1800" spans="1:1" x14ac:dyDescent="0.25">
      <c r="A1800" t="s">
        <v>8266</v>
      </c>
    </row>
    <row r="1801" spans="1:1" x14ac:dyDescent="0.25">
      <c r="A1801" t="s">
        <v>8267</v>
      </c>
    </row>
    <row r="1802" spans="1:1" x14ac:dyDescent="0.25">
      <c r="A1802" t="s">
        <v>8268</v>
      </c>
    </row>
    <row r="1803" spans="1:1" x14ac:dyDescent="0.25">
      <c r="A1803" t="s">
        <v>8269</v>
      </c>
    </row>
    <row r="1804" spans="1:1" x14ac:dyDescent="0.25">
      <c r="A1804" t="s">
        <v>8270</v>
      </c>
    </row>
    <row r="1805" spans="1:1" x14ac:dyDescent="0.25">
      <c r="A1805" t="s">
        <v>8271</v>
      </c>
    </row>
    <row r="1806" spans="1:1" x14ac:dyDescent="0.25">
      <c r="A1806" t="s">
        <v>8272</v>
      </c>
    </row>
    <row r="1807" spans="1:1" x14ac:dyDescent="0.25">
      <c r="A1807" t="s">
        <v>8273</v>
      </c>
    </row>
    <row r="1808" spans="1:1" x14ac:dyDescent="0.25">
      <c r="A1808" t="s">
        <v>8274</v>
      </c>
    </row>
    <row r="1809" spans="1:1" x14ac:dyDescent="0.25">
      <c r="A1809" t="s">
        <v>8275</v>
      </c>
    </row>
    <row r="1810" spans="1:1" x14ac:dyDescent="0.25">
      <c r="A1810" t="s">
        <v>8276</v>
      </c>
    </row>
    <row r="1811" spans="1:1" x14ac:dyDescent="0.25">
      <c r="A1811" t="s">
        <v>8277</v>
      </c>
    </row>
    <row r="1812" spans="1:1" x14ac:dyDescent="0.25">
      <c r="A1812" t="s">
        <v>8278</v>
      </c>
    </row>
    <row r="1813" spans="1:1" x14ac:dyDescent="0.25">
      <c r="A1813" t="s">
        <v>8279</v>
      </c>
    </row>
    <row r="1814" spans="1:1" x14ac:dyDescent="0.25">
      <c r="A1814" t="s">
        <v>8280</v>
      </c>
    </row>
    <row r="1815" spans="1:1" x14ac:dyDescent="0.25">
      <c r="A1815" t="s">
        <v>8281</v>
      </c>
    </row>
    <row r="1816" spans="1:1" x14ac:dyDescent="0.25">
      <c r="A1816" t="s">
        <v>8282</v>
      </c>
    </row>
    <row r="1817" spans="1:1" x14ac:dyDescent="0.25">
      <c r="A1817" t="s">
        <v>8283</v>
      </c>
    </row>
    <row r="1818" spans="1:1" x14ac:dyDescent="0.25">
      <c r="A1818" t="s">
        <v>8284</v>
      </c>
    </row>
    <row r="1819" spans="1:1" x14ac:dyDescent="0.25">
      <c r="A1819" t="s">
        <v>8285</v>
      </c>
    </row>
    <row r="1820" spans="1:1" x14ac:dyDescent="0.25">
      <c r="A1820" t="s">
        <v>8286</v>
      </c>
    </row>
    <row r="1821" spans="1:1" x14ac:dyDescent="0.25">
      <c r="A1821" t="s">
        <v>8287</v>
      </c>
    </row>
    <row r="1822" spans="1:1" x14ac:dyDescent="0.25">
      <c r="A1822" t="s">
        <v>8288</v>
      </c>
    </row>
    <row r="1823" spans="1:1" x14ac:dyDescent="0.25">
      <c r="A1823" t="s">
        <v>8289</v>
      </c>
    </row>
    <row r="1824" spans="1:1" x14ac:dyDescent="0.25">
      <c r="A1824" t="s">
        <v>8290</v>
      </c>
    </row>
    <row r="1825" spans="1:1" x14ac:dyDescent="0.25">
      <c r="A1825" t="s">
        <v>8291</v>
      </c>
    </row>
    <row r="1826" spans="1:1" x14ac:dyDescent="0.25">
      <c r="A1826" t="s">
        <v>8292</v>
      </c>
    </row>
    <row r="1827" spans="1:1" x14ac:dyDescent="0.25">
      <c r="A1827" t="s">
        <v>8293</v>
      </c>
    </row>
    <row r="1828" spans="1:1" x14ac:dyDescent="0.25">
      <c r="A1828" t="s">
        <v>8294</v>
      </c>
    </row>
    <row r="1829" spans="1:1" x14ac:dyDescent="0.25">
      <c r="A1829" t="s">
        <v>8295</v>
      </c>
    </row>
    <row r="1830" spans="1:1" x14ac:dyDescent="0.25">
      <c r="A1830" t="s">
        <v>8296</v>
      </c>
    </row>
    <row r="1831" spans="1:1" x14ac:dyDescent="0.25">
      <c r="A1831" t="s">
        <v>8297</v>
      </c>
    </row>
    <row r="1832" spans="1:1" x14ac:dyDescent="0.25">
      <c r="A1832" t="s">
        <v>8298</v>
      </c>
    </row>
    <row r="1833" spans="1:1" x14ac:dyDescent="0.25">
      <c r="A1833" t="s">
        <v>8299</v>
      </c>
    </row>
    <row r="1834" spans="1:1" x14ac:dyDescent="0.25">
      <c r="A1834" t="s">
        <v>8300</v>
      </c>
    </row>
    <row r="1835" spans="1:1" x14ac:dyDescent="0.25">
      <c r="A1835" t="s">
        <v>8301</v>
      </c>
    </row>
    <row r="1836" spans="1:1" x14ac:dyDescent="0.25">
      <c r="A1836" t="s">
        <v>8302</v>
      </c>
    </row>
    <row r="1837" spans="1:1" x14ac:dyDescent="0.25">
      <c r="A1837" t="s">
        <v>8303</v>
      </c>
    </row>
    <row r="1838" spans="1:1" x14ac:dyDescent="0.25">
      <c r="A1838" t="s">
        <v>8304</v>
      </c>
    </row>
    <row r="1839" spans="1:1" x14ac:dyDescent="0.25">
      <c r="A1839" t="s">
        <v>8305</v>
      </c>
    </row>
    <row r="1840" spans="1:1" x14ac:dyDescent="0.25">
      <c r="A1840" t="s">
        <v>8306</v>
      </c>
    </row>
    <row r="1841" spans="1:1" x14ac:dyDescent="0.25">
      <c r="A1841" t="s">
        <v>8307</v>
      </c>
    </row>
    <row r="1842" spans="1:1" x14ac:dyDescent="0.25">
      <c r="A1842" t="s">
        <v>8308</v>
      </c>
    </row>
    <row r="1843" spans="1:1" x14ac:dyDescent="0.25">
      <c r="A1843" t="s">
        <v>8309</v>
      </c>
    </row>
    <row r="1844" spans="1:1" x14ac:dyDescent="0.25">
      <c r="A1844" t="s">
        <v>8310</v>
      </c>
    </row>
    <row r="1845" spans="1:1" x14ac:dyDescent="0.25">
      <c r="A1845" t="s">
        <v>8311</v>
      </c>
    </row>
    <row r="1846" spans="1:1" x14ac:dyDescent="0.25">
      <c r="A1846" t="s">
        <v>8312</v>
      </c>
    </row>
    <row r="1847" spans="1:1" x14ac:dyDescent="0.25">
      <c r="A1847" t="s">
        <v>8313</v>
      </c>
    </row>
    <row r="1848" spans="1:1" x14ac:dyDescent="0.25">
      <c r="A1848" t="s">
        <v>8314</v>
      </c>
    </row>
    <row r="1849" spans="1:1" x14ac:dyDescent="0.25">
      <c r="A1849" t="s">
        <v>8315</v>
      </c>
    </row>
    <row r="1850" spans="1:1" x14ac:dyDescent="0.25">
      <c r="A1850" t="s">
        <v>8316</v>
      </c>
    </row>
    <row r="1851" spans="1:1" x14ac:dyDescent="0.25">
      <c r="A1851" t="s">
        <v>8317</v>
      </c>
    </row>
    <row r="1852" spans="1:1" x14ac:dyDescent="0.25">
      <c r="A1852" t="s">
        <v>8318</v>
      </c>
    </row>
    <row r="1853" spans="1:1" x14ac:dyDescent="0.25">
      <c r="A1853" t="s">
        <v>8319</v>
      </c>
    </row>
    <row r="1854" spans="1:1" x14ac:dyDescent="0.25">
      <c r="A1854" t="s">
        <v>8320</v>
      </c>
    </row>
    <row r="1855" spans="1:1" x14ac:dyDescent="0.25">
      <c r="A1855" t="s">
        <v>8321</v>
      </c>
    </row>
    <row r="1856" spans="1:1" x14ac:dyDescent="0.25">
      <c r="A1856" t="s">
        <v>8322</v>
      </c>
    </row>
    <row r="1857" spans="1:1" x14ac:dyDescent="0.25">
      <c r="A1857" t="s">
        <v>8323</v>
      </c>
    </row>
    <row r="1858" spans="1:1" x14ac:dyDescent="0.25">
      <c r="A1858" t="s">
        <v>8324</v>
      </c>
    </row>
    <row r="1859" spans="1:1" x14ac:dyDescent="0.25">
      <c r="A1859" t="s">
        <v>8325</v>
      </c>
    </row>
    <row r="1860" spans="1:1" x14ac:dyDescent="0.25">
      <c r="A1860" t="s">
        <v>8326</v>
      </c>
    </row>
    <row r="1861" spans="1:1" x14ac:dyDescent="0.25">
      <c r="A1861" t="s">
        <v>8327</v>
      </c>
    </row>
    <row r="1862" spans="1:1" x14ac:dyDescent="0.25">
      <c r="A1862" t="s">
        <v>8328</v>
      </c>
    </row>
    <row r="1863" spans="1:1" x14ac:dyDescent="0.25">
      <c r="A1863" t="s">
        <v>8329</v>
      </c>
    </row>
    <row r="1864" spans="1:1" x14ac:dyDescent="0.25">
      <c r="A1864" t="s">
        <v>8330</v>
      </c>
    </row>
    <row r="1865" spans="1:1" x14ac:dyDescent="0.25">
      <c r="A1865" t="s">
        <v>8331</v>
      </c>
    </row>
    <row r="1866" spans="1:1" x14ac:dyDescent="0.25">
      <c r="A1866" t="s">
        <v>8332</v>
      </c>
    </row>
    <row r="1867" spans="1:1" x14ac:dyDescent="0.25">
      <c r="A1867" t="s">
        <v>8333</v>
      </c>
    </row>
    <row r="1868" spans="1:1" x14ac:dyDescent="0.25">
      <c r="A1868" t="s">
        <v>8334</v>
      </c>
    </row>
    <row r="1869" spans="1:1" x14ac:dyDescent="0.25">
      <c r="A1869" t="s">
        <v>8335</v>
      </c>
    </row>
    <row r="1870" spans="1:1" x14ac:dyDescent="0.25">
      <c r="A1870" t="s">
        <v>8336</v>
      </c>
    </row>
    <row r="1871" spans="1:1" x14ac:dyDescent="0.25">
      <c r="A1871" t="s">
        <v>8337</v>
      </c>
    </row>
    <row r="1872" spans="1:1" x14ac:dyDescent="0.25">
      <c r="A1872" t="s">
        <v>8338</v>
      </c>
    </row>
    <row r="1873" spans="1:1" x14ac:dyDescent="0.25">
      <c r="A1873" t="s">
        <v>8339</v>
      </c>
    </row>
    <row r="1874" spans="1:1" x14ac:dyDescent="0.25">
      <c r="A1874" t="s">
        <v>8340</v>
      </c>
    </row>
    <row r="1875" spans="1:1" x14ac:dyDescent="0.25">
      <c r="A1875" t="s">
        <v>8341</v>
      </c>
    </row>
    <row r="1876" spans="1:1" x14ac:dyDescent="0.25">
      <c r="A1876" t="s">
        <v>8342</v>
      </c>
    </row>
    <row r="1877" spans="1:1" x14ac:dyDescent="0.25">
      <c r="A1877" t="s">
        <v>8343</v>
      </c>
    </row>
    <row r="1878" spans="1:1" x14ac:dyDescent="0.25">
      <c r="A1878" t="s">
        <v>8344</v>
      </c>
    </row>
    <row r="1879" spans="1:1" x14ac:dyDescent="0.25">
      <c r="A1879" t="s">
        <v>8345</v>
      </c>
    </row>
    <row r="1880" spans="1:1" x14ac:dyDescent="0.25">
      <c r="A1880" t="s">
        <v>8346</v>
      </c>
    </row>
    <row r="1881" spans="1:1" x14ac:dyDescent="0.25">
      <c r="A1881" t="s">
        <v>8347</v>
      </c>
    </row>
    <row r="1882" spans="1:1" x14ac:dyDescent="0.25">
      <c r="A1882" t="s">
        <v>8348</v>
      </c>
    </row>
    <row r="1883" spans="1:1" x14ac:dyDescent="0.25">
      <c r="A1883" t="s">
        <v>8349</v>
      </c>
    </row>
    <row r="1884" spans="1:1" x14ac:dyDescent="0.25">
      <c r="A1884" t="s">
        <v>8350</v>
      </c>
    </row>
    <row r="1885" spans="1:1" x14ac:dyDescent="0.25">
      <c r="A1885" t="s">
        <v>8351</v>
      </c>
    </row>
    <row r="1886" spans="1:1" x14ac:dyDescent="0.25">
      <c r="A1886" t="s">
        <v>8352</v>
      </c>
    </row>
    <row r="1887" spans="1:1" x14ac:dyDescent="0.25">
      <c r="A1887" t="s">
        <v>8353</v>
      </c>
    </row>
    <row r="1888" spans="1:1" x14ac:dyDescent="0.25">
      <c r="A1888" t="s">
        <v>8354</v>
      </c>
    </row>
    <row r="1889" spans="1:1" x14ac:dyDescent="0.25">
      <c r="A1889" t="s">
        <v>8355</v>
      </c>
    </row>
    <row r="1890" spans="1:1" x14ac:dyDescent="0.25">
      <c r="A1890" t="s">
        <v>8356</v>
      </c>
    </row>
    <row r="1891" spans="1:1" x14ac:dyDescent="0.25">
      <c r="A1891" t="s">
        <v>8357</v>
      </c>
    </row>
    <row r="1892" spans="1:1" x14ac:dyDescent="0.25">
      <c r="A1892" t="s">
        <v>8358</v>
      </c>
    </row>
    <row r="1893" spans="1:1" x14ac:dyDescent="0.25">
      <c r="A1893" t="s">
        <v>8359</v>
      </c>
    </row>
    <row r="1894" spans="1:1" x14ac:dyDescent="0.25">
      <c r="A1894" t="s">
        <v>8360</v>
      </c>
    </row>
    <row r="1895" spans="1:1" x14ac:dyDescent="0.25">
      <c r="A1895" t="s">
        <v>8361</v>
      </c>
    </row>
    <row r="1896" spans="1:1" x14ac:dyDescent="0.25">
      <c r="A1896" t="s">
        <v>8362</v>
      </c>
    </row>
    <row r="1897" spans="1:1" x14ac:dyDescent="0.25">
      <c r="A1897" t="s">
        <v>8363</v>
      </c>
    </row>
    <row r="1898" spans="1:1" x14ac:dyDescent="0.25">
      <c r="A1898" t="s">
        <v>8364</v>
      </c>
    </row>
    <row r="1899" spans="1:1" x14ac:dyDescent="0.25">
      <c r="A1899" t="s">
        <v>8365</v>
      </c>
    </row>
    <row r="1900" spans="1:1" x14ac:dyDescent="0.25">
      <c r="A1900" t="s">
        <v>8366</v>
      </c>
    </row>
    <row r="1901" spans="1:1" x14ac:dyDescent="0.25">
      <c r="A1901" t="s">
        <v>8367</v>
      </c>
    </row>
    <row r="1902" spans="1:1" x14ac:dyDescent="0.25">
      <c r="A1902" t="s">
        <v>8368</v>
      </c>
    </row>
    <row r="1903" spans="1:1" x14ac:dyDescent="0.25">
      <c r="A1903" t="s">
        <v>8369</v>
      </c>
    </row>
    <row r="1904" spans="1:1" x14ac:dyDescent="0.25">
      <c r="A1904" t="s">
        <v>8370</v>
      </c>
    </row>
    <row r="1905" spans="1:1" x14ac:dyDescent="0.25">
      <c r="A1905" t="s">
        <v>8371</v>
      </c>
    </row>
    <row r="1906" spans="1:1" x14ac:dyDescent="0.25">
      <c r="A1906" t="s">
        <v>8372</v>
      </c>
    </row>
    <row r="1907" spans="1:1" x14ac:dyDescent="0.25">
      <c r="A1907" t="s">
        <v>8373</v>
      </c>
    </row>
    <row r="1908" spans="1:1" x14ac:dyDescent="0.25">
      <c r="A1908" t="s">
        <v>8374</v>
      </c>
    </row>
    <row r="1909" spans="1:1" x14ac:dyDescent="0.25">
      <c r="A1909" t="s">
        <v>8375</v>
      </c>
    </row>
    <row r="1910" spans="1:1" x14ac:dyDescent="0.25">
      <c r="A1910" t="s">
        <v>8376</v>
      </c>
    </row>
    <row r="1911" spans="1:1" x14ac:dyDescent="0.25">
      <c r="A1911" t="s">
        <v>8377</v>
      </c>
    </row>
    <row r="1912" spans="1:1" x14ac:dyDescent="0.25">
      <c r="A1912" t="s">
        <v>8378</v>
      </c>
    </row>
    <row r="1913" spans="1:1" x14ac:dyDescent="0.25">
      <c r="A1913" t="s">
        <v>8379</v>
      </c>
    </row>
    <row r="1914" spans="1:1" x14ac:dyDescent="0.25">
      <c r="A1914" t="s">
        <v>8380</v>
      </c>
    </row>
    <row r="1915" spans="1:1" x14ac:dyDescent="0.25">
      <c r="A1915" t="s">
        <v>8381</v>
      </c>
    </row>
    <row r="1916" spans="1:1" x14ac:dyDescent="0.25">
      <c r="A1916" t="s">
        <v>8382</v>
      </c>
    </row>
    <row r="1917" spans="1:1" x14ac:dyDescent="0.25">
      <c r="A1917" t="s">
        <v>8383</v>
      </c>
    </row>
    <row r="1918" spans="1:1" x14ac:dyDescent="0.25">
      <c r="A1918" t="s">
        <v>8384</v>
      </c>
    </row>
    <row r="1919" spans="1:1" x14ac:dyDescent="0.25">
      <c r="A1919" t="s">
        <v>8385</v>
      </c>
    </row>
    <row r="1920" spans="1:1" x14ac:dyDescent="0.25">
      <c r="A1920" t="s">
        <v>8386</v>
      </c>
    </row>
    <row r="1921" spans="1:1" x14ac:dyDescent="0.25">
      <c r="A1921" t="s">
        <v>8387</v>
      </c>
    </row>
    <row r="1922" spans="1:1" x14ac:dyDescent="0.25">
      <c r="A1922" t="s">
        <v>8388</v>
      </c>
    </row>
    <row r="1923" spans="1:1" x14ac:dyDescent="0.25">
      <c r="A1923" t="s">
        <v>8389</v>
      </c>
    </row>
    <row r="1924" spans="1:1" x14ac:dyDescent="0.25">
      <c r="A1924" t="s">
        <v>8390</v>
      </c>
    </row>
    <row r="1925" spans="1:1" x14ac:dyDescent="0.25">
      <c r="A1925" t="s">
        <v>8391</v>
      </c>
    </row>
    <row r="1926" spans="1:1" x14ac:dyDescent="0.25">
      <c r="A1926" t="s">
        <v>8392</v>
      </c>
    </row>
    <row r="1927" spans="1:1" x14ac:dyDescent="0.25">
      <c r="A1927" t="s">
        <v>8393</v>
      </c>
    </row>
    <row r="1928" spans="1:1" x14ac:dyDescent="0.25">
      <c r="A1928" t="s">
        <v>8394</v>
      </c>
    </row>
    <row r="1929" spans="1:1" x14ac:dyDescent="0.25">
      <c r="A1929" t="s">
        <v>8395</v>
      </c>
    </row>
    <row r="1930" spans="1:1" x14ac:dyDescent="0.25">
      <c r="A1930" t="s">
        <v>8396</v>
      </c>
    </row>
    <row r="1931" spans="1:1" x14ac:dyDescent="0.25">
      <c r="A1931" t="s">
        <v>8397</v>
      </c>
    </row>
    <row r="1932" spans="1:1" x14ac:dyDescent="0.25">
      <c r="A1932" t="s">
        <v>8398</v>
      </c>
    </row>
    <row r="1933" spans="1:1" x14ac:dyDescent="0.25">
      <c r="A1933" t="s">
        <v>8399</v>
      </c>
    </row>
    <row r="1934" spans="1:1" x14ac:dyDescent="0.25">
      <c r="A1934" t="s">
        <v>8400</v>
      </c>
    </row>
    <row r="1935" spans="1:1" x14ac:dyDescent="0.25">
      <c r="A1935" t="s">
        <v>8401</v>
      </c>
    </row>
    <row r="1936" spans="1:1" x14ac:dyDescent="0.25">
      <c r="A1936" t="s">
        <v>8402</v>
      </c>
    </row>
    <row r="1937" spans="1:1" x14ac:dyDescent="0.25">
      <c r="A1937" t="s">
        <v>8403</v>
      </c>
    </row>
    <row r="1938" spans="1:1" x14ac:dyDescent="0.25">
      <c r="A1938" t="s">
        <v>8404</v>
      </c>
    </row>
    <row r="1939" spans="1:1" x14ac:dyDescent="0.25">
      <c r="A1939" t="s">
        <v>8405</v>
      </c>
    </row>
    <row r="1940" spans="1:1" x14ac:dyDescent="0.25">
      <c r="A1940" t="s">
        <v>8406</v>
      </c>
    </row>
    <row r="1941" spans="1:1" x14ac:dyDescent="0.25">
      <c r="A1941" t="s">
        <v>8407</v>
      </c>
    </row>
    <row r="1942" spans="1:1" x14ac:dyDescent="0.25">
      <c r="A1942" t="s">
        <v>8408</v>
      </c>
    </row>
    <row r="1943" spans="1:1" x14ac:dyDescent="0.25">
      <c r="A1943" t="s">
        <v>8409</v>
      </c>
    </row>
    <row r="1944" spans="1:1" x14ac:dyDescent="0.25">
      <c r="A1944" t="s">
        <v>8410</v>
      </c>
    </row>
    <row r="1945" spans="1:1" x14ac:dyDescent="0.25">
      <c r="A1945" t="s">
        <v>8411</v>
      </c>
    </row>
    <row r="1946" spans="1:1" x14ac:dyDescent="0.25">
      <c r="A1946" t="s">
        <v>8412</v>
      </c>
    </row>
    <row r="1947" spans="1:1" x14ac:dyDescent="0.25">
      <c r="A1947" t="s">
        <v>8413</v>
      </c>
    </row>
    <row r="1948" spans="1:1" x14ac:dyDescent="0.25">
      <c r="A1948" t="s">
        <v>8414</v>
      </c>
    </row>
    <row r="1949" spans="1:1" x14ac:dyDescent="0.25">
      <c r="A1949" t="s">
        <v>8415</v>
      </c>
    </row>
    <row r="1950" spans="1:1" x14ac:dyDescent="0.25">
      <c r="A1950" t="s">
        <v>8416</v>
      </c>
    </row>
    <row r="1951" spans="1:1" x14ac:dyDescent="0.25">
      <c r="A1951" t="s">
        <v>8417</v>
      </c>
    </row>
    <row r="1952" spans="1:1" x14ac:dyDescent="0.25">
      <c r="A1952" t="s">
        <v>8418</v>
      </c>
    </row>
    <row r="1953" spans="1:1" x14ac:dyDescent="0.25">
      <c r="A1953" t="s">
        <v>8419</v>
      </c>
    </row>
    <row r="1954" spans="1:1" x14ac:dyDescent="0.25">
      <c r="A1954" t="s">
        <v>8420</v>
      </c>
    </row>
    <row r="1955" spans="1:1" x14ac:dyDescent="0.25">
      <c r="A1955" t="s">
        <v>8421</v>
      </c>
    </row>
    <row r="1956" spans="1:1" x14ac:dyDescent="0.25">
      <c r="A1956" t="s">
        <v>8422</v>
      </c>
    </row>
    <row r="1957" spans="1:1" x14ac:dyDescent="0.25">
      <c r="A1957" t="s">
        <v>8423</v>
      </c>
    </row>
    <row r="1958" spans="1:1" x14ac:dyDescent="0.25">
      <c r="A1958" t="s">
        <v>8424</v>
      </c>
    </row>
    <row r="1959" spans="1:1" x14ac:dyDescent="0.25">
      <c r="A1959" t="s">
        <v>8425</v>
      </c>
    </row>
    <row r="1960" spans="1:1" x14ac:dyDescent="0.25">
      <c r="A1960" t="s">
        <v>8426</v>
      </c>
    </row>
    <row r="1961" spans="1:1" x14ac:dyDescent="0.25">
      <c r="A1961" t="s">
        <v>8427</v>
      </c>
    </row>
    <row r="1962" spans="1:1" x14ac:dyDescent="0.25">
      <c r="A1962" t="s">
        <v>8428</v>
      </c>
    </row>
    <row r="1963" spans="1:1" x14ac:dyDescent="0.25">
      <c r="A1963" t="s">
        <v>8429</v>
      </c>
    </row>
    <row r="1964" spans="1:1" x14ac:dyDescent="0.25">
      <c r="A1964" t="s">
        <v>8430</v>
      </c>
    </row>
    <row r="1965" spans="1:1" x14ac:dyDescent="0.25">
      <c r="A1965" t="s">
        <v>8431</v>
      </c>
    </row>
    <row r="1966" spans="1:1" x14ac:dyDescent="0.25">
      <c r="A1966" t="s">
        <v>8432</v>
      </c>
    </row>
    <row r="1967" spans="1:1" x14ac:dyDescent="0.25">
      <c r="A1967" t="s">
        <v>8433</v>
      </c>
    </row>
    <row r="1968" spans="1:1" x14ac:dyDescent="0.25">
      <c r="A1968" t="s">
        <v>8434</v>
      </c>
    </row>
    <row r="1969" spans="1:1" x14ac:dyDescent="0.25">
      <c r="A1969" t="s">
        <v>8435</v>
      </c>
    </row>
    <row r="1970" spans="1:1" x14ac:dyDescent="0.25">
      <c r="A1970" t="s">
        <v>8436</v>
      </c>
    </row>
    <row r="1971" spans="1:1" x14ac:dyDescent="0.25">
      <c r="A1971" t="s">
        <v>8437</v>
      </c>
    </row>
    <row r="1972" spans="1:1" x14ac:dyDescent="0.25">
      <c r="A1972" t="s">
        <v>8438</v>
      </c>
    </row>
    <row r="1973" spans="1:1" x14ac:dyDescent="0.25">
      <c r="A1973" t="s">
        <v>8439</v>
      </c>
    </row>
    <row r="1974" spans="1:1" x14ac:dyDescent="0.25">
      <c r="A1974" t="s">
        <v>8440</v>
      </c>
    </row>
    <row r="1975" spans="1:1" x14ac:dyDescent="0.25">
      <c r="A1975" t="s">
        <v>8441</v>
      </c>
    </row>
    <row r="1976" spans="1:1" x14ac:dyDescent="0.25">
      <c r="A1976" t="s">
        <v>8442</v>
      </c>
    </row>
    <row r="1977" spans="1:1" x14ac:dyDescent="0.25">
      <c r="A1977" t="s">
        <v>8443</v>
      </c>
    </row>
    <row r="1978" spans="1:1" x14ac:dyDescent="0.25">
      <c r="A1978" t="s">
        <v>8444</v>
      </c>
    </row>
    <row r="1979" spans="1:1" x14ac:dyDescent="0.25">
      <c r="A1979" t="s">
        <v>8445</v>
      </c>
    </row>
    <row r="1980" spans="1:1" x14ac:dyDescent="0.25">
      <c r="A1980" t="s">
        <v>8446</v>
      </c>
    </row>
    <row r="1981" spans="1:1" x14ac:dyDescent="0.25">
      <c r="A1981" t="s">
        <v>8447</v>
      </c>
    </row>
    <row r="1982" spans="1:1" x14ac:dyDescent="0.25">
      <c r="A1982" t="s">
        <v>8448</v>
      </c>
    </row>
    <row r="1983" spans="1:1" x14ac:dyDescent="0.25">
      <c r="A1983" t="s">
        <v>8449</v>
      </c>
    </row>
    <row r="1984" spans="1:1" x14ac:dyDescent="0.25">
      <c r="A1984" t="s">
        <v>8450</v>
      </c>
    </row>
    <row r="1985" spans="1:1" x14ac:dyDescent="0.25">
      <c r="A1985" t="s">
        <v>8451</v>
      </c>
    </row>
    <row r="1986" spans="1:1" x14ac:dyDescent="0.25">
      <c r="A1986" t="s">
        <v>8452</v>
      </c>
    </row>
    <row r="1987" spans="1:1" x14ac:dyDescent="0.25">
      <c r="A1987" t="s">
        <v>8453</v>
      </c>
    </row>
    <row r="1988" spans="1:1" x14ac:dyDescent="0.25">
      <c r="A1988" t="s">
        <v>8454</v>
      </c>
    </row>
    <row r="1989" spans="1:1" x14ac:dyDescent="0.25">
      <c r="A1989" t="s">
        <v>8455</v>
      </c>
    </row>
    <row r="1990" spans="1:1" x14ac:dyDescent="0.25">
      <c r="A1990" t="s">
        <v>8456</v>
      </c>
    </row>
    <row r="1991" spans="1:1" x14ac:dyDescent="0.25">
      <c r="A1991" t="s">
        <v>8457</v>
      </c>
    </row>
    <row r="1992" spans="1:1" x14ac:dyDescent="0.25">
      <c r="A1992" t="s">
        <v>8458</v>
      </c>
    </row>
    <row r="1993" spans="1:1" x14ac:dyDescent="0.25">
      <c r="A1993" t="s">
        <v>8459</v>
      </c>
    </row>
    <row r="1994" spans="1:1" x14ac:dyDescent="0.25">
      <c r="A1994" t="s">
        <v>8460</v>
      </c>
    </row>
    <row r="1995" spans="1:1" x14ac:dyDescent="0.25">
      <c r="A1995" t="s">
        <v>8461</v>
      </c>
    </row>
    <row r="1996" spans="1:1" x14ac:dyDescent="0.25">
      <c r="A1996" t="s">
        <v>8462</v>
      </c>
    </row>
    <row r="1997" spans="1:1" x14ac:dyDescent="0.25">
      <c r="A1997" t="s">
        <v>8463</v>
      </c>
    </row>
    <row r="1998" spans="1:1" x14ac:dyDescent="0.25">
      <c r="A1998" t="s">
        <v>8464</v>
      </c>
    </row>
    <row r="1999" spans="1:1" x14ac:dyDescent="0.25">
      <c r="A1999" t="s">
        <v>8465</v>
      </c>
    </row>
    <row r="2000" spans="1:1" x14ac:dyDescent="0.25">
      <c r="A2000" t="s">
        <v>8466</v>
      </c>
    </row>
    <row r="2001" spans="1:1" x14ac:dyDescent="0.25">
      <c r="A2001" t="s">
        <v>8467</v>
      </c>
    </row>
    <row r="2002" spans="1:1" x14ac:dyDescent="0.25">
      <c r="A2002" t="s">
        <v>8468</v>
      </c>
    </row>
    <row r="2003" spans="1:1" x14ac:dyDescent="0.25">
      <c r="A2003" t="s">
        <v>8469</v>
      </c>
    </row>
    <row r="2004" spans="1:1" x14ac:dyDescent="0.25">
      <c r="A2004" t="s">
        <v>8470</v>
      </c>
    </row>
    <row r="2005" spans="1:1" x14ac:dyDescent="0.25">
      <c r="A2005" t="s">
        <v>8471</v>
      </c>
    </row>
    <row r="2006" spans="1:1" x14ac:dyDescent="0.25">
      <c r="A2006" t="s">
        <v>8472</v>
      </c>
    </row>
    <row r="2007" spans="1:1" x14ac:dyDescent="0.25">
      <c r="A2007" t="s">
        <v>8473</v>
      </c>
    </row>
    <row r="2008" spans="1:1" x14ac:dyDescent="0.25">
      <c r="A2008" t="s">
        <v>8474</v>
      </c>
    </row>
    <row r="2009" spans="1:1" x14ac:dyDescent="0.25">
      <c r="A2009" t="s">
        <v>8475</v>
      </c>
    </row>
    <row r="2010" spans="1:1" x14ac:dyDescent="0.25">
      <c r="A2010" t="s">
        <v>8476</v>
      </c>
    </row>
    <row r="2011" spans="1:1" x14ac:dyDescent="0.25">
      <c r="A2011" t="s">
        <v>8477</v>
      </c>
    </row>
    <row r="2012" spans="1:1" x14ac:dyDescent="0.25">
      <c r="A2012" t="s">
        <v>8478</v>
      </c>
    </row>
    <row r="2013" spans="1:1" x14ac:dyDescent="0.25">
      <c r="A2013" t="s">
        <v>8479</v>
      </c>
    </row>
    <row r="2014" spans="1:1" x14ac:dyDescent="0.25">
      <c r="A2014" t="s">
        <v>8480</v>
      </c>
    </row>
    <row r="2015" spans="1:1" x14ac:dyDescent="0.25">
      <c r="A2015" t="s">
        <v>8481</v>
      </c>
    </row>
    <row r="2016" spans="1:1" x14ac:dyDescent="0.25">
      <c r="A2016" t="s">
        <v>8482</v>
      </c>
    </row>
    <row r="2017" spans="1:1" x14ac:dyDescent="0.25">
      <c r="A2017" t="s">
        <v>8483</v>
      </c>
    </row>
    <row r="2018" spans="1:1" x14ac:dyDescent="0.25">
      <c r="A2018" t="s">
        <v>8484</v>
      </c>
    </row>
    <row r="2019" spans="1:1" x14ac:dyDescent="0.25">
      <c r="A2019" t="s">
        <v>8485</v>
      </c>
    </row>
    <row r="2020" spans="1:1" x14ac:dyDescent="0.25">
      <c r="A2020" t="s">
        <v>8486</v>
      </c>
    </row>
    <row r="2021" spans="1:1" x14ac:dyDescent="0.25">
      <c r="A2021" t="s">
        <v>8487</v>
      </c>
    </row>
    <row r="2022" spans="1:1" x14ac:dyDescent="0.25">
      <c r="A2022" t="s">
        <v>8488</v>
      </c>
    </row>
    <row r="2023" spans="1:1" x14ac:dyDescent="0.25">
      <c r="A2023" t="s">
        <v>8489</v>
      </c>
    </row>
    <row r="2024" spans="1:1" x14ac:dyDescent="0.25">
      <c r="A2024" t="s">
        <v>8490</v>
      </c>
    </row>
    <row r="2025" spans="1:1" x14ac:dyDescent="0.25">
      <c r="A2025" t="s">
        <v>8491</v>
      </c>
    </row>
    <row r="2026" spans="1:1" x14ac:dyDescent="0.25">
      <c r="A2026" t="s">
        <v>8492</v>
      </c>
    </row>
    <row r="2027" spans="1:1" x14ac:dyDescent="0.25">
      <c r="A2027" t="s">
        <v>8493</v>
      </c>
    </row>
    <row r="2028" spans="1:1" x14ac:dyDescent="0.25">
      <c r="A2028" t="s">
        <v>8494</v>
      </c>
    </row>
    <row r="2029" spans="1:1" x14ac:dyDescent="0.25">
      <c r="A2029" t="s">
        <v>8495</v>
      </c>
    </row>
    <row r="2030" spans="1:1" x14ac:dyDescent="0.25">
      <c r="A2030" t="s">
        <v>8496</v>
      </c>
    </row>
    <row r="2031" spans="1:1" x14ac:dyDescent="0.25">
      <c r="A2031" t="s">
        <v>8497</v>
      </c>
    </row>
    <row r="2032" spans="1:1" x14ac:dyDescent="0.25">
      <c r="A2032" t="s">
        <v>8498</v>
      </c>
    </row>
    <row r="2033" spans="1:1" x14ac:dyDescent="0.25">
      <c r="A2033" t="s">
        <v>8499</v>
      </c>
    </row>
    <row r="2034" spans="1:1" x14ac:dyDescent="0.25">
      <c r="A2034" t="s">
        <v>8500</v>
      </c>
    </row>
    <row r="2035" spans="1:1" x14ac:dyDescent="0.25">
      <c r="A2035" t="s">
        <v>8501</v>
      </c>
    </row>
    <row r="2036" spans="1:1" x14ac:dyDescent="0.25">
      <c r="A2036" t="s">
        <v>8502</v>
      </c>
    </row>
    <row r="2037" spans="1:1" x14ac:dyDescent="0.25">
      <c r="A2037" t="s">
        <v>8503</v>
      </c>
    </row>
    <row r="2038" spans="1:1" x14ac:dyDescent="0.25">
      <c r="A2038" t="s">
        <v>8504</v>
      </c>
    </row>
    <row r="2039" spans="1:1" x14ac:dyDescent="0.25">
      <c r="A2039" t="s">
        <v>8505</v>
      </c>
    </row>
    <row r="2040" spans="1:1" x14ac:dyDescent="0.25">
      <c r="A2040" t="s">
        <v>8506</v>
      </c>
    </row>
    <row r="2041" spans="1:1" x14ac:dyDescent="0.25">
      <c r="A2041" t="s">
        <v>8507</v>
      </c>
    </row>
    <row r="2042" spans="1:1" x14ac:dyDescent="0.25">
      <c r="A2042" t="s">
        <v>8508</v>
      </c>
    </row>
    <row r="2043" spans="1:1" x14ac:dyDescent="0.25">
      <c r="A2043" t="s">
        <v>8509</v>
      </c>
    </row>
    <row r="2044" spans="1:1" x14ac:dyDescent="0.25">
      <c r="A2044" t="s">
        <v>8510</v>
      </c>
    </row>
    <row r="2045" spans="1:1" x14ac:dyDescent="0.25">
      <c r="A2045" t="s">
        <v>8511</v>
      </c>
    </row>
    <row r="2046" spans="1:1" x14ac:dyDescent="0.25">
      <c r="A2046" t="s">
        <v>8512</v>
      </c>
    </row>
    <row r="2047" spans="1:1" x14ac:dyDescent="0.25">
      <c r="A2047" t="s">
        <v>8513</v>
      </c>
    </row>
    <row r="2048" spans="1:1" x14ac:dyDescent="0.25">
      <c r="A2048" t="s">
        <v>8514</v>
      </c>
    </row>
    <row r="2049" spans="1:1" x14ac:dyDescent="0.25">
      <c r="A2049" t="s">
        <v>8515</v>
      </c>
    </row>
    <row r="2050" spans="1:1" x14ac:dyDescent="0.25">
      <c r="A2050" t="s">
        <v>8516</v>
      </c>
    </row>
    <row r="2051" spans="1:1" x14ac:dyDescent="0.25">
      <c r="A2051" t="s">
        <v>8517</v>
      </c>
    </row>
    <row r="2052" spans="1:1" x14ac:dyDescent="0.25">
      <c r="A2052" t="s">
        <v>8518</v>
      </c>
    </row>
    <row r="2053" spans="1:1" x14ac:dyDescent="0.25">
      <c r="A2053" t="s">
        <v>8519</v>
      </c>
    </row>
    <row r="2054" spans="1:1" x14ac:dyDescent="0.25">
      <c r="A2054" t="s">
        <v>8520</v>
      </c>
    </row>
    <row r="2055" spans="1:1" x14ac:dyDescent="0.25">
      <c r="A2055" t="s">
        <v>8521</v>
      </c>
    </row>
    <row r="2056" spans="1:1" x14ac:dyDescent="0.25">
      <c r="A2056" t="s">
        <v>8522</v>
      </c>
    </row>
    <row r="2057" spans="1:1" x14ac:dyDescent="0.25">
      <c r="A2057" t="s">
        <v>8523</v>
      </c>
    </row>
    <row r="2058" spans="1:1" x14ac:dyDescent="0.25">
      <c r="A2058" t="s">
        <v>8524</v>
      </c>
    </row>
    <row r="2059" spans="1:1" x14ac:dyDescent="0.25">
      <c r="A2059" t="s">
        <v>8525</v>
      </c>
    </row>
    <row r="2060" spans="1:1" x14ac:dyDescent="0.25">
      <c r="A2060" t="s">
        <v>8526</v>
      </c>
    </row>
    <row r="2061" spans="1:1" x14ac:dyDescent="0.25">
      <c r="A2061" t="s">
        <v>8527</v>
      </c>
    </row>
    <row r="2062" spans="1:1" x14ac:dyDescent="0.25">
      <c r="A2062" t="s">
        <v>8528</v>
      </c>
    </row>
    <row r="2063" spans="1:1" x14ac:dyDescent="0.25">
      <c r="A2063" t="s">
        <v>8529</v>
      </c>
    </row>
    <row r="2064" spans="1:1" x14ac:dyDescent="0.25">
      <c r="A2064" t="s">
        <v>8530</v>
      </c>
    </row>
    <row r="2065" spans="1:1" x14ac:dyDescent="0.25">
      <c r="A2065" t="s">
        <v>8531</v>
      </c>
    </row>
    <row r="2066" spans="1:1" x14ac:dyDescent="0.25">
      <c r="A2066" t="s">
        <v>8532</v>
      </c>
    </row>
    <row r="2067" spans="1:1" x14ac:dyDescent="0.25">
      <c r="A2067" t="s">
        <v>8533</v>
      </c>
    </row>
    <row r="2068" spans="1:1" x14ac:dyDescent="0.25">
      <c r="A2068" t="s">
        <v>8534</v>
      </c>
    </row>
    <row r="2069" spans="1:1" x14ac:dyDescent="0.25">
      <c r="A2069" t="s">
        <v>8535</v>
      </c>
    </row>
    <row r="2070" spans="1:1" x14ac:dyDescent="0.25">
      <c r="A2070" t="s">
        <v>8536</v>
      </c>
    </row>
    <row r="2071" spans="1:1" x14ac:dyDescent="0.25">
      <c r="A2071" t="s">
        <v>8537</v>
      </c>
    </row>
    <row r="2072" spans="1:1" x14ac:dyDescent="0.25">
      <c r="A2072" t="s">
        <v>8538</v>
      </c>
    </row>
    <row r="2073" spans="1:1" x14ac:dyDescent="0.25">
      <c r="A2073" t="s">
        <v>8539</v>
      </c>
    </row>
    <row r="2074" spans="1:1" x14ac:dyDescent="0.25">
      <c r="A2074" t="s">
        <v>8540</v>
      </c>
    </row>
    <row r="2075" spans="1:1" x14ac:dyDescent="0.25">
      <c r="A2075" t="s">
        <v>8541</v>
      </c>
    </row>
    <row r="2076" spans="1:1" x14ac:dyDescent="0.25">
      <c r="A2076" t="s">
        <v>8542</v>
      </c>
    </row>
    <row r="2077" spans="1:1" x14ac:dyDescent="0.25">
      <c r="A2077" t="s">
        <v>8543</v>
      </c>
    </row>
    <row r="2078" spans="1:1" x14ac:dyDescent="0.25">
      <c r="A2078" t="s">
        <v>8544</v>
      </c>
    </row>
    <row r="2079" spans="1:1" x14ac:dyDescent="0.25">
      <c r="A2079" t="s">
        <v>8545</v>
      </c>
    </row>
    <row r="2080" spans="1:1" x14ac:dyDescent="0.25">
      <c r="A2080" t="s">
        <v>8546</v>
      </c>
    </row>
    <row r="2081" spans="1:1" x14ac:dyDescent="0.25">
      <c r="A2081" t="s">
        <v>8547</v>
      </c>
    </row>
    <row r="2082" spans="1:1" x14ac:dyDescent="0.25">
      <c r="A2082" t="s">
        <v>8548</v>
      </c>
    </row>
    <row r="2083" spans="1:1" x14ac:dyDescent="0.25">
      <c r="A2083" t="s">
        <v>8549</v>
      </c>
    </row>
    <row r="2084" spans="1:1" x14ac:dyDescent="0.25">
      <c r="A2084" t="s">
        <v>8550</v>
      </c>
    </row>
    <row r="2085" spans="1:1" x14ac:dyDescent="0.25">
      <c r="A2085" t="s">
        <v>8551</v>
      </c>
    </row>
    <row r="2086" spans="1:1" x14ac:dyDescent="0.25">
      <c r="A2086" t="s">
        <v>8552</v>
      </c>
    </row>
    <row r="2087" spans="1:1" x14ac:dyDescent="0.25">
      <c r="A2087" t="s">
        <v>8553</v>
      </c>
    </row>
    <row r="2088" spans="1:1" x14ac:dyDescent="0.25">
      <c r="A2088" t="s">
        <v>8554</v>
      </c>
    </row>
    <row r="2089" spans="1:1" x14ac:dyDescent="0.25">
      <c r="A2089" t="s">
        <v>8555</v>
      </c>
    </row>
    <row r="2090" spans="1:1" x14ac:dyDescent="0.25">
      <c r="A2090" t="s">
        <v>8556</v>
      </c>
    </row>
    <row r="2091" spans="1:1" x14ac:dyDescent="0.25">
      <c r="A2091" t="s">
        <v>8557</v>
      </c>
    </row>
    <row r="2092" spans="1:1" x14ac:dyDescent="0.25">
      <c r="A2092" t="s">
        <v>8558</v>
      </c>
    </row>
    <row r="2093" spans="1:1" x14ac:dyDescent="0.25">
      <c r="A2093" t="s">
        <v>8559</v>
      </c>
    </row>
    <row r="2094" spans="1:1" x14ac:dyDescent="0.25">
      <c r="A2094" t="s">
        <v>8560</v>
      </c>
    </row>
    <row r="2095" spans="1:1" x14ac:dyDescent="0.25">
      <c r="A2095" t="s">
        <v>8561</v>
      </c>
    </row>
    <row r="2096" spans="1:1" x14ac:dyDescent="0.25">
      <c r="A2096" t="s">
        <v>8562</v>
      </c>
    </row>
    <row r="2097" spans="1:1" x14ac:dyDescent="0.25">
      <c r="A2097" t="s">
        <v>8563</v>
      </c>
    </row>
    <row r="2098" spans="1:1" x14ac:dyDescent="0.25">
      <c r="A2098" t="s">
        <v>8564</v>
      </c>
    </row>
    <row r="2099" spans="1:1" x14ac:dyDescent="0.25">
      <c r="A2099" t="s">
        <v>8565</v>
      </c>
    </row>
    <row r="2100" spans="1:1" x14ac:dyDescent="0.25">
      <c r="A2100" t="s">
        <v>8566</v>
      </c>
    </row>
    <row r="2101" spans="1:1" x14ac:dyDescent="0.25">
      <c r="A2101" t="s">
        <v>8567</v>
      </c>
    </row>
    <row r="2102" spans="1:1" x14ac:dyDescent="0.25">
      <c r="A2102" t="s">
        <v>8568</v>
      </c>
    </row>
    <row r="2103" spans="1:1" x14ac:dyDescent="0.25">
      <c r="A2103" t="s">
        <v>8569</v>
      </c>
    </row>
    <row r="2104" spans="1:1" x14ac:dyDescent="0.25">
      <c r="A2104" t="s">
        <v>8570</v>
      </c>
    </row>
    <row r="2105" spans="1:1" x14ac:dyDescent="0.25">
      <c r="A2105" t="s">
        <v>8571</v>
      </c>
    </row>
    <row r="2106" spans="1:1" x14ac:dyDescent="0.25">
      <c r="A2106" t="s">
        <v>8572</v>
      </c>
    </row>
    <row r="2107" spans="1:1" x14ac:dyDescent="0.25">
      <c r="A2107" t="s">
        <v>8573</v>
      </c>
    </row>
    <row r="2108" spans="1:1" x14ac:dyDescent="0.25">
      <c r="A2108" t="s">
        <v>8574</v>
      </c>
    </row>
    <row r="2109" spans="1:1" x14ac:dyDescent="0.25">
      <c r="A2109" t="s">
        <v>8575</v>
      </c>
    </row>
    <row r="2110" spans="1:1" x14ac:dyDescent="0.25">
      <c r="A2110" t="s">
        <v>8576</v>
      </c>
    </row>
    <row r="2111" spans="1:1" x14ac:dyDescent="0.25">
      <c r="A2111" t="s">
        <v>8577</v>
      </c>
    </row>
    <row r="2112" spans="1:1" x14ac:dyDescent="0.25">
      <c r="A2112" t="s">
        <v>8578</v>
      </c>
    </row>
    <row r="2113" spans="1:1" x14ac:dyDescent="0.25">
      <c r="A2113" t="s">
        <v>8579</v>
      </c>
    </row>
    <row r="2114" spans="1:1" x14ac:dyDescent="0.25">
      <c r="A2114" t="s">
        <v>8580</v>
      </c>
    </row>
    <row r="2115" spans="1:1" x14ac:dyDescent="0.25">
      <c r="A2115" t="s">
        <v>8581</v>
      </c>
    </row>
    <row r="2116" spans="1:1" x14ac:dyDescent="0.25">
      <c r="A2116" t="s">
        <v>8582</v>
      </c>
    </row>
    <row r="2117" spans="1:1" x14ac:dyDescent="0.25">
      <c r="A2117" t="s">
        <v>8583</v>
      </c>
    </row>
    <row r="2118" spans="1:1" x14ac:dyDescent="0.25">
      <c r="A2118" t="s">
        <v>8584</v>
      </c>
    </row>
    <row r="2119" spans="1:1" x14ac:dyDescent="0.25">
      <c r="A2119" t="s">
        <v>8585</v>
      </c>
    </row>
    <row r="2120" spans="1:1" x14ac:dyDescent="0.25">
      <c r="A2120" t="s">
        <v>8586</v>
      </c>
    </row>
    <row r="2121" spans="1:1" x14ac:dyDescent="0.25">
      <c r="A2121" t="s">
        <v>8587</v>
      </c>
    </row>
    <row r="2122" spans="1:1" x14ac:dyDescent="0.25">
      <c r="A2122" t="s">
        <v>8588</v>
      </c>
    </row>
    <row r="2123" spans="1:1" x14ac:dyDescent="0.25">
      <c r="A2123" t="s">
        <v>8589</v>
      </c>
    </row>
    <row r="2124" spans="1:1" x14ac:dyDescent="0.25">
      <c r="A2124" t="s">
        <v>8590</v>
      </c>
    </row>
    <row r="2125" spans="1:1" x14ac:dyDescent="0.25">
      <c r="A2125" t="s">
        <v>8591</v>
      </c>
    </row>
    <row r="2126" spans="1:1" x14ac:dyDescent="0.25">
      <c r="A2126" t="s">
        <v>8592</v>
      </c>
    </row>
    <row r="2127" spans="1:1" x14ac:dyDescent="0.25">
      <c r="A2127" t="s">
        <v>8593</v>
      </c>
    </row>
    <row r="2128" spans="1:1" x14ac:dyDescent="0.25">
      <c r="A2128" t="s">
        <v>8594</v>
      </c>
    </row>
    <row r="2129" spans="1:1" x14ac:dyDescent="0.25">
      <c r="A2129" t="s">
        <v>8595</v>
      </c>
    </row>
    <row r="2130" spans="1:1" x14ac:dyDescent="0.25">
      <c r="A2130" t="s">
        <v>8596</v>
      </c>
    </row>
    <row r="2131" spans="1:1" x14ac:dyDescent="0.25">
      <c r="A2131" t="s">
        <v>8597</v>
      </c>
    </row>
    <row r="2132" spans="1:1" x14ac:dyDescent="0.25">
      <c r="A2132" t="s">
        <v>8598</v>
      </c>
    </row>
    <row r="2133" spans="1:1" x14ac:dyDescent="0.25">
      <c r="A2133" t="s">
        <v>8599</v>
      </c>
    </row>
    <row r="2134" spans="1:1" x14ac:dyDescent="0.25">
      <c r="A2134" t="s">
        <v>8600</v>
      </c>
    </row>
    <row r="2135" spans="1:1" x14ac:dyDescent="0.25">
      <c r="A2135" t="s">
        <v>8601</v>
      </c>
    </row>
    <row r="2136" spans="1:1" x14ac:dyDescent="0.25">
      <c r="A2136" t="s">
        <v>8602</v>
      </c>
    </row>
    <row r="2137" spans="1:1" x14ac:dyDescent="0.25">
      <c r="A2137" t="s">
        <v>8603</v>
      </c>
    </row>
    <row r="2138" spans="1:1" x14ac:dyDescent="0.25">
      <c r="A2138" t="s">
        <v>8604</v>
      </c>
    </row>
    <row r="2139" spans="1:1" x14ac:dyDescent="0.25">
      <c r="A2139" t="s">
        <v>8605</v>
      </c>
    </row>
    <row r="2140" spans="1:1" x14ac:dyDescent="0.25">
      <c r="A2140" t="s">
        <v>8606</v>
      </c>
    </row>
    <row r="2141" spans="1:1" x14ac:dyDescent="0.25">
      <c r="A2141" t="s">
        <v>8607</v>
      </c>
    </row>
    <row r="2142" spans="1:1" x14ac:dyDescent="0.25">
      <c r="A2142" t="s">
        <v>8608</v>
      </c>
    </row>
    <row r="2143" spans="1:1" x14ac:dyDescent="0.25">
      <c r="A2143" t="s">
        <v>8609</v>
      </c>
    </row>
    <row r="2144" spans="1:1" x14ac:dyDescent="0.25">
      <c r="A2144" t="s">
        <v>8610</v>
      </c>
    </row>
    <row r="2145" spans="1:1" x14ac:dyDescent="0.25">
      <c r="A2145" t="s">
        <v>8611</v>
      </c>
    </row>
    <row r="2146" spans="1:1" x14ac:dyDescent="0.25">
      <c r="A2146" t="s">
        <v>8612</v>
      </c>
    </row>
    <row r="2147" spans="1:1" x14ac:dyDescent="0.25">
      <c r="A2147" t="s">
        <v>8613</v>
      </c>
    </row>
    <row r="2148" spans="1:1" x14ac:dyDescent="0.25">
      <c r="A2148" t="s">
        <v>8614</v>
      </c>
    </row>
    <row r="2149" spans="1:1" x14ac:dyDescent="0.25">
      <c r="A2149" t="s">
        <v>8615</v>
      </c>
    </row>
    <row r="2150" spans="1:1" x14ac:dyDescent="0.25">
      <c r="A2150" t="s">
        <v>8616</v>
      </c>
    </row>
    <row r="2151" spans="1:1" x14ac:dyDescent="0.25">
      <c r="A2151" t="s">
        <v>8617</v>
      </c>
    </row>
    <row r="2152" spans="1:1" x14ac:dyDescent="0.25">
      <c r="A2152" t="s">
        <v>8618</v>
      </c>
    </row>
    <row r="2153" spans="1:1" x14ac:dyDescent="0.25">
      <c r="A2153" t="s">
        <v>8619</v>
      </c>
    </row>
    <row r="2154" spans="1:1" x14ac:dyDescent="0.25">
      <c r="A2154" t="s">
        <v>8620</v>
      </c>
    </row>
    <row r="2155" spans="1:1" x14ac:dyDescent="0.25">
      <c r="A2155" t="s">
        <v>8621</v>
      </c>
    </row>
    <row r="2156" spans="1:1" x14ac:dyDescent="0.25">
      <c r="A2156" t="s">
        <v>8622</v>
      </c>
    </row>
    <row r="2157" spans="1:1" x14ac:dyDescent="0.25">
      <c r="A2157" t="s">
        <v>8623</v>
      </c>
    </row>
    <row r="2158" spans="1:1" x14ac:dyDescent="0.25">
      <c r="A2158" t="s">
        <v>8624</v>
      </c>
    </row>
    <row r="2159" spans="1:1" x14ac:dyDescent="0.25">
      <c r="A2159" t="s">
        <v>8625</v>
      </c>
    </row>
    <row r="2160" spans="1:1" x14ac:dyDescent="0.25">
      <c r="A2160" t="s">
        <v>8626</v>
      </c>
    </row>
    <row r="2161" spans="1:1" x14ac:dyDescent="0.25">
      <c r="A2161" t="s">
        <v>8627</v>
      </c>
    </row>
    <row r="2162" spans="1:1" x14ac:dyDescent="0.25">
      <c r="A2162" t="s">
        <v>8628</v>
      </c>
    </row>
    <row r="2163" spans="1:1" x14ac:dyDescent="0.25">
      <c r="A2163" t="s">
        <v>8629</v>
      </c>
    </row>
    <row r="2164" spans="1:1" x14ac:dyDescent="0.25">
      <c r="A2164" t="s">
        <v>8630</v>
      </c>
    </row>
    <row r="2165" spans="1:1" x14ac:dyDescent="0.25">
      <c r="A2165" t="s">
        <v>8631</v>
      </c>
    </row>
    <row r="2166" spans="1:1" x14ac:dyDescent="0.25">
      <c r="A2166" t="s">
        <v>8632</v>
      </c>
    </row>
    <row r="2167" spans="1:1" x14ac:dyDescent="0.25">
      <c r="A2167" t="s">
        <v>8633</v>
      </c>
    </row>
    <row r="2168" spans="1:1" x14ac:dyDescent="0.25">
      <c r="A2168" t="s">
        <v>8634</v>
      </c>
    </row>
    <row r="2169" spans="1:1" x14ac:dyDescent="0.25">
      <c r="A2169" t="s">
        <v>8635</v>
      </c>
    </row>
    <row r="2170" spans="1:1" x14ac:dyDescent="0.25">
      <c r="A2170" t="s">
        <v>8636</v>
      </c>
    </row>
    <row r="2171" spans="1:1" x14ac:dyDescent="0.25">
      <c r="A2171" t="s">
        <v>8637</v>
      </c>
    </row>
    <row r="2172" spans="1:1" x14ac:dyDescent="0.25">
      <c r="A2172" t="s">
        <v>8638</v>
      </c>
    </row>
    <row r="2173" spans="1:1" x14ac:dyDescent="0.25">
      <c r="A2173" t="s">
        <v>8639</v>
      </c>
    </row>
    <row r="2174" spans="1:1" x14ac:dyDescent="0.25">
      <c r="A2174" t="s">
        <v>8640</v>
      </c>
    </row>
    <row r="2175" spans="1:1" x14ac:dyDescent="0.25">
      <c r="A2175" t="s">
        <v>8641</v>
      </c>
    </row>
    <row r="2176" spans="1:1" x14ac:dyDescent="0.25">
      <c r="A2176" t="s">
        <v>8642</v>
      </c>
    </row>
    <row r="2177" spans="1:1" x14ac:dyDescent="0.25">
      <c r="A2177" t="s">
        <v>8643</v>
      </c>
    </row>
    <row r="2178" spans="1:1" x14ac:dyDescent="0.25">
      <c r="A2178" t="s">
        <v>8644</v>
      </c>
    </row>
    <row r="2179" spans="1:1" x14ac:dyDescent="0.25">
      <c r="A2179" t="s">
        <v>8645</v>
      </c>
    </row>
    <row r="2180" spans="1:1" x14ac:dyDescent="0.25">
      <c r="A2180" t="s">
        <v>8646</v>
      </c>
    </row>
    <row r="2181" spans="1:1" x14ac:dyDescent="0.25">
      <c r="A2181" t="s">
        <v>8647</v>
      </c>
    </row>
    <row r="2182" spans="1:1" x14ac:dyDescent="0.25">
      <c r="A2182" t="s">
        <v>8648</v>
      </c>
    </row>
    <row r="2183" spans="1:1" x14ac:dyDescent="0.25">
      <c r="A2183" t="s">
        <v>8649</v>
      </c>
    </row>
    <row r="2184" spans="1:1" x14ac:dyDescent="0.25">
      <c r="A2184" t="s">
        <v>8650</v>
      </c>
    </row>
    <row r="2185" spans="1:1" x14ac:dyDescent="0.25">
      <c r="A2185" t="s">
        <v>8651</v>
      </c>
    </row>
    <row r="2186" spans="1:1" x14ac:dyDescent="0.25">
      <c r="A2186" t="s">
        <v>8652</v>
      </c>
    </row>
    <row r="2187" spans="1:1" x14ac:dyDescent="0.25">
      <c r="A2187" t="s">
        <v>8653</v>
      </c>
    </row>
    <row r="2188" spans="1:1" x14ac:dyDescent="0.25">
      <c r="A2188" t="s">
        <v>8654</v>
      </c>
    </row>
    <row r="2189" spans="1:1" x14ac:dyDescent="0.25">
      <c r="A2189" t="s">
        <v>8655</v>
      </c>
    </row>
    <row r="2190" spans="1:1" x14ac:dyDescent="0.25">
      <c r="A2190" t="s">
        <v>8656</v>
      </c>
    </row>
    <row r="2191" spans="1:1" x14ac:dyDescent="0.25">
      <c r="A2191" t="s">
        <v>8657</v>
      </c>
    </row>
    <row r="2192" spans="1:1" x14ac:dyDescent="0.25">
      <c r="A2192" t="s">
        <v>8658</v>
      </c>
    </row>
    <row r="2193" spans="1:1" x14ac:dyDescent="0.25">
      <c r="A2193" t="s">
        <v>8659</v>
      </c>
    </row>
    <row r="2194" spans="1:1" x14ac:dyDescent="0.25">
      <c r="A2194" t="s">
        <v>8660</v>
      </c>
    </row>
    <row r="2195" spans="1:1" x14ac:dyDescent="0.25">
      <c r="A2195" t="s">
        <v>8661</v>
      </c>
    </row>
    <row r="2196" spans="1:1" x14ac:dyDescent="0.25">
      <c r="A2196" t="s">
        <v>8662</v>
      </c>
    </row>
    <row r="2197" spans="1:1" x14ac:dyDescent="0.25">
      <c r="A2197" t="s">
        <v>8663</v>
      </c>
    </row>
    <row r="2198" spans="1:1" x14ac:dyDescent="0.25">
      <c r="A2198" t="s">
        <v>8664</v>
      </c>
    </row>
    <row r="2199" spans="1:1" x14ac:dyDescent="0.25">
      <c r="A2199" t="s">
        <v>8665</v>
      </c>
    </row>
    <row r="2200" spans="1:1" x14ac:dyDescent="0.25">
      <c r="A2200" t="s">
        <v>8666</v>
      </c>
    </row>
    <row r="2201" spans="1:1" x14ac:dyDescent="0.25">
      <c r="A2201" t="s">
        <v>8667</v>
      </c>
    </row>
    <row r="2202" spans="1:1" x14ac:dyDescent="0.25">
      <c r="A2202" t="s">
        <v>8668</v>
      </c>
    </row>
    <row r="2203" spans="1:1" x14ac:dyDescent="0.25">
      <c r="A2203" t="s">
        <v>8669</v>
      </c>
    </row>
    <row r="2204" spans="1:1" x14ac:dyDescent="0.25">
      <c r="A2204" t="s">
        <v>8670</v>
      </c>
    </row>
    <row r="2205" spans="1:1" x14ac:dyDescent="0.25">
      <c r="A2205" t="s">
        <v>8671</v>
      </c>
    </row>
    <row r="2206" spans="1:1" x14ac:dyDescent="0.25">
      <c r="A2206" t="s">
        <v>8672</v>
      </c>
    </row>
    <row r="2207" spans="1:1" x14ac:dyDescent="0.25">
      <c r="A2207" t="s">
        <v>8673</v>
      </c>
    </row>
    <row r="2208" spans="1:1" x14ac:dyDescent="0.25">
      <c r="A2208" t="s">
        <v>8674</v>
      </c>
    </row>
    <row r="2209" spans="1:1" x14ac:dyDescent="0.25">
      <c r="A2209" t="s">
        <v>8675</v>
      </c>
    </row>
    <row r="2210" spans="1:1" x14ac:dyDescent="0.25">
      <c r="A2210" t="s">
        <v>8676</v>
      </c>
    </row>
    <row r="2211" spans="1:1" x14ac:dyDescent="0.25">
      <c r="A2211" t="s">
        <v>8677</v>
      </c>
    </row>
    <row r="2212" spans="1:1" x14ac:dyDescent="0.25">
      <c r="A2212" t="s">
        <v>8678</v>
      </c>
    </row>
    <row r="2213" spans="1:1" x14ac:dyDescent="0.25">
      <c r="A2213" t="s">
        <v>8679</v>
      </c>
    </row>
    <row r="2214" spans="1:1" x14ac:dyDescent="0.25">
      <c r="A2214" t="s">
        <v>8680</v>
      </c>
    </row>
    <row r="2215" spans="1:1" x14ac:dyDescent="0.25">
      <c r="A2215" t="s">
        <v>8681</v>
      </c>
    </row>
    <row r="2216" spans="1:1" x14ac:dyDescent="0.25">
      <c r="A2216" t="s">
        <v>8682</v>
      </c>
    </row>
    <row r="2217" spans="1:1" x14ac:dyDescent="0.25">
      <c r="A2217" t="s">
        <v>8683</v>
      </c>
    </row>
    <row r="2218" spans="1:1" x14ac:dyDescent="0.25">
      <c r="A2218" t="s">
        <v>8684</v>
      </c>
    </row>
    <row r="2219" spans="1:1" x14ac:dyDescent="0.25">
      <c r="A2219" t="s">
        <v>8685</v>
      </c>
    </row>
    <row r="2220" spans="1:1" x14ac:dyDescent="0.25">
      <c r="A2220" t="s">
        <v>8686</v>
      </c>
    </row>
    <row r="2221" spans="1:1" x14ac:dyDescent="0.25">
      <c r="A2221" t="s">
        <v>8687</v>
      </c>
    </row>
    <row r="2222" spans="1:1" x14ac:dyDescent="0.25">
      <c r="A2222" t="s">
        <v>8688</v>
      </c>
    </row>
    <row r="2223" spans="1:1" x14ac:dyDescent="0.25">
      <c r="A2223" t="s">
        <v>8689</v>
      </c>
    </row>
    <row r="2224" spans="1:1" x14ac:dyDescent="0.25">
      <c r="A2224" t="s">
        <v>8690</v>
      </c>
    </row>
    <row r="2225" spans="1:1" x14ac:dyDescent="0.25">
      <c r="A2225" t="s">
        <v>8691</v>
      </c>
    </row>
    <row r="2226" spans="1:1" x14ac:dyDescent="0.25">
      <c r="A2226" t="s">
        <v>8692</v>
      </c>
    </row>
    <row r="2227" spans="1:1" x14ac:dyDescent="0.25">
      <c r="A2227" t="s">
        <v>8693</v>
      </c>
    </row>
    <row r="2228" spans="1:1" x14ac:dyDescent="0.25">
      <c r="A2228" t="s">
        <v>8694</v>
      </c>
    </row>
    <row r="2229" spans="1:1" x14ac:dyDescent="0.25">
      <c r="A2229" t="s">
        <v>8695</v>
      </c>
    </row>
    <row r="2230" spans="1:1" x14ac:dyDescent="0.25">
      <c r="A2230" t="s">
        <v>8696</v>
      </c>
    </row>
    <row r="2231" spans="1:1" x14ac:dyDescent="0.25">
      <c r="A2231" t="s">
        <v>8697</v>
      </c>
    </row>
    <row r="2232" spans="1:1" x14ac:dyDescent="0.25">
      <c r="A2232" t="s">
        <v>8698</v>
      </c>
    </row>
    <row r="2233" spans="1:1" x14ac:dyDescent="0.25">
      <c r="A2233" t="s">
        <v>8699</v>
      </c>
    </row>
    <row r="2234" spans="1:1" x14ac:dyDescent="0.25">
      <c r="A2234" t="s">
        <v>8700</v>
      </c>
    </row>
    <row r="2235" spans="1:1" x14ac:dyDescent="0.25">
      <c r="A2235" t="s">
        <v>8701</v>
      </c>
    </row>
    <row r="2236" spans="1:1" x14ac:dyDescent="0.25">
      <c r="A2236" t="s">
        <v>8702</v>
      </c>
    </row>
    <row r="2237" spans="1:1" x14ac:dyDescent="0.25">
      <c r="A2237" t="s">
        <v>8703</v>
      </c>
    </row>
    <row r="2238" spans="1:1" x14ac:dyDescent="0.25">
      <c r="A2238" t="s">
        <v>8704</v>
      </c>
    </row>
    <row r="2239" spans="1:1" x14ac:dyDescent="0.25">
      <c r="A2239" t="s">
        <v>8705</v>
      </c>
    </row>
    <row r="2240" spans="1:1" x14ac:dyDescent="0.25">
      <c r="A2240" t="s">
        <v>8706</v>
      </c>
    </row>
    <row r="2241" spans="1:1" x14ac:dyDescent="0.25">
      <c r="A2241" t="s">
        <v>8707</v>
      </c>
    </row>
    <row r="2242" spans="1:1" x14ac:dyDescent="0.25">
      <c r="A2242" t="s">
        <v>8708</v>
      </c>
    </row>
    <row r="2243" spans="1:1" x14ac:dyDescent="0.25">
      <c r="A2243" t="s">
        <v>8709</v>
      </c>
    </row>
    <row r="2244" spans="1:1" x14ac:dyDescent="0.25">
      <c r="A2244" t="s">
        <v>8710</v>
      </c>
    </row>
    <row r="2245" spans="1:1" x14ac:dyDescent="0.25">
      <c r="A2245" t="s">
        <v>8711</v>
      </c>
    </row>
    <row r="2246" spans="1:1" x14ac:dyDescent="0.25">
      <c r="A2246" t="s">
        <v>8712</v>
      </c>
    </row>
    <row r="2247" spans="1:1" x14ac:dyDescent="0.25">
      <c r="A2247" t="s">
        <v>8713</v>
      </c>
    </row>
    <row r="2248" spans="1:1" x14ac:dyDescent="0.25">
      <c r="A2248" t="s">
        <v>8714</v>
      </c>
    </row>
    <row r="2249" spans="1:1" x14ac:dyDescent="0.25">
      <c r="A2249" t="s">
        <v>8715</v>
      </c>
    </row>
    <row r="2250" spans="1:1" x14ac:dyDescent="0.25">
      <c r="A2250" t="s">
        <v>8716</v>
      </c>
    </row>
    <row r="2251" spans="1:1" x14ac:dyDescent="0.25">
      <c r="A2251" t="s">
        <v>8717</v>
      </c>
    </row>
    <row r="2252" spans="1:1" x14ac:dyDescent="0.25">
      <c r="A2252" t="s">
        <v>8718</v>
      </c>
    </row>
    <row r="2253" spans="1:1" x14ac:dyDescent="0.25">
      <c r="A2253" t="s">
        <v>8719</v>
      </c>
    </row>
    <row r="2254" spans="1:1" x14ac:dyDescent="0.25">
      <c r="A2254" t="s">
        <v>8720</v>
      </c>
    </row>
    <row r="2255" spans="1:1" x14ac:dyDescent="0.25">
      <c r="A2255" t="s">
        <v>8721</v>
      </c>
    </row>
    <row r="2256" spans="1:1" x14ac:dyDescent="0.25">
      <c r="A2256" t="s">
        <v>8722</v>
      </c>
    </row>
    <row r="2257" spans="1:1" x14ac:dyDescent="0.25">
      <c r="A2257" t="s">
        <v>8723</v>
      </c>
    </row>
    <row r="2258" spans="1:1" x14ac:dyDescent="0.25">
      <c r="A2258" t="s">
        <v>8724</v>
      </c>
    </row>
    <row r="2259" spans="1:1" x14ac:dyDescent="0.25">
      <c r="A2259" t="s">
        <v>8725</v>
      </c>
    </row>
    <row r="2260" spans="1:1" x14ac:dyDescent="0.25">
      <c r="A2260" t="s">
        <v>8726</v>
      </c>
    </row>
    <row r="2261" spans="1:1" x14ac:dyDescent="0.25">
      <c r="A2261" t="s">
        <v>8727</v>
      </c>
    </row>
    <row r="2262" spans="1:1" x14ac:dyDescent="0.25">
      <c r="A2262" t="s">
        <v>8728</v>
      </c>
    </row>
    <row r="2263" spans="1:1" x14ac:dyDescent="0.25">
      <c r="A2263" t="s">
        <v>8729</v>
      </c>
    </row>
    <row r="2264" spans="1:1" x14ac:dyDescent="0.25">
      <c r="A2264" t="s">
        <v>8730</v>
      </c>
    </row>
    <row r="2265" spans="1:1" x14ac:dyDescent="0.25">
      <c r="A2265" t="s">
        <v>8731</v>
      </c>
    </row>
    <row r="2266" spans="1:1" x14ac:dyDescent="0.25">
      <c r="A2266" t="s">
        <v>8732</v>
      </c>
    </row>
    <row r="2267" spans="1:1" x14ac:dyDescent="0.25">
      <c r="A2267" t="s">
        <v>8733</v>
      </c>
    </row>
    <row r="2268" spans="1:1" x14ac:dyDescent="0.25">
      <c r="A2268" t="s">
        <v>8734</v>
      </c>
    </row>
    <row r="2269" spans="1:1" x14ac:dyDescent="0.25">
      <c r="A2269" t="s">
        <v>8735</v>
      </c>
    </row>
    <row r="2270" spans="1:1" x14ac:dyDescent="0.25">
      <c r="A2270" t="s">
        <v>8736</v>
      </c>
    </row>
    <row r="2271" spans="1:1" x14ac:dyDescent="0.25">
      <c r="A2271" t="s">
        <v>8737</v>
      </c>
    </row>
    <row r="2272" spans="1:1" x14ac:dyDescent="0.25">
      <c r="A2272" t="s">
        <v>8738</v>
      </c>
    </row>
    <row r="2273" spans="1:1" x14ac:dyDescent="0.25">
      <c r="A2273" t="s">
        <v>8739</v>
      </c>
    </row>
    <row r="2274" spans="1:1" x14ac:dyDescent="0.25">
      <c r="A2274" t="s">
        <v>8740</v>
      </c>
    </row>
    <row r="2275" spans="1:1" x14ac:dyDescent="0.25">
      <c r="A2275" t="s">
        <v>8741</v>
      </c>
    </row>
    <row r="2276" spans="1:1" x14ac:dyDescent="0.25">
      <c r="A2276" t="s">
        <v>8742</v>
      </c>
    </row>
    <row r="2277" spans="1:1" x14ac:dyDescent="0.25">
      <c r="A2277" t="s">
        <v>8743</v>
      </c>
    </row>
    <row r="2278" spans="1:1" x14ac:dyDescent="0.25">
      <c r="A2278" t="s">
        <v>8744</v>
      </c>
    </row>
    <row r="2279" spans="1:1" x14ac:dyDescent="0.25">
      <c r="A2279" t="s">
        <v>8745</v>
      </c>
    </row>
    <row r="2280" spans="1:1" x14ac:dyDescent="0.25">
      <c r="A2280" t="s">
        <v>8746</v>
      </c>
    </row>
    <row r="2281" spans="1:1" x14ac:dyDescent="0.25">
      <c r="A2281" t="s">
        <v>8747</v>
      </c>
    </row>
    <row r="2282" spans="1:1" x14ac:dyDescent="0.25">
      <c r="A2282" t="s">
        <v>8748</v>
      </c>
    </row>
    <row r="2283" spans="1:1" x14ac:dyDescent="0.25">
      <c r="A2283" t="s">
        <v>8749</v>
      </c>
    </row>
    <row r="2284" spans="1:1" x14ac:dyDescent="0.25">
      <c r="A2284" t="s">
        <v>8750</v>
      </c>
    </row>
    <row r="2285" spans="1:1" x14ac:dyDescent="0.25">
      <c r="A2285" t="s">
        <v>8751</v>
      </c>
    </row>
    <row r="2286" spans="1:1" x14ac:dyDescent="0.25">
      <c r="A2286" t="s">
        <v>8752</v>
      </c>
    </row>
    <row r="2287" spans="1:1" x14ac:dyDescent="0.25">
      <c r="A2287" t="s">
        <v>8753</v>
      </c>
    </row>
    <row r="2288" spans="1:1" x14ac:dyDescent="0.25">
      <c r="A2288" t="s">
        <v>8754</v>
      </c>
    </row>
    <row r="2289" spans="1:1" x14ac:dyDescent="0.25">
      <c r="A2289" t="s">
        <v>8755</v>
      </c>
    </row>
    <row r="2290" spans="1:1" x14ac:dyDescent="0.25">
      <c r="A2290" t="s">
        <v>8756</v>
      </c>
    </row>
    <row r="2291" spans="1:1" x14ac:dyDescent="0.25">
      <c r="A2291" t="s">
        <v>8757</v>
      </c>
    </row>
    <row r="2292" spans="1:1" x14ac:dyDescent="0.25">
      <c r="A2292" t="s">
        <v>8758</v>
      </c>
    </row>
    <row r="2293" spans="1:1" x14ac:dyDescent="0.25">
      <c r="A2293" t="s">
        <v>8759</v>
      </c>
    </row>
    <row r="2294" spans="1:1" x14ac:dyDescent="0.25">
      <c r="A2294" t="s">
        <v>8760</v>
      </c>
    </row>
    <row r="2295" spans="1:1" x14ac:dyDescent="0.25">
      <c r="A2295" t="s">
        <v>8761</v>
      </c>
    </row>
    <row r="2296" spans="1:1" x14ac:dyDescent="0.25">
      <c r="A2296" t="s">
        <v>8762</v>
      </c>
    </row>
    <row r="2297" spans="1:1" x14ac:dyDescent="0.25">
      <c r="A2297" t="s">
        <v>8763</v>
      </c>
    </row>
    <row r="2298" spans="1:1" x14ac:dyDescent="0.25">
      <c r="A2298" t="s">
        <v>8764</v>
      </c>
    </row>
    <row r="2299" spans="1:1" x14ac:dyDescent="0.25">
      <c r="A2299" t="s">
        <v>8765</v>
      </c>
    </row>
    <row r="2300" spans="1:1" x14ac:dyDescent="0.25">
      <c r="A2300" t="s">
        <v>8766</v>
      </c>
    </row>
    <row r="2301" spans="1:1" x14ac:dyDescent="0.25">
      <c r="A2301" t="s">
        <v>8767</v>
      </c>
    </row>
    <row r="2302" spans="1:1" x14ac:dyDescent="0.25">
      <c r="A2302" t="s">
        <v>8768</v>
      </c>
    </row>
    <row r="2303" spans="1:1" x14ac:dyDescent="0.25">
      <c r="A2303" t="s">
        <v>8769</v>
      </c>
    </row>
    <row r="2304" spans="1:1" x14ac:dyDescent="0.25">
      <c r="A2304" t="s">
        <v>8770</v>
      </c>
    </row>
    <row r="2305" spans="1:1" x14ac:dyDescent="0.25">
      <c r="A2305" t="s">
        <v>8771</v>
      </c>
    </row>
    <row r="2306" spans="1:1" x14ac:dyDescent="0.25">
      <c r="A2306" t="s">
        <v>8772</v>
      </c>
    </row>
    <row r="2307" spans="1:1" x14ac:dyDescent="0.25">
      <c r="A2307" t="s">
        <v>8773</v>
      </c>
    </row>
    <row r="2308" spans="1:1" x14ac:dyDescent="0.25">
      <c r="A2308" t="s">
        <v>8774</v>
      </c>
    </row>
    <row r="2309" spans="1:1" x14ac:dyDescent="0.25">
      <c r="A2309" t="s">
        <v>8775</v>
      </c>
    </row>
    <row r="2310" spans="1:1" x14ac:dyDescent="0.25">
      <c r="A2310" t="s">
        <v>8776</v>
      </c>
    </row>
    <row r="2311" spans="1:1" x14ac:dyDescent="0.25">
      <c r="A2311" t="s">
        <v>8777</v>
      </c>
    </row>
    <row r="2312" spans="1:1" x14ac:dyDescent="0.25">
      <c r="A2312" t="s">
        <v>8778</v>
      </c>
    </row>
    <row r="2313" spans="1:1" x14ac:dyDescent="0.25">
      <c r="A2313" t="s">
        <v>8779</v>
      </c>
    </row>
    <row r="2314" spans="1:1" x14ac:dyDescent="0.25">
      <c r="A2314" t="s">
        <v>8780</v>
      </c>
    </row>
    <row r="2315" spans="1:1" x14ac:dyDescent="0.25">
      <c r="A2315" t="s">
        <v>8781</v>
      </c>
    </row>
    <row r="2316" spans="1:1" x14ac:dyDescent="0.25">
      <c r="A2316" t="s">
        <v>8782</v>
      </c>
    </row>
    <row r="2317" spans="1:1" x14ac:dyDescent="0.25">
      <c r="A2317" t="s">
        <v>8783</v>
      </c>
    </row>
    <row r="2318" spans="1:1" x14ac:dyDescent="0.25">
      <c r="A2318" t="s">
        <v>8784</v>
      </c>
    </row>
    <row r="2319" spans="1:1" x14ac:dyDescent="0.25">
      <c r="A2319" t="s">
        <v>8785</v>
      </c>
    </row>
    <row r="2320" spans="1:1" x14ac:dyDescent="0.25">
      <c r="A2320" t="s">
        <v>8786</v>
      </c>
    </row>
    <row r="2321" spans="1:1" x14ac:dyDescent="0.25">
      <c r="A2321" t="s">
        <v>8787</v>
      </c>
    </row>
    <row r="2322" spans="1:1" x14ac:dyDescent="0.25">
      <c r="A2322" t="s">
        <v>8788</v>
      </c>
    </row>
    <row r="2323" spans="1:1" x14ac:dyDescent="0.25">
      <c r="A2323" t="s">
        <v>8789</v>
      </c>
    </row>
    <row r="2324" spans="1:1" x14ac:dyDescent="0.25">
      <c r="A2324" t="s">
        <v>8790</v>
      </c>
    </row>
    <row r="2325" spans="1:1" x14ac:dyDescent="0.25">
      <c r="A2325" t="s">
        <v>8791</v>
      </c>
    </row>
    <row r="2326" spans="1:1" x14ac:dyDescent="0.25">
      <c r="A2326" t="s">
        <v>8792</v>
      </c>
    </row>
    <row r="2327" spans="1:1" x14ac:dyDescent="0.25">
      <c r="A2327" t="s">
        <v>8793</v>
      </c>
    </row>
    <row r="2328" spans="1:1" x14ac:dyDescent="0.25">
      <c r="A2328" t="s">
        <v>8794</v>
      </c>
    </row>
    <row r="2329" spans="1:1" x14ac:dyDescent="0.25">
      <c r="A2329" t="s">
        <v>8795</v>
      </c>
    </row>
    <row r="2330" spans="1:1" x14ac:dyDescent="0.25">
      <c r="A2330" t="s">
        <v>8796</v>
      </c>
    </row>
    <row r="2331" spans="1:1" x14ac:dyDescent="0.25">
      <c r="A2331" t="s">
        <v>8797</v>
      </c>
    </row>
    <row r="2332" spans="1:1" x14ac:dyDescent="0.25">
      <c r="A2332" t="s">
        <v>8798</v>
      </c>
    </row>
    <row r="2333" spans="1:1" x14ac:dyDescent="0.25">
      <c r="A2333" t="s">
        <v>8799</v>
      </c>
    </row>
    <row r="2334" spans="1:1" x14ac:dyDescent="0.25">
      <c r="A2334" t="s">
        <v>8800</v>
      </c>
    </row>
    <row r="2335" spans="1:1" x14ac:dyDescent="0.25">
      <c r="A2335" t="s">
        <v>8801</v>
      </c>
    </row>
    <row r="2336" spans="1:1" x14ac:dyDescent="0.25">
      <c r="A2336" t="s">
        <v>8802</v>
      </c>
    </row>
    <row r="2337" spans="1:1" x14ac:dyDescent="0.25">
      <c r="A2337" t="s">
        <v>8803</v>
      </c>
    </row>
    <row r="2338" spans="1:1" x14ac:dyDescent="0.25">
      <c r="A2338" t="s">
        <v>8804</v>
      </c>
    </row>
    <row r="2339" spans="1:1" x14ac:dyDescent="0.25">
      <c r="A2339" t="s">
        <v>8805</v>
      </c>
    </row>
    <row r="2340" spans="1:1" x14ac:dyDescent="0.25">
      <c r="A2340" t="s">
        <v>8806</v>
      </c>
    </row>
    <row r="2341" spans="1:1" x14ac:dyDescent="0.25">
      <c r="A2341" t="s">
        <v>8807</v>
      </c>
    </row>
    <row r="2342" spans="1:1" x14ac:dyDescent="0.25">
      <c r="A2342" t="s">
        <v>8808</v>
      </c>
    </row>
    <row r="2343" spans="1:1" x14ac:dyDescent="0.25">
      <c r="A2343" t="s">
        <v>8809</v>
      </c>
    </row>
    <row r="2344" spans="1:1" x14ac:dyDescent="0.25">
      <c r="A2344" t="s">
        <v>8810</v>
      </c>
    </row>
    <row r="2345" spans="1:1" x14ac:dyDescent="0.25">
      <c r="A2345" t="s">
        <v>8811</v>
      </c>
    </row>
    <row r="2346" spans="1:1" x14ac:dyDescent="0.25">
      <c r="A2346" t="s">
        <v>8812</v>
      </c>
    </row>
    <row r="2347" spans="1:1" x14ac:dyDescent="0.25">
      <c r="A2347" t="s">
        <v>8813</v>
      </c>
    </row>
    <row r="2348" spans="1:1" x14ac:dyDescent="0.25">
      <c r="A2348" t="s">
        <v>8814</v>
      </c>
    </row>
    <row r="2349" spans="1:1" x14ac:dyDescent="0.25">
      <c r="A2349" t="s">
        <v>8815</v>
      </c>
    </row>
    <row r="2350" spans="1:1" x14ac:dyDescent="0.25">
      <c r="A2350" t="s">
        <v>8816</v>
      </c>
    </row>
    <row r="2351" spans="1:1" x14ac:dyDescent="0.25">
      <c r="A2351" t="s">
        <v>8817</v>
      </c>
    </row>
    <row r="2352" spans="1:1" x14ac:dyDescent="0.25">
      <c r="A2352" t="s">
        <v>8818</v>
      </c>
    </row>
    <row r="2353" spans="1:1" x14ac:dyDescent="0.25">
      <c r="A2353" t="s">
        <v>8819</v>
      </c>
    </row>
    <row r="2354" spans="1:1" x14ac:dyDescent="0.25">
      <c r="A2354" t="s">
        <v>8820</v>
      </c>
    </row>
    <row r="2355" spans="1:1" x14ac:dyDescent="0.25">
      <c r="A2355" t="s">
        <v>8821</v>
      </c>
    </row>
    <row r="2356" spans="1:1" x14ac:dyDescent="0.25">
      <c r="A2356" t="s">
        <v>8822</v>
      </c>
    </row>
    <row r="2357" spans="1:1" x14ac:dyDescent="0.25">
      <c r="A2357" t="s">
        <v>8823</v>
      </c>
    </row>
    <row r="2358" spans="1:1" x14ac:dyDescent="0.25">
      <c r="A2358" t="s">
        <v>8824</v>
      </c>
    </row>
    <row r="2359" spans="1:1" x14ac:dyDescent="0.25">
      <c r="A2359" t="s">
        <v>8825</v>
      </c>
    </row>
    <row r="2360" spans="1:1" x14ac:dyDescent="0.25">
      <c r="A2360" t="s">
        <v>8826</v>
      </c>
    </row>
    <row r="2361" spans="1:1" x14ac:dyDescent="0.25">
      <c r="A2361" t="s">
        <v>8827</v>
      </c>
    </row>
    <row r="2362" spans="1:1" x14ac:dyDescent="0.25">
      <c r="A2362" t="s">
        <v>8828</v>
      </c>
    </row>
    <row r="2363" spans="1:1" x14ac:dyDescent="0.25">
      <c r="A2363" t="s">
        <v>8829</v>
      </c>
    </row>
    <row r="2364" spans="1:1" x14ac:dyDescent="0.25">
      <c r="A2364" t="s">
        <v>8830</v>
      </c>
    </row>
    <row r="2365" spans="1:1" x14ac:dyDescent="0.25">
      <c r="A2365" t="s">
        <v>8831</v>
      </c>
    </row>
    <row r="2366" spans="1:1" x14ac:dyDescent="0.25">
      <c r="A2366" t="s">
        <v>8832</v>
      </c>
    </row>
    <row r="2367" spans="1:1" x14ac:dyDescent="0.25">
      <c r="A2367" t="s">
        <v>8833</v>
      </c>
    </row>
    <row r="2368" spans="1:1" x14ac:dyDescent="0.25">
      <c r="A2368" t="s">
        <v>8834</v>
      </c>
    </row>
    <row r="2369" spans="1:1" x14ac:dyDescent="0.25">
      <c r="A2369" t="s">
        <v>8835</v>
      </c>
    </row>
    <row r="2370" spans="1:1" x14ac:dyDescent="0.25">
      <c r="A2370" t="s">
        <v>8836</v>
      </c>
    </row>
    <row r="2371" spans="1:1" x14ac:dyDescent="0.25">
      <c r="A2371" t="s">
        <v>8837</v>
      </c>
    </row>
    <row r="2372" spans="1:1" x14ac:dyDescent="0.25">
      <c r="A2372" t="s">
        <v>8838</v>
      </c>
    </row>
    <row r="2373" spans="1:1" x14ac:dyDescent="0.25">
      <c r="A2373" t="s">
        <v>8839</v>
      </c>
    </row>
    <row r="2374" spans="1:1" x14ac:dyDescent="0.25">
      <c r="A2374" t="s">
        <v>8840</v>
      </c>
    </row>
    <row r="2375" spans="1:1" x14ac:dyDescent="0.25">
      <c r="A2375" t="s">
        <v>8841</v>
      </c>
    </row>
    <row r="2376" spans="1:1" x14ac:dyDescent="0.25">
      <c r="A2376" t="s">
        <v>8842</v>
      </c>
    </row>
    <row r="2377" spans="1:1" x14ac:dyDescent="0.25">
      <c r="A2377" t="s">
        <v>8843</v>
      </c>
    </row>
    <row r="2378" spans="1:1" x14ac:dyDescent="0.25">
      <c r="A2378" t="s">
        <v>8844</v>
      </c>
    </row>
    <row r="2379" spans="1:1" x14ac:dyDescent="0.25">
      <c r="A2379" t="s">
        <v>8845</v>
      </c>
    </row>
    <row r="2380" spans="1:1" x14ac:dyDescent="0.25">
      <c r="A2380" t="s">
        <v>8846</v>
      </c>
    </row>
    <row r="2381" spans="1:1" x14ac:dyDescent="0.25">
      <c r="A2381" t="s">
        <v>8847</v>
      </c>
    </row>
    <row r="2382" spans="1:1" x14ac:dyDescent="0.25">
      <c r="A2382" t="s">
        <v>8848</v>
      </c>
    </row>
    <row r="2383" spans="1:1" x14ac:dyDescent="0.25">
      <c r="A2383" t="s">
        <v>8849</v>
      </c>
    </row>
    <row r="2384" spans="1:1" x14ac:dyDescent="0.25">
      <c r="A2384" t="s">
        <v>8850</v>
      </c>
    </row>
    <row r="2385" spans="1:1" x14ac:dyDescent="0.25">
      <c r="A2385" t="s">
        <v>8851</v>
      </c>
    </row>
    <row r="2386" spans="1:1" x14ac:dyDescent="0.25">
      <c r="A2386" t="s">
        <v>8852</v>
      </c>
    </row>
    <row r="2387" spans="1:1" x14ac:dyDescent="0.25">
      <c r="A2387" t="s">
        <v>8853</v>
      </c>
    </row>
    <row r="2388" spans="1:1" x14ac:dyDescent="0.25">
      <c r="A2388" t="s">
        <v>8854</v>
      </c>
    </row>
    <row r="2389" spans="1:1" x14ac:dyDescent="0.25">
      <c r="A2389" t="s">
        <v>8855</v>
      </c>
    </row>
    <row r="2390" spans="1:1" x14ac:dyDescent="0.25">
      <c r="A2390" t="s">
        <v>8856</v>
      </c>
    </row>
    <row r="2391" spans="1:1" x14ac:dyDescent="0.25">
      <c r="A2391" t="s">
        <v>8857</v>
      </c>
    </row>
    <row r="2392" spans="1:1" x14ac:dyDescent="0.25">
      <c r="A2392" t="s">
        <v>8858</v>
      </c>
    </row>
    <row r="2393" spans="1:1" x14ac:dyDescent="0.25">
      <c r="A2393" t="s">
        <v>8859</v>
      </c>
    </row>
    <row r="2394" spans="1:1" x14ac:dyDescent="0.25">
      <c r="A2394" t="s">
        <v>8860</v>
      </c>
    </row>
    <row r="2395" spans="1:1" x14ac:dyDescent="0.25">
      <c r="A2395" t="s">
        <v>8861</v>
      </c>
    </row>
    <row r="2396" spans="1:1" x14ac:dyDescent="0.25">
      <c r="A2396" t="s">
        <v>8862</v>
      </c>
    </row>
    <row r="2397" spans="1:1" x14ac:dyDescent="0.25">
      <c r="A2397" t="s">
        <v>8863</v>
      </c>
    </row>
    <row r="2398" spans="1:1" x14ac:dyDescent="0.25">
      <c r="A2398" t="s">
        <v>8864</v>
      </c>
    </row>
    <row r="2399" spans="1:1" x14ac:dyDescent="0.25">
      <c r="A2399" t="s">
        <v>8865</v>
      </c>
    </row>
    <row r="2400" spans="1:1" x14ac:dyDescent="0.25">
      <c r="A2400" t="s">
        <v>8866</v>
      </c>
    </row>
    <row r="2401" spans="1:1" x14ac:dyDescent="0.25">
      <c r="A2401" t="s">
        <v>8867</v>
      </c>
    </row>
    <row r="2402" spans="1:1" x14ac:dyDescent="0.25">
      <c r="A2402" t="s">
        <v>8868</v>
      </c>
    </row>
    <row r="2403" spans="1:1" x14ac:dyDescent="0.25">
      <c r="A2403" t="s">
        <v>8869</v>
      </c>
    </row>
    <row r="2404" spans="1:1" x14ac:dyDescent="0.25">
      <c r="A2404" t="s">
        <v>8870</v>
      </c>
    </row>
    <row r="2405" spans="1:1" x14ac:dyDescent="0.25">
      <c r="A2405" t="s">
        <v>8871</v>
      </c>
    </row>
    <row r="2406" spans="1:1" x14ac:dyDescent="0.25">
      <c r="A2406" t="s">
        <v>8872</v>
      </c>
    </row>
    <row r="2407" spans="1:1" x14ac:dyDescent="0.25">
      <c r="A2407" t="s">
        <v>8873</v>
      </c>
    </row>
    <row r="2408" spans="1:1" x14ac:dyDescent="0.25">
      <c r="A2408" t="s">
        <v>8874</v>
      </c>
    </row>
    <row r="2409" spans="1:1" x14ac:dyDescent="0.25">
      <c r="A2409" t="s">
        <v>8875</v>
      </c>
    </row>
    <row r="2410" spans="1:1" x14ac:dyDescent="0.25">
      <c r="A2410" t="s">
        <v>8876</v>
      </c>
    </row>
    <row r="2411" spans="1:1" x14ac:dyDescent="0.25">
      <c r="A2411" t="s">
        <v>8877</v>
      </c>
    </row>
    <row r="2412" spans="1:1" x14ac:dyDescent="0.25">
      <c r="A2412" t="s">
        <v>8878</v>
      </c>
    </row>
    <row r="2413" spans="1:1" x14ac:dyDescent="0.25">
      <c r="A2413" t="s">
        <v>8879</v>
      </c>
    </row>
    <row r="2414" spans="1:1" x14ac:dyDescent="0.25">
      <c r="A2414" t="s">
        <v>8880</v>
      </c>
    </row>
    <row r="2415" spans="1:1" x14ac:dyDescent="0.25">
      <c r="A2415" t="s">
        <v>8881</v>
      </c>
    </row>
    <row r="2416" spans="1:1" x14ac:dyDescent="0.25">
      <c r="A2416" t="s">
        <v>8882</v>
      </c>
    </row>
    <row r="2417" spans="1:1" x14ac:dyDescent="0.25">
      <c r="A2417" t="s">
        <v>8883</v>
      </c>
    </row>
    <row r="2418" spans="1:1" x14ac:dyDescent="0.25">
      <c r="A2418" t="s">
        <v>8884</v>
      </c>
    </row>
    <row r="2419" spans="1:1" x14ac:dyDescent="0.25">
      <c r="A2419" t="s">
        <v>8885</v>
      </c>
    </row>
    <row r="2420" spans="1:1" x14ac:dyDescent="0.25">
      <c r="A2420" t="s">
        <v>8886</v>
      </c>
    </row>
    <row r="2421" spans="1:1" x14ac:dyDescent="0.25">
      <c r="A2421" t="s">
        <v>8887</v>
      </c>
    </row>
    <row r="2422" spans="1:1" x14ac:dyDescent="0.25">
      <c r="A2422" t="s">
        <v>8888</v>
      </c>
    </row>
    <row r="2423" spans="1:1" x14ac:dyDescent="0.25">
      <c r="A2423" t="s">
        <v>8889</v>
      </c>
    </row>
    <row r="2424" spans="1:1" x14ac:dyDescent="0.25">
      <c r="A2424" t="s">
        <v>8890</v>
      </c>
    </row>
    <row r="2425" spans="1:1" x14ac:dyDescent="0.25">
      <c r="A2425" t="s">
        <v>8891</v>
      </c>
    </row>
    <row r="2426" spans="1:1" x14ac:dyDescent="0.25">
      <c r="A2426" t="s">
        <v>8892</v>
      </c>
    </row>
    <row r="2427" spans="1:1" x14ac:dyDescent="0.25">
      <c r="A2427" t="s">
        <v>8893</v>
      </c>
    </row>
    <row r="2428" spans="1:1" x14ac:dyDescent="0.25">
      <c r="A2428" t="s">
        <v>8894</v>
      </c>
    </row>
    <row r="2429" spans="1:1" x14ac:dyDescent="0.25">
      <c r="A2429" t="s">
        <v>8895</v>
      </c>
    </row>
    <row r="2430" spans="1:1" x14ac:dyDescent="0.25">
      <c r="A2430" t="s">
        <v>8896</v>
      </c>
    </row>
    <row r="2431" spans="1:1" x14ac:dyDescent="0.25">
      <c r="A2431" t="s">
        <v>8897</v>
      </c>
    </row>
    <row r="2432" spans="1:1" x14ac:dyDescent="0.25">
      <c r="A2432" t="s">
        <v>8898</v>
      </c>
    </row>
    <row r="2433" spans="1:1" x14ac:dyDescent="0.25">
      <c r="A2433" t="s">
        <v>8899</v>
      </c>
    </row>
    <row r="2434" spans="1:1" x14ac:dyDescent="0.25">
      <c r="A2434" t="s">
        <v>8900</v>
      </c>
    </row>
    <row r="2435" spans="1:1" x14ac:dyDescent="0.25">
      <c r="A2435" t="s">
        <v>8901</v>
      </c>
    </row>
    <row r="2436" spans="1:1" x14ac:dyDescent="0.25">
      <c r="A2436" t="s">
        <v>8902</v>
      </c>
    </row>
    <row r="2437" spans="1:1" x14ac:dyDescent="0.25">
      <c r="A2437" t="s">
        <v>8903</v>
      </c>
    </row>
    <row r="2438" spans="1:1" x14ac:dyDescent="0.25">
      <c r="A2438" t="s">
        <v>8904</v>
      </c>
    </row>
    <row r="2439" spans="1:1" x14ac:dyDescent="0.25">
      <c r="A2439" t="s">
        <v>8905</v>
      </c>
    </row>
    <row r="2440" spans="1:1" x14ac:dyDescent="0.25">
      <c r="A2440" t="s">
        <v>8906</v>
      </c>
    </row>
    <row r="2441" spans="1:1" x14ac:dyDescent="0.25">
      <c r="A2441" t="s">
        <v>8907</v>
      </c>
    </row>
    <row r="2442" spans="1:1" x14ac:dyDescent="0.25">
      <c r="A2442" t="s">
        <v>8908</v>
      </c>
    </row>
    <row r="2443" spans="1:1" x14ac:dyDescent="0.25">
      <c r="A2443" t="s">
        <v>8909</v>
      </c>
    </row>
    <row r="2444" spans="1:1" x14ac:dyDescent="0.25">
      <c r="A2444" t="s">
        <v>8910</v>
      </c>
    </row>
    <row r="2445" spans="1:1" x14ac:dyDescent="0.25">
      <c r="A2445" t="s">
        <v>8911</v>
      </c>
    </row>
    <row r="2446" spans="1:1" x14ac:dyDescent="0.25">
      <c r="A2446" t="s">
        <v>8912</v>
      </c>
    </row>
    <row r="2447" spans="1:1" x14ac:dyDescent="0.25">
      <c r="A2447" t="s">
        <v>8913</v>
      </c>
    </row>
    <row r="2448" spans="1:1" x14ac:dyDescent="0.25">
      <c r="A2448" t="s">
        <v>8914</v>
      </c>
    </row>
    <row r="2449" spans="1:1" x14ac:dyDescent="0.25">
      <c r="A2449" t="s">
        <v>8915</v>
      </c>
    </row>
    <row r="2450" spans="1:1" x14ac:dyDescent="0.25">
      <c r="A2450" t="s">
        <v>8916</v>
      </c>
    </row>
    <row r="2451" spans="1:1" x14ac:dyDescent="0.25">
      <c r="A2451" t="s">
        <v>8917</v>
      </c>
    </row>
    <row r="2452" spans="1:1" x14ac:dyDescent="0.25">
      <c r="A2452" t="s">
        <v>8918</v>
      </c>
    </row>
    <row r="2453" spans="1:1" x14ac:dyDescent="0.25">
      <c r="A2453" t="s">
        <v>8919</v>
      </c>
    </row>
    <row r="2454" spans="1:1" x14ac:dyDescent="0.25">
      <c r="A2454" t="s">
        <v>8920</v>
      </c>
    </row>
    <row r="2455" spans="1:1" x14ac:dyDescent="0.25">
      <c r="A2455" t="s">
        <v>8921</v>
      </c>
    </row>
    <row r="2456" spans="1:1" x14ac:dyDescent="0.25">
      <c r="A2456" t="s">
        <v>8922</v>
      </c>
    </row>
    <row r="2457" spans="1:1" x14ac:dyDescent="0.25">
      <c r="A2457" t="s">
        <v>8923</v>
      </c>
    </row>
    <row r="2458" spans="1:1" x14ac:dyDescent="0.25">
      <c r="A2458" t="s">
        <v>8924</v>
      </c>
    </row>
    <row r="2459" spans="1:1" x14ac:dyDescent="0.25">
      <c r="A2459" t="s">
        <v>8925</v>
      </c>
    </row>
    <row r="2460" spans="1:1" x14ac:dyDescent="0.25">
      <c r="A2460" t="s">
        <v>8926</v>
      </c>
    </row>
    <row r="2461" spans="1:1" x14ac:dyDescent="0.25">
      <c r="A2461" t="s">
        <v>8927</v>
      </c>
    </row>
    <row r="2462" spans="1:1" x14ac:dyDescent="0.25">
      <c r="A2462" t="s">
        <v>8928</v>
      </c>
    </row>
    <row r="2463" spans="1:1" x14ac:dyDescent="0.25">
      <c r="A2463" t="s">
        <v>8929</v>
      </c>
    </row>
    <row r="2464" spans="1:1" x14ac:dyDescent="0.25">
      <c r="A2464" t="s">
        <v>8930</v>
      </c>
    </row>
    <row r="2465" spans="1:1" x14ac:dyDescent="0.25">
      <c r="A2465" t="s">
        <v>8931</v>
      </c>
    </row>
    <row r="2466" spans="1:1" x14ac:dyDescent="0.25">
      <c r="A2466" t="s">
        <v>8932</v>
      </c>
    </row>
    <row r="2467" spans="1:1" x14ac:dyDescent="0.25">
      <c r="A2467" t="s">
        <v>8933</v>
      </c>
    </row>
    <row r="2468" spans="1:1" x14ac:dyDescent="0.25">
      <c r="A2468" t="s">
        <v>8934</v>
      </c>
    </row>
    <row r="2469" spans="1:1" x14ac:dyDescent="0.25">
      <c r="A2469" t="s">
        <v>8935</v>
      </c>
    </row>
    <row r="2470" spans="1:1" x14ac:dyDescent="0.25">
      <c r="A2470" t="s">
        <v>8936</v>
      </c>
    </row>
    <row r="2471" spans="1:1" x14ac:dyDescent="0.25">
      <c r="A2471" t="s">
        <v>8937</v>
      </c>
    </row>
    <row r="2472" spans="1:1" x14ac:dyDescent="0.25">
      <c r="A2472" t="s">
        <v>8938</v>
      </c>
    </row>
    <row r="2473" spans="1:1" x14ac:dyDescent="0.25">
      <c r="A2473" t="s">
        <v>8939</v>
      </c>
    </row>
    <row r="2474" spans="1:1" x14ac:dyDescent="0.25">
      <c r="A2474" t="s">
        <v>8940</v>
      </c>
    </row>
    <row r="2475" spans="1:1" x14ac:dyDescent="0.25">
      <c r="A2475" t="s">
        <v>8941</v>
      </c>
    </row>
    <row r="2476" spans="1:1" x14ac:dyDescent="0.25">
      <c r="A2476" t="s">
        <v>8942</v>
      </c>
    </row>
    <row r="2477" spans="1:1" x14ac:dyDescent="0.25">
      <c r="A2477" t="s">
        <v>8943</v>
      </c>
    </row>
    <row r="2478" spans="1:1" x14ac:dyDescent="0.25">
      <c r="A2478" t="s">
        <v>8944</v>
      </c>
    </row>
    <row r="2479" spans="1:1" x14ac:dyDescent="0.25">
      <c r="A2479" t="s">
        <v>8945</v>
      </c>
    </row>
    <row r="2480" spans="1:1" x14ac:dyDescent="0.25">
      <c r="A2480" t="s">
        <v>8946</v>
      </c>
    </row>
    <row r="2481" spans="1:1" x14ac:dyDescent="0.25">
      <c r="A2481" t="s">
        <v>8947</v>
      </c>
    </row>
    <row r="2482" spans="1:1" x14ac:dyDescent="0.25">
      <c r="A2482" t="s">
        <v>8948</v>
      </c>
    </row>
    <row r="2483" spans="1:1" x14ac:dyDescent="0.25">
      <c r="A2483" t="s">
        <v>8949</v>
      </c>
    </row>
    <row r="2484" spans="1:1" x14ac:dyDescent="0.25">
      <c r="A2484" t="s">
        <v>8950</v>
      </c>
    </row>
    <row r="2485" spans="1:1" x14ac:dyDescent="0.25">
      <c r="A2485" t="s">
        <v>8951</v>
      </c>
    </row>
    <row r="2486" spans="1:1" x14ac:dyDescent="0.25">
      <c r="A2486" t="s">
        <v>8952</v>
      </c>
    </row>
    <row r="2487" spans="1:1" x14ac:dyDescent="0.25">
      <c r="A2487" t="s">
        <v>8953</v>
      </c>
    </row>
    <row r="2488" spans="1:1" x14ac:dyDescent="0.25">
      <c r="A2488" t="s">
        <v>8954</v>
      </c>
    </row>
    <row r="2489" spans="1:1" x14ac:dyDescent="0.25">
      <c r="A2489" t="s">
        <v>8955</v>
      </c>
    </row>
    <row r="2490" spans="1:1" x14ac:dyDescent="0.25">
      <c r="A2490" t="s">
        <v>8956</v>
      </c>
    </row>
    <row r="2491" spans="1:1" x14ac:dyDescent="0.25">
      <c r="A2491" t="s">
        <v>8957</v>
      </c>
    </row>
    <row r="2492" spans="1:1" x14ac:dyDescent="0.25">
      <c r="A2492" t="s">
        <v>8958</v>
      </c>
    </row>
    <row r="2493" spans="1:1" x14ac:dyDescent="0.25">
      <c r="A2493" t="s">
        <v>8959</v>
      </c>
    </row>
    <row r="2494" spans="1:1" x14ac:dyDescent="0.25">
      <c r="A2494" t="s">
        <v>8960</v>
      </c>
    </row>
    <row r="2495" spans="1:1" x14ac:dyDescent="0.25">
      <c r="A2495" t="s">
        <v>8961</v>
      </c>
    </row>
    <row r="2496" spans="1:1" x14ac:dyDescent="0.25">
      <c r="A2496" t="s">
        <v>8962</v>
      </c>
    </row>
    <row r="2497" spans="1:1" x14ac:dyDescent="0.25">
      <c r="A2497" t="s">
        <v>8963</v>
      </c>
    </row>
    <row r="2498" spans="1:1" x14ac:dyDescent="0.25">
      <c r="A2498" t="s">
        <v>8964</v>
      </c>
    </row>
    <row r="2499" spans="1:1" x14ac:dyDescent="0.25">
      <c r="A2499" t="s">
        <v>8965</v>
      </c>
    </row>
    <row r="2500" spans="1:1" x14ac:dyDescent="0.25">
      <c r="A2500" t="s">
        <v>8966</v>
      </c>
    </row>
    <row r="2501" spans="1:1" x14ac:dyDescent="0.25">
      <c r="A2501" t="s">
        <v>8967</v>
      </c>
    </row>
    <row r="2502" spans="1:1" x14ac:dyDescent="0.25">
      <c r="A2502" t="s">
        <v>8968</v>
      </c>
    </row>
    <row r="2503" spans="1:1" x14ac:dyDescent="0.25">
      <c r="A2503" t="s">
        <v>8969</v>
      </c>
    </row>
    <row r="2504" spans="1:1" x14ac:dyDescent="0.25">
      <c r="A2504" t="s">
        <v>8970</v>
      </c>
    </row>
    <row r="2505" spans="1:1" x14ac:dyDescent="0.25">
      <c r="A2505" t="s">
        <v>8971</v>
      </c>
    </row>
    <row r="2506" spans="1:1" x14ac:dyDescent="0.25">
      <c r="A2506" t="s">
        <v>8972</v>
      </c>
    </row>
    <row r="2507" spans="1:1" x14ac:dyDescent="0.25">
      <c r="A2507" t="s">
        <v>8973</v>
      </c>
    </row>
    <row r="2508" spans="1:1" x14ac:dyDescent="0.25">
      <c r="A2508" t="s">
        <v>8974</v>
      </c>
    </row>
    <row r="2509" spans="1:1" x14ac:dyDescent="0.25">
      <c r="A2509" t="s">
        <v>8975</v>
      </c>
    </row>
    <row r="2510" spans="1:1" x14ac:dyDescent="0.25">
      <c r="A2510" t="s">
        <v>8976</v>
      </c>
    </row>
    <row r="2511" spans="1:1" x14ac:dyDescent="0.25">
      <c r="A2511" t="s">
        <v>8977</v>
      </c>
    </row>
    <row r="2512" spans="1:1" x14ac:dyDescent="0.25">
      <c r="A2512" t="s">
        <v>8978</v>
      </c>
    </row>
    <row r="2513" spans="1:1" x14ac:dyDescent="0.25">
      <c r="A2513" t="s">
        <v>8979</v>
      </c>
    </row>
    <row r="2514" spans="1:1" x14ac:dyDescent="0.25">
      <c r="A2514" t="s">
        <v>8980</v>
      </c>
    </row>
    <row r="2515" spans="1:1" x14ac:dyDescent="0.25">
      <c r="A2515" t="s">
        <v>8981</v>
      </c>
    </row>
    <row r="2516" spans="1:1" x14ac:dyDescent="0.25">
      <c r="A2516" t="s">
        <v>8982</v>
      </c>
    </row>
    <row r="2517" spans="1:1" x14ac:dyDescent="0.25">
      <c r="A2517" t="s">
        <v>8983</v>
      </c>
    </row>
    <row r="2518" spans="1:1" x14ac:dyDescent="0.25">
      <c r="A2518" t="s">
        <v>8984</v>
      </c>
    </row>
    <row r="2519" spans="1:1" x14ac:dyDescent="0.25">
      <c r="A2519" t="s">
        <v>8985</v>
      </c>
    </row>
    <row r="2520" spans="1:1" x14ac:dyDescent="0.25">
      <c r="A2520" t="s">
        <v>8986</v>
      </c>
    </row>
    <row r="2521" spans="1:1" x14ac:dyDescent="0.25">
      <c r="A2521" t="s">
        <v>8987</v>
      </c>
    </row>
    <row r="2522" spans="1:1" x14ac:dyDescent="0.25">
      <c r="A2522" t="s">
        <v>8988</v>
      </c>
    </row>
    <row r="2523" spans="1:1" x14ac:dyDescent="0.25">
      <c r="A2523" t="s">
        <v>8989</v>
      </c>
    </row>
    <row r="2524" spans="1:1" x14ac:dyDescent="0.25">
      <c r="A2524" t="s">
        <v>8990</v>
      </c>
    </row>
    <row r="2525" spans="1:1" x14ac:dyDescent="0.25">
      <c r="A2525" t="s">
        <v>8991</v>
      </c>
    </row>
    <row r="2526" spans="1:1" x14ac:dyDescent="0.25">
      <c r="A2526" t="s">
        <v>8992</v>
      </c>
    </row>
    <row r="2527" spans="1:1" x14ac:dyDescent="0.25">
      <c r="A2527" t="s">
        <v>8993</v>
      </c>
    </row>
    <row r="2528" spans="1:1" x14ac:dyDescent="0.25">
      <c r="A2528" t="s">
        <v>8994</v>
      </c>
    </row>
    <row r="2529" spans="1:1" x14ac:dyDescent="0.25">
      <c r="A2529" t="s">
        <v>8995</v>
      </c>
    </row>
    <row r="2530" spans="1:1" x14ac:dyDescent="0.25">
      <c r="A2530" t="s">
        <v>8996</v>
      </c>
    </row>
    <row r="2531" spans="1:1" x14ac:dyDescent="0.25">
      <c r="A2531" t="s">
        <v>8997</v>
      </c>
    </row>
    <row r="2532" spans="1:1" x14ac:dyDescent="0.25">
      <c r="A2532" t="s">
        <v>8998</v>
      </c>
    </row>
    <row r="2533" spans="1:1" x14ac:dyDescent="0.25">
      <c r="A2533" t="s">
        <v>8999</v>
      </c>
    </row>
    <row r="2534" spans="1:1" x14ac:dyDescent="0.25">
      <c r="A2534" t="s">
        <v>9000</v>
      </c>
    </row>
    <row r="2535" spans="1:1" x14ac:dyDescent="0.25">
      <c r="A2535" t="s">
        <v>9001</v>
      </c>
    </row>
    <row r="2536" spans="1:1" x14ac:dyDescent="0.25">
      <c r="A2536" t="s">
        <v>9002</v>
      </c>
    </row>
    <row r="2537" spans="1:1" x14ac:dyDescent="0.25">
      <c r="A2537" t="s">
        <v>9003</v>
      </c>
    </row>
    <row r="2538" spans="1:1" x14ac:dyDescent="0.25">
      <c r="A2538" t="s">
        <v>9004</v>
      </c>
    </row>
    <row r="2539" spans="1:1" x14ac:dyDescent="0.25">
      <c r="A2539" t="s">
        <v>9005</v>
      </c>
    </row>
    <row r="2540" spans="1:1" x14ac:dyDescent="0.25">
      <c r="A2540" t="s">
        <v>9006</v>
      </c>
    </row>
    <row r="2541" spans="1:1" x14ac:dyDescent="0.25">
      <c r="A2541" t="s">
        <v>9007</v>
      </c>
    </row>
    <row r="2542" spans="1:1" x14ac:dyDescent="0.25">
      <c r="A2542" t="s">
        <v>9008</v>
      </c>
    </row>
    <row r="2543" spans="1:1" x14ac:dyDescent="0.25">
      <c r="A2543" t="s">
        <v>9191</v>
      </c>
    </row>
    <row r="2544" spans="1:1" x14ac:dyDescent="0.25">
      <c r="A2544" t="s">
        <v>9192</v>
      </c>
    </row>
    <row r="2545" spans="1:1" x14ac:dyDescent="0.25">
      <c r="A2545" t="s">
        <v>9193</v>
      </c>
    </row>
    <row r="2546" spans="1:1" x14ac:dyDescent="0.25">
      <c r="A2546" t="s">
        <v>9194</v>
      </c>
    </row>
    <row r="2547" spans="1:1" x14ac:dyDescent="0.25">
      <c r="A2547" t="s">
        <v>9195</v>
      </c>
    </row>
    <row r="2548" spans="1:1" x14ac:dyDescent="0.25">
      <c r="A2548" t="s">
        <v>9196</v>
      </c>
    </row>
    <row r="2549" spans="1:1" x14ac:dyDescent="0.25">
      <c r="A2549" t="s">
        <v>9197</v>
      </c>
    </row>
    <row r="2550" spans="1:1" x14ac:dyDescent="0.25">
      <c r="A2550" t="s">
        <v>9198</v>
      </c>
    </row>
    <row r="2551" spans="1:1" x14ac:dyDescent="0.25">
      <c r="A2551" t="s">
        <v>9199</v>
      </c>
    </row>
    <row r="2552" spans="1:1" x14ac:dyDescent="0.25">
      <c r="A2552" t="s">
        <v>9200</v>
      </c>
    </row>
    <row r="2553" spans="1:1" x14ac:dyDescent="0.25">
      <c r="A2553" t="s">
        <v>9201</v>
      </c>
    </row>
    <row r="2554" spans="1:1" x14ac:dyDescent="0.25">
      <c r="A2554" t="s">
        <v>9202</v>
      </c>
    </row>
    <row r="2555" spans="1:1" x14ac:dyDescent="0.25">
      <c r="A2555" t="s">
        <v>9203</v>
      </c>
    </row>
    <row r="2556" spans="1:1" x14ac:dyDescent="0.25">
      <c r="A2556" t="s">
        <v>9204</v>
      </c>
    </row>
    <row r="2557" spans="1:1" x14ac:dyDescent="0.25">
      <c r="A2557" t="s">
        <v>9205</v>
      </c>
    </row>
    <row r="2558" spans="1:1" x14ac:dyDescent="0.25">
      <c r="A2558" t="s">
        <v>9206</v>
      </c>
    </row>
    <row r="2559" spans="1:1" x14ac:dyDescent="0.25">
      <c r="A2559" t="s">
        <v>9207</v>
      </c>
    </row>
    <row r="2560" spans="1:1" x14ac:dyDescent="0.25">
      <c r="A2560" t="s">
        <v>9208</v>
      </c>
    </row>
    <row r="2561" spans="1:1" x14ac:dyDescent="0.25">
      <c r="A2561" t="s">
        <v>9209</v>
      </c>
    </row>
    <row r="2562" spans="1:1" x14ac:dyDescent="0.25">
      <c r="A2562" t="s">
        <v>9210</v>
      </c>
    </row>
    <row r="2563" spans="1:1" x14ac:dyDescent="0.25">
      <c r="A2563" t="s">
        <v>9211</v>
      </c>
    </row>
    <row r="2564" spans="1:1" x14ac:dyDescent="0.25">
      <c r="A2564" t="s">
        <v>9212</v>
      </c>
    </row>
    <row r="2565" spans="1:1" x14ac:dyDescent="0.25">
      <c r="A2565" t="s">
        <v>9213</v>
      </c>
    </row>
    <row r="2566" spans="1:1" x14ac:dyDescent="0.25">
      <c r="A2566" t="s">
        <v>9214</v>
      </c>
    </row>
    <row r="2567" spans="1:1" x14ac:dyDescent="0.25">
      <c r="A2567" t="s">
        <v>9215</v>
      </c>
    </row>
    <row r="2568" spans="1:1" x14ac:dyDescent="0.25">
      <c r="A2568" t="s">
        <v>9216</v>
      </c>
    </row>
    <row r="2569" spans="1:1" x14ac:dyDescent="0.25">
      <c r="A2569" t="s">
        <v>9218</v>
      </c>
    </row>
    <row r="2570" spans="1:1" x14ac:dyDescent="0.25">
      <c r="A2570" t="s">
        <v>9219</v>
      </c>
    </row>
    <row r="2571" spans="1:1" x14ac:dyDescent="0.25">
      <c r="A2571" t="s">
        <v>9220</v>
      </c>
    </row>
    <row r="2572" spans="1:1" x14ac:dyDescent="0.25">
      <c r="A2572" t="s">
        <v>9221</v>
      </c>
    </row>
    <row r="2573" spans="1:1" x14ac:dyDescent="0.25">
      <c r="A2573" t="s">
        <v>9222</v>
      </c>
    </row>
    <row r="2574" spans="1:1" x14ac:dyDescent="0.25">
      <c r="A2574" t="s">
        <v>9223</v>
      </c>
    </row>
    <row r="2575" spans="1:1" x14ac:dyDescent="0.25">
      <c r="A2575" t="s">
        <v>9224</v>
      </c>
    </row>
    <row r="2576" spans="1:1" x14ac:dyDescent="0.25">
      <c r="A2576" t="s">
        <v>9225</v>
      </c>
    </row>
    <row r="2577" spans="1:1" x14ac:dyDescent="0.25">
      <c r="A2577" t="s">
        <v>9226</v>
      </c>
    </row>
    <row r="2578" spans="1:1" x14ac:dyDescent="0.25">
      <c r="A2578" t="s">
        <v>9227</v>
      </c>
    </row>
    <row r="2579" spans="1:1" x14ac:dyDescent="0.25">
      <c r="A2579" t="s">
        <v>9228</v>
      </c>
    </row>
    <row r="2580" spans="1:1" x14ac:dyDescent="0.25">
      <c r="A2580" t="s">
        <v>9229</v>
      </c>
    </row>
    <row r="2581" spans="1:1" x14ac:dyDescent="0.25">
      <c r="A2581" t="s">
        <v>9230</v>
      </c>
    </row>
    <row r="2582" spans="1:1" x14ac:dyDescent="0.25">
      <c r="A2582" t="s">
        <v>9231</v>
      </c>
    </row>
    <row r="2583" spans="1:1" x14ac:dyDescent="0.25">
      <c r="A2583" t="s">
        <v>9232</v>
      </c>
    </row>
    <row r="2584" spans="1:1" x14ac:dyDescent="0.25">
      <c r="A2584" t="s">
        <v>9233</v>
      </c>
    </row>
    <row r="2585" spans="1:1" x14ac:dyDescent="0.25">
      <c r="A2585" t="s">
        <v>9234</v>
      </c>
    </row>
    <row r="2586" spans="1:1" x14ac:dyDescent="0.25">
      <c r="A2586" t="s">
        <v>9235</v>
      </c>
    </row>
    <row r="2587" spans="1:1" x14ac:dyDescent="0.25">
      <c r="A2587" t="s">
        <v>9236</v>
      </c>
    </row>
    <row r="2588" spans="1:1" x14ac:dyDescent="0.25">
      <c r="A2588" t="s">
        <v>9237</v>
      </c>
    </row>
    <row r="2589" spans="1:1" x14ac:dyDescent="0.25">
      <c r="A2589" t="s">
        <v>9238</v>
      </c>
    </row>
    <row r="2590" spans="1:1" x14ac:dyDescent="0.25">
      <c r="A2590" t="s">
        <v>9239</v>
      </c>
    </row>
    <row r="2591" spans="1:1" x14ac:dyDescent="0.25">
      <c r="A2591" t="s">
        <v>9240</v>
      </c>
    </row>
    <row r="2592" spans="1:1" x14ac:dyDescent="0.25">
      <c r="A2592" t="s">
        <v>9241</v>
      </c>
    </row>
    <row r="2593" spans="1:1" x14ac:dyDescent="0.25">
      <c r="A2593" t="s">
        <v>9242</v>
      </c>
    </row>
    <row r="2594" spans="1:1" x14ac:dyDescent="0.25">
      <c r="A2594" t="s">
        <v>9243</v>
      </c>
    </row>
    <row r="2595" spans="1:1" x14ac:dyDescent="0.25">
      <c r="A2595" t="s">
        <v>9244</v>
      </c>
    </row>
    <row r="2596" spans="1:1" x14ac:dyDescent="0.25">
      <c r="A2596" t="s">
        <v>9245</v>
      </c>
    </row>
    <row r="2597" spans="1:1" x14ac:dyDescent="0.25">
      <c r="A2597" t="s">
        <v>9246</v>
      </c>
    </row>
    <row r="2598" spans="1:1" x14ac:dyDescent="0.25">
      <c r="A2598" t="s">
        <v>9247</v>
      </c>
    </row>
    <row r="2599" spans="1:1" x14ac:dyDescent="0.25">
      <c r="A2599" t="s">
        <v>9248</v>
      </c>
    </row>
    <row r="2600" spans="1:1" x14ac:dyDescent="0.25">
      <c r="A2600" t="s">
        <v>9249</v>
      </c>
    </row>
    <row r="2601" spans="1:1" x14ac:dyDescent="0.25">
      <c r="A2601" t="s">
        <v>9250</v>
      </c>
    </row>
    <row r="2602" spans="1:1" x14ac:dyDescent="0.25">
      <c r="A2602" t="s">
        <v>9251</v>
      </c>
    </row>
    <row r="2603" spans="1:1" x14ac:dyDescent="0.25">
      <c r="A2603" t="s">
        <v>9252</v>
      </c>
    </row>
    <row r="2604" spans="1:1" x14ac:dyDescent="0.25">
      <c r="A2604" t="s">
        <v>9253</v>
      </c>
    </row>
    <row r="2605" spans="1:1" x14ac:dyDescent="0.25">
      <c r="A2605" t="s">
        <v>9254</v>
      </c>
    </row>
    <row r="2606" spans="1:1" x14ac:dyDescent="0.25">
      <c r="A2606" t="s">
        <v>9255</v>
      </c>
    </row>
    <row r="2607" spans="1:1" x14ac:dyDescent="0.25">
      <c r="A2607" t="s">
        <v>9256</v>
      </c>
    </row>
    <row r="2608" spans="1:1" x14ac:dyDescent="0.25">
      <c r="A2608" t="s">
        <v>9257</v>
      </c>
    </row>
    <row r="2609" spans="1:1" x14ac:dyDescent="0.25">
      <c r="A2609" t="s">
        <v>9258</v>
      </c>
    </row>
    <row r="2610" spans="1:1" x14ac:dyDescent="0.25">
      <c r="A2610" t="s">
        <v>9259</v>
      </c>
    </row>
    <row r="2611" spans="1:1" x14ac:dyDescent="0.25">
      <c r="A2611" t="s">
        <v>9260</v>
      </c>
    </row>
    <row r="2612" spans="1:1" x14ac:dyDescent="0.25">
      <c r="A2612" t="s">
        <v>9261</v>
      </c>
    </row>
    <row r="2613" spans="1:1" x14ac:dyDescent="0.25">
      <c r="A2613" t="s">
        <v>9262</v>
      </c>
    </row>
    <row r="2614" spans="1:1" x14ac:dyDescent="0.25">
      <c r="A2614" t="s">
        <v>9263</v>
      </c>
    </row>
    <row r="2615" spans="1:1" x14ac:dyDescent="0.25">
      <c r="A2615" t="s">
        <v>9264</v>
      </c>
    </row>
    <row r="2616" spans="1:1" x14ac:dyDescent="0.25">
      <c r="A2616" t="s">
        <v>9265</v>
      </c>
    </row>
    <row r="2617" spans="1:1" x14ac:dyDescent="0.25">
      <c r="A2617" t="s">
        <v>9266</v>
      </c>
    </row>
    <row r="2618" spans="1:1" x14ac:dyDescent="0.25">
      <c r="A2618" t="s">
        <v>9267</v>
      </c>
    </row>
    <row r="2619" spans="1:1" x14ac:dyDescent="0.25">
      <c r="A2619" t="s">
        <v>9268</v>
      </c>
    </row>
    <row r="2620" spans="1:1" x14ac:dyDescent="0.25">
      <c r="A2620" t="s">
        <v>9269</v>
      </c>
    </row>
    <row r="2621" spans="1:1" x14ac:dyDescent="0.25">
      <c r="A2621" t="s">
        <v>9270</v>
      </c>
    </row>
    <row r="2622" spans="1:1" x14ac:dyDescent="0.25">
      <c r="A2622" t="s">
        <v>9271</v>
      </c>
    </row>
    <row r="2623" spans="1:1" x14ac:dyDescent="0.25">
      <c r="A2623" t="s">
        <v>9272</v>
      </c>
    </row>
    <row r="2624" spans="1:1" x14ac:dyDescent="0.25">
      <c r="A2624" t="s">
        <v>9273</v>
      </c>
    </row>
    <row r="2625" spans="1:1" x14ac:dyDescent="0.25">
      <c r="A2625" t="s">
        <v>9274</v>
      </c>
    </row>
    <row r="2626" spans="1:1" x14ac:dyDescent="0.25">
      <c r="A2626" t="s">
        <v>9275</v>
      </c>
    </row>
    <row r="2627" spans="1:1" x14ac:dyDescent="0.25">
      <c r="A2627" t="s">
        <v>9276</v>
      </c>
    </row>
    <row r="2628" spans="1:1" x14ac:dyDescent="0.25">
      <c r="A2628" t="s">
        <v>9277</v>
      </c>
    </row>
    <row r="2629" spans="1:1" x14ac:dyDescent="0.25">
      <c r="A2629" t="s">
        <v>9278</v>
      </c>
    </row>
    <row r="2630" spans="1:1" x14ac:dyDescent="0.25">
      <c r="A2630" t="s">
        <v>9279</v>
      </c>
    </row>
    <row r="2631" spans="1:1" x14ac:dyDescent="0.25">
      <c r="A2631" t="s">
        <v>9280</v>
      </c>
    </row>
    <row r="2632" spans="1:1" x14ac:dyDescent="0.25">
      <c r="A2632" t="s">
        <v>9281</v>
      </c>
    </row>
    <row r="2633" spans="1:1" x14ac:dyDescent="0.25">
      <c r="A2633" t="s">
        <v>9282</v>
      </c>
    </row>
    <row r="2634" spans="1:1" x14ac:dyDescent="0.25">
      <c r="A2634" t="s">
        <v>9283</v>
      </c>
    </row>
    <row r="2635" spans="1:1" x14ac:dyDescent="0.25">
      <c r="A2635" t="s">
        <v>9284</v>
      </c>
    </row>
    <row r="2636" spans="1:1" x14ac:dyDescent="0.25">
      <c r="A2636" t="s">
        <v>9285</v>
      </c>
    </row>
    <row r="2637" spans="1:1" x14ac:dyDescent="0.25">
      <c r="A2637" t="s">
        <v>9286</v>
      </c>
    </row>
    <row r="2638" spans="1:1" x14ac:dyDescent="0.25">
      <c r="A2638" t="s">
        <v>9287</v>
      </c>
    </row>
    <row r="2639" spans="1:1" x14ac:dyDescent="0.25">
      <c r="A2639" t="s">
        <v>9288</v>
      </c>
    </row>
    <row r="2640" spans="1:1" x14ac:dyDescent="0.25">
      <c r="A2640" t="s">
        <v>9289</v>
      </c>
    </row>
    <row r="2641" spans="1:1" x14ac:dyDescent="0.25">
      <c r="A2641" t="s">
        <v>9290</v>
      </c>
    </row>
    <row r="2642" spans="1:1" x14ac:dyDescent="0.25">
      <c r="A2642" t="s">
        <v>9291</v>
      </c>
    </row>
    <row r="2643" spans="1:1" x14ac:dyDescent="0.25">
      <c r="A2643" t="s">
        <v>9292</v>
      </c>
    </row>
    <row r="2644" spans="1:1" x14ac:dyDescent="0.25">
      <c r="A2644" t="s">
        <v>9293</v>
      </c>
    </row>
    <row r="2645" spans="1:1" x14ac:dyDescent="0.25">
      <c r="A2645" t="s">
        <v>9294</v>
      </c>
    </row>
    <row r="2646" spans="1:1" x14ac:dyDescent="0.25">
      <c r="A2646" t="s">
        <v>9295</v>
      </c>
    </row>
    <row r="2647" spans="1:1" x14ac:dyDescent="0.25">
      <c r="A2647" t="s">
        <v>9296</v>
      </c>
    </row>
    <row r="2648" spans="1:1" x14ac:dyDescent="0.25">
      <c r="A2648" t="s">
        <v>9297</v>
      </c>
    </row>
    <row r="2649" spans="1:1" x14ac:dyDescent="0.25">
      <c r="A2649" t="s">
        <v>9298</v>
      </c>
    </row>
    <row r="2650" spans="1:1" x14ac:dyDescent="0.25">
      <c r="A2650" t="s">
        <v>9299</v>
      </c>
    </row>
    <row r="2651" spans="1:1" x14ac:dyDescent="0.25">
      <c r="A2651" t="s">
        <v>9300</v>
      </c>
    </row>
    <row r="2652" spans="1:1" x14ac:dyDescent="0.25">
      <c r="A2652" t="s">
        <v>9301</v>
      </c>
    </row>
    <row r="2653" spans="1:1" x14ac:dyDescent="0.25">
      <c r="A2653" t="s">
        <v>9302</v>
      </c>
    </row>
    <row r="2654" spans="1:1" x14ac:dyDescent="0.25">
      <c r="A2654" t="s">
        <v>9303</v>
      </c>
    </row>
    <row r="2655" spans="1:1" x14ac:dyDescent="0.25">
      <c r="A2655" t="s">
        <v>9304</v>
      </c>
    </row>
    <row r="2656" spans="1:1" x14ac:dyDescent="0.25">
      <c r="A2656" t="s">
        <v>9305</v>
      </c>
    </row>
    <row r="2657" spans="1:1" x14ac:dyDescent="0.25">
      <c r="A2657" t="s">
        <v>9306</v>
      </c>
    </row>
    <row r="2658" spans="1:1" x14ac:dyDescent="0.25">
      <c r="A2658" t="s">
        <v>9307</v>
      </c>
    </row>
    <row r="2659" spans="1:1" x14ac:dyDescent="0.25">
      <c r="A2659" t="s">
        <v>9308</v>
      </c>
    </row>
    <row r="2660" spans="1:1" x14ac:dyDescent="0.25">
      <c r="A2660" t="s">
        <v>9309</v>
      </c>
    </row>
    <row r="2661" spans="1:1" x14ac:dyDescent="0.25">
      <c r="A2661" t="s">
        <v>9310</v>
      </c>
    </row>
    <row r="2662" spans="1:1" x14ac:dyDescent="0.25">
      <c r="A2662" t="s">
        <v>9311</v>
      </c>
    </row>
    <row r="2663" spans="1:1" x14ac:dyDescent="0.25">
      <c r="A2663" t="s">
        <v>9312</v>
      </c>
    </row>
    <row r="2664" spans="1:1" x14ac:dyDescent="0.25">
      <c r="A2664" t="s">
        <v>9313</v>
      </c>
    </row>
    <row r="2665" spans="1:1" x14ac:dyDescent="0.25">
      <c r="A2665" t="s">
        <v>9314</v>
      </c>
    </row>
    <row r="2666" spans="1:1" x14ac:dyDescent="0.25">
      <c r="A2666" t="s">
        <v>9315</v>
      </c>
    </row>
    <row r="2667" spans="1:1" x14ac:dyDescent="0.25">
      <c r="A2667" t="s">
        <v>9316</v>
      </c>
    </row>
    <row r="2668" spans="1:1" x14ac:dyDescent="0.25">
      <c r="A2668" t="s">
        <v>9317</v>
      </c>
    </row>
    <row r="2669" spans="1:1" x14ac:dyDescent="0.25">
      <c r="A2669" t="s">
        <v>9318</v>
      </c>
    </row>
    <row r="2670" spans="1:1" x14ac:dyDescent="0.25">
      <c r="A2670" t="s">
        <v>9319</v>
      </c>
    </row>
    <row r="2671" spans="1:1" x14ac:dyDescent="0.25">
      <c r="A2671" t="s">
        <v>9320</v>
      </c>
    </row>
    <row r="2672" spans="1:1" x14ac:dyDescent="0.25">
      <c r="A2672" t="s">
        <v>9321</v>
      </c>
    </row>
    <row r="2673" spans="1:1" x14ac:dyDescent="0.25">
      <c r="A2673" t="s">
        <v>9322</v>
      </c>
    </row>
    <row r="2674" spans="1:1" x14ac:dyDescent="0.25">
      <c r="A2674" t="s">
        <v>9323</v>
      </c>
    </row>
    <row r="2675" spans="1:1" x14ac:dyDescent="0.25">
      <c r="A2675" t="s">
        <v>9324</v>
      </c>
    </row>
    <row r="2676" spans="1:1" x14ac:dyDescent="0.25">
      <c r="A2676" t="s">
        <v>9325</v>
      </c>
    </row>
    <row r="2677" spans="1:1" x14ac:dyDescent="0.25">
      <c r="A2677" t="s">
        <v>9326</v>
      </c>
    </row>
    <row r="2678" spans="1:1" x14ac:dyDescent="0.25">
      <c r="A2678" t="s">
        <v>9327</v>
      </c>
    </row>
    <row r="2679" spans="1:1" x14ac:dyDescent="0.25">
      <c r="A2679" t="s">
        <v>9328</v>
      </c>
    </row>
    <row r="2680" spans="1:1" x14ac:dyDescent="0.25">
      <c r="A2680" t="s">
        <v>9329</v>
      </c>
    </row>
    <row r="2681" spans="1:1" x14ac:dyDescent="0.25">
      <c r="A2681" t="s">
        <v>9330</v>
      </c>
    </row>
    <row r="2682" spans="1:1" x14ac:dyDescent="0.25">
      <c r="A2682" t="s">
        <v>9331</v>
      </c>
    </row>
    <row r="2683" spans="1:1" x14ac:dyDescent="0.25">
      <c r="A2683" t="s">
        <v>9332</v>
      </c>
    </row>
    <row r="2684" spans="1:1" x14ac:dyDescent="0.25">
      <c r="A2684" t="s">
        <v>9333</v>
      </c>
    </row>
    <row r="2685" spans="1:1" x14ac:dyDescent="0.25">
      <c r="A2685" t="s">
        <v>9334</v>
      </c>
    </row>
    <row r="2686" spans="1:1" x14ac:dyDescent="0.25">
      <c r="A2686" t="s">
        <v>9335</v>
      </c>
    </row>
    <row r="2687" spans="1:1" x14ac:dyDescent="0.25">
      <c r="A2687" t="s">
        <v>9336</v>
      </c>
    </row>
    <row r="2688" spans="1:1" x14ac:dyDescent="0.25">
      <c r="A2688" t="s">
        <v>9337</v>
      </c>
    </row>
    <row r="2689" spans="1:1" x14ac:dyDescent="0.25">
      <c r="A2689" t="s">
        <v>9338</v>
      </c>
    </row>
    <row r="2690" spans="1:1" x14ac:dyDescent="0.25">
      <c r="A2690" t="s">
        <v>9339</v>
      </c>
    </row>
    <row r="2691" spans="1:1" x14ac:dyDescent="0.25">
      <c r="A2691" t="s">
        <v>9340</v>
      </c>
    </row>
    <row r="2692" spans="1:1" x14ac:dyDescent="0.25">
      <c r="A2692" t="s">
        <v>9343</v>
      </c>
    </row>
    <row r="2693" spans="1:1" x14ac:dyDescent="0.25">
      <c r="A2693" t="s">
        <v>9344</v>
      </c>
    </row>
    <row r="2694" spans="1:1" x14ac:dyDescent="0.25">
      <c r="A2694" t="s">
        <v>9345</v>
      </c>
    </row>
    <row r="2695" spans="1:1" x14ac:dyDescent="0.25">
      <c r="A2695" t="s">
        <v>9346</v>
      </c>
    </row>
    <row r="2696" spans="1:1" x14ac:dyDescent="0.25">
      <c r="A2696" t="s">
        <v>9347</v>
      </c>
    </row>
    <row r="2697" spans="1:1" x14ac:dyDescent="0.25">
      <c r="A2697" t="s">
        <v>9348</v>
      </c>
    </row>
    <row r="2698" spans="1:1" x14ac:dyDescent="0.25">
      <c r="A2698" t="s">
        <v>9349</v>
      </c>
    </row>
    <row r="2699" spans="1:1" x14ac:dyDescent="0.25">
      <c r="A2699" t="s">
        <v>9350</v>
      </c>
    </row>
    <row r="2700" spans="1:1" x14ac:dyDescent="0.25">
      <c r="A2700" t="s">
        <v>9351</v>
      </c>
    </row>
    <row r="2701" spans="1:1" x14ac:dyDescent="0.25">
      <c r="A2701" t="s">
        <v>9352</v>
      </c>
    </row>
    <row r="2702" spans="1:1" x14ac:dyDescent="0.25">
      <c r="A2702" t="s">
        <v>9353</v>
      </c>
    </row>
    <row r="2703" spans="1:1" x14ac:dyDescent="0.25">
      <c r="A2703" t="s">
        <v>9354</v>
      </c>
    </row>
    <row r="2704" spans="1:1" x14ac:dyDescent="0.25">
      <c r="A2704" t="s">
        <v>9355</v>
      </c>
    </row>
    <row r="2705" spans="1:1" x14ac:dyDescent="0.25">
      <c r="A2705" t="s">
        <v>9356</v>
      </c>
    </row>
    <row r="2706" spans="1:1" x14ac:dyDescent="0.25">
      <c r="A2706" t="s">
        <v>9357</v>
      </c>
    </row>
    <row r="2707" spans="1:1" x14ac:dyDescent="0.25">
      <c r="A2707" t="s">
        <v>9358</v>
      </c>
    </row>
    <row r="2708" spans="1:1" x14ac:dyDescent="0.25">
      <c r="A2708" t="s">
        <v>9359</v>
      </c>
    </row>
    <row r="2709" spans="1:1" x14ac:dyDescent="0.25">
      <c r="A2709" t="s">
        <v>9360</v>
      </c>
    </row>
    <row r="2710" spans="1:1" x14ac:dyDescent="0.25">
      <c r="A2710" t="s">
        <v>9361</v>
      </c>
    </row>
    <row r="2711" spans="1:1" x14ac:dyDescent="0.25">
      <c r="A2711" t="s">
        <v>9362</v>
      </c>
    </row>
    <row r="2712" spans="1:1" x14ac:dyDescent="0.25">
      <c r="A2712" t="s">
        <v>9363</v>
      </c>
    </row>
    <row r="2713" spans="1:1" x14ac:dyDescent="0.25">
      <c r="A2713" t="s">
        <v>9364</v>
      </c>
    </row>
    <row r="2714" spans="1:1" x14ac:dyDescent="0.25">
      <c r="A2714" t="s">
        <v>9365</v>
      </c>
    </row>
    <row r="2715" spans="1:1" x14ac:dyDescent="0.25">
      <c r="A2715" t="s">
        <v>9366</v>
      </c>
    </row>
    <row r="2716" spans="1:1" x14ac:dyDescent="0.25">
      <c r="A2716" t="s">
        <v>9367</v>
      </c>
    </row>
    <row r="2717" spans="1:1" x14ac:dyDescent="0.25">
      <c r="A2717" t="s">
        <v>9368</v>
      </c>
    </row>
    <row r="2718" spans="1:1" x14ac:dyDescent="0.25">
      <c r="A2718" t="s">
        <v>9369</v>
      </c>
    </row>
    <row r="2719" spans="1:1" x14ac:dyDescent="0.25">
      <c r="A2719" t="s">
        <v>9370</v>
      </c>
    </row>
    <row r="2720" spans="1:1" x14ac:dyDescent="0.25">
      <c r="A2720" t="s">
        <v>9371</v>
      </c>
    </row>
    <row r="2721" spans="1:1" x14ac:dyDescent="0.25">
      <c r="A2721" t="s">
        <v>9372</v>
      </c>
    </row>
    <row r="2722" spans="1:1" x14ac:dyDescent="0.25">
      <c r="A2722" t="s">
        <v>9373</v>
      </c>
    </row>
    <row r="2723" spans="1:1" x14ac:dyDescent="0.25">
      <c r="A2723" t="s">
        <v>9394</v>
      </c>
    </row>
    <row r="2724" spans="1:1" x14ac:dyDescent="0.25">
      <c r="A2724" t="s">
        <v>9395</v>
      </c>
    </row>
    <row r="2725" spans="1:1" x14ac:dyDescent="0.25">
      <c r="A2725" t="s">
        <v>9398</v>
      </c>
    </row>
    <row r="2726" spans="1:1" x14ac:dyDescent="0.25">
      <c r="A2726" t="s">
        <v>9399</v>
      </c>
    </row>
    <row r="2727" spans="1:1" x14ac:dyDescent="0.25">
      <c r="A2727" t="s">
        <v>9400</v>
      </c>
    </row>
    <row r="2728" spans="1:1" x14ac:dyDescent="0.25">
      <c r="A2728" t="s">
        <v>9401</v>
      </c>
    </row>
    <row r="2729" spans="1:1" x14ac:dyDescent="0.25">
      <c r="A2729" t="s">
        <v>9402</v>
      </c>
    </row>
    <row r="2730" spans="1:1" x14ac:dyDescent="0.25">
      <c r="A2730" t="s">
        <v>9403</v>
      </c>
    </row>
    <row r="2731" spans="1:1" x14ac:dyDescent="0.25">
      <c r="A2731" t="s">
        <v>9404</v>
      </c>
    </row>
    <row r="2732" spans="1:1" x14ac:dyDescent="0.25">
      <c r="A2732" t="s">
        <v>9405</v>
      </c>
    </row>
    <row r="2733" spans="1:1" x14ac:dyDescent="0.25">
      <c r="A2733" t="s">
        <v>9406</v>
      </c>
    </row>
    <row r="2734" spans="1:1" x14ac:dyDescent="0.25">
      <c r="A2734" t="s">
        <v>9407</v>
      </c>
    </row>
    <row r="2735" spans="1:1" x14ac:dyDescent="0.25">
      <c r="A2735" t="s">
        <v>9408</v>
      </c>
    </row>
    <row r="2736" spans="1:1" x14ac:dyDescent="0.25">
      <c r="A2736" t="s">
        <v>9409</v>
      </c>
    </row>
    <row r="2737" spans="1:1" x14ac:dyDescent="0.25">
      <c r="A2737" t="s">
        <v>9410</v>
      </c>
    </row>
    <row r="2738" spans="1:1" x14ac:dyDescent="0.25">
      <c r="A2738" t="s">
        <v>9411</v>
      </c>
    </row>
    <row r="2739" spans="1:1" x14ac:dyDescent="0.25">
      <c r="A2739" t="s">
        <v>9412</v>
      </c>
    </row>
    <row r="2740" spans="1:1" x14ac:dyDescent="0.25">
      <c r="A2740" t="s">
        <v>9413</v>
      </c>
    </row>
    <row r="2741" spans="1:1" x14ac:dyDescent="0.25">
      <c r="A2741" t="s">
        <v>9414</v>
      </c>
    </row>
    <row r="2742" spans="1:1" x14ac:dyDescent="0.25">
      <c r="A2742" t="s">
        <v>9415</v>
      </c>
    </row>
    <row r="2743" spans="1:1" x14ac:dyDescent="0.25">
      <c r="A2743" t="s">
        <v>9416</v>
      </c>
    </row>
    <row r="2744" spans="1:1" x14ac:dyDescent="0.25">
      <c r="A2744" t="s">
        <v>9417</v>
      </c>
    </row>
    <row r="2745" spans="1:1" x14ac:dyDescent="0.25">
      <c r="A2745" t="s">
        <v>9418</v>
      </c>
    </row>
    <row r="2746" spans="1:1" x14ac:dyDescent="0.25">
      <c r="A2746" t="s">
        <v>9419</v>
      </c>
    </row>
    <row r="2747" spans="1:1" x14ac:dyDescent="0.25">
      <c r="A2747" t="s">
        <v>9420</v>
      </c>
    </row>
    <row r="2748" spans="1:1" x14ac:dyDescent="0.25">
      <c r="A2748" t="s">
        <v>9421</v>
      </c>
    </row>
    <row r="2749" spans="1:1" x14ac:dyDescent="0.25">
      <c r="A2749" t="s">
        <v>9422</v>
      </c>
    </row>
    <row r="2750" spans="1:1" x14ac:dyDescent="0.25">
      <c r="A2750" t="s">
        <v>9423</v>
      </c>
    </row>
    <row r="2751" spans="1:1" x14ac:dyDescent="0.25">
      <c r="A2751" t="s">
        <v>9424</v>
      </c>
    </row>
    <row r="2752" spans="1:1" x14ac:dyDescent="0.25">
      <c r="A2752" t="s">
        <v>9425</v>
      </c>
    </row>
    <row r="2753" spans="1:1" x14ac:dyDescent="0.25">
      <c r="A2753" t="s">
        <v>9426</v>
      </c>
    </row>
    <row r="2754" spans="1:1" x14ac:dyDescent="0.25">
      <c r="A2754" t="s">
        <v>9427</v>
      </c>
    </row>
    <row r="2755" spans="1:1" x14ac:dyDescent="0.25">
      <c r="A2755" t="s">
        <v>9428</v>
      </c>
    </row>
    <row r="2756" spans="1:1" x14ac:dyDescent="0.25">
      <c r="A2756" t="s">
        <v>9429</v>
      </c>
    </row>
    <row r="2757" spans="1:1" x14ac:dyDescent="0.25">
      <c r="A2757" t="s">
        <v>9430</v>
      </c>
    </row>
    <row r="2758" spans="1:1" x14ac:dyDescent="0.25">
      <c r="A2758" t="s">
        <v>9431</v>
      </c>
    </row>
    <row r="2759" spans="1:1" x14ac:dyDescent="0.25">
      <c r="A2759" t="s">
        <v>9432</v>
      </c>
    </row>
    <row r="2760" spans="1:1" x14ac:dyDescent="0.25">
      <c r="A2760" t="s">
        <v>9433</v>
      </c>
    </row>
    <row r="2761" spans="1:1" x14ac:dyDescent="0.25">
      <c r="A2761" t="s">
        <v>9434</v>
      </c>
    </row>
    <row r="2762" spans="1:1" x14ac:dyDescent="0.25">
      <c r="A2762" t="s">
        <v>9435</v>
      </c>
    </row>
    <row r="2763" spans="1:1" x14ac:dyDescent="0.25">
      <c r="A2763" t="s">
        <v>9436</v>
      </c>
    </row>
    <row r="2764" spans="1:1" x14ac:dyDescent="0.25">
      <c r="A2764" t="s">
        <v>9437</v>
      </c>
    </row>
    <row r="2765" spans="1:1" x14ac:dyDescent="0.25">
      <c r="A2765" t="s">
        <v>9438</v>
      </c>
    </row>
    <row r="2766" spans="1:1" x14ac:dyDescent="0.25">
      <c r="A2766" t="s">
        <v>9439</v>
      </c>
    </row>
    <row r="2767" spans="1:1" x14ac:dyDescent="0.25">
      <c r="A2767" t="s">
        <v>9440</v>
      </c>
    </row>
    <row r="2768" spans="1:1" x14ac:dyDescent="0.25">
      <c r="A2768" t="s">
        <v>9441</v>
      </c>
    </row>
    <row r="2769" spans="1:1" x14ac:dyDescent="0.25">
      <c r="A2769" t="s">
        <v>9442</v>
      </c>
    </row>
    <row r="2770" spans="1:1" x14ac:dyDescent="0.25">
      <c r="A2770" t="s">
        <v>9443</v>
      </c>
    </row>
    <row r="2771" spans="1:1" x14ac:dyDescent="0.25">
      <c r="A2771" t="s">
        <v>9444</v>
      </c>
    </row>
    <row r="2772" spans="1:1" x14ac:dyDescent="0.25">
      <c r="A2772" t="s">
        <v>9445</v>
      </c>
    </row>
    <row r="2773" spans="1:1" x14ac:dyDescent="0.25">
      <c r="A2773" t="s">
        <v>9446</v>
      </c>
    </row>
    <row r="2774" spans="1:1" x14ac:dyDescent="0.25">
      <c r="A2774" t="s">
        <v>9447</v>
      </c>
    </row>
    <row r="2775" spans="1:1" x14ac:dyDescent="0.25">
      <c r="A2775" t="s">
        <v>9448</v>
      </c>
    </row>
    <row r="2776" spans="1:1" x14ac:dyDescent="0.25">
      <c r="A2776" t="s">
        <v>9449</v>
      </c>
    </row>
    <row r="2777" spans="1:1" x14ac:dyDescent="0.25">
      <c r="A2777" t="s">
        <v>9450</v>
      </c>
    </row>
    <row r="2778" spans="1:1" x14ac:dyDescent="0.25">
      <c r="A2778" t="s">
        <v>9451</v>
      </c>
    </row>
    <row r="2779" spans="1:1" x14ac:dyDescent="0.25">
      <c r="A2779" t="s">
        <v>9452</v>
      </c>
    </row>
    <row r="2780" spans="1:1" x14ac:dyDescent="0.25">
      <c r="A2780" t="s">
        <v>9453</v>
      </c>
    </row>
    <row r="2781" spans="1:1" x14ac:dyDescent="0.25">
      <c r="A2781" t="s">
        <v>9454</v>
      </c>
    </row>
    <row r="2782" spans="1:1" x14ac:dyDescent="0.25">
      <c r="A2782" t="s">
        <v>9455</v>
      </c>
    </row>
    <row r="2783" spans="1:1" x14ac:dyDescent="0.25">
      <c r="A2783" t="s">
        <v>9456</v>
      </c>
    </row>
    <row r="2784" spans="1:1" x14ac:dyDescent="0.25">
      <c r="A2784" t="s">
        <v>9457</v>
      </c>
    </row>
    <row r="2785" spans="1:1" x14ac:dyDescent="0.25">
      <c r="A2785" t="s">
        <v>9458</v>
      </c>
    </row>
    <row r="2786" spans="1:1" x14ac:dyDescent="0.25">
      <c r="A2786" t="s">
        <v>9459</v>
      </c>
    </row>
    <row r="2787" spans="1:1" x14ac:dyDescent="0.25">
      <c r="A2787" t="s">
        <v>9460</v>
      </c>
    </row>
    <row r="2788" spans="1:1" x14ac:dyDescent="0.25">
      <c r="A2788" t="s">
        <v>9461</v>
      </c>
    </row>
    <row r="2789" spans="1:1" x14ac:dyDescent="0.25">
      <c r="A2789" t="s">
        <v>9462</v>
      </c>
    </row>
    <row r="2790" spans="1:1" x14ac:dyDescent="0.25">
      <c r="A2790" t="s">
        <v>9463</v>
      </c>
    </row>
    <row r="2791" spans="1:1" x14ac:dyDescent="0.25">
      <c r="A2791" t="s">
        <v>9464</v>
      </c>
    </row>
    <row r="2792" spans="1:1" x14ac:dyDescent="0.25">
      <c r="A2792" t="s">
        <v>9465</v>
      </c>
    </row>
    <row r="2793" spans="1:1" x14ac:dyDescent="0.25">
      <c r="A2793" t="s">
        <v>9466</v>
      </c>
    </row>
    <row r="2794" spans="1:1" x14ac:dyDescent="0.25">
      <c r="A2794" t="s">
        <v>9467</v>
      </c>
    </row>
    <row r="2795" spans="1:1" x14ac:dyDescent="0.25">
      <c r="A2795" t="s">
        <v>9468</v>
      </c>
    </row>
    <row r="2796" spans="1:1" x14ac:dyDescent="0.25">
      <c r="A2796" t="s">
        <v>9469</v>
      </c>
    </row>
    <row r="2797" spans="1:1" x14ac:dyDescent="0.25">
      <c r="A2797" t="s">
        <v>9470</v>
      </c>
    </row>
    <row r="2798" spans="1:1" x14ac:dyDescent="0.25">
      <c r="A2798" t="s">
        <v>9471</v>
      </c>
    </row>
    <row r="2799" spans="1:1" x14ac:dyDescent="0.25">
      <c r="A2799" t="s">
        <v>9472</v>
      </c>
    </row>
    <row r="2800" spans="1:1" x14ac:dyDescent="0.25">
      <c r="A2800" t="s">
        <v>9473</v>
      </c>
    </row>
    <row r="2801" spans="1:1" x14ac:dyDescent="0.25">
      <c r="A2801" t="s">
        <v>9474</v>
      </c>
    </row>
    <row r="2802" spans="1:1" x14ac:dyDescent="0.25">
      <c r="A2802" t="s">
        <v>9475</v>
      </c>
    </row>
    <row r="2803" spans="1:1" x14ac:dyDescent="0.25">
      <c r="A2803" t="s">
        <v>9476</v>
      </c>
    </row>
    <row r="2804" spans="1:1" x14ac:dyDescent="0.25">
      <c r="A2804" t="s">
        <v>9477</v>
      </c>
    </row>
    <row r="2805" spans="1:1" x14ac:dyDescent="0.25">
      <c r="A2805" t="s">
        <v>9478</v>
      </c>
    </row>
    <row r="2806" spans="1:1" x14ac:dyDescent="0.25">
      <c r="A2806" t="s">
        <v>9479</v>
      </c>
    </row>
    <row r="2807" spans="1:1" x14ac:dyDescent="0.25">
      <c r="A2807" t="s">
        <v>9480</v>
      </c>
    </row>
    <row r="2808" spans="1:1" x14ac:dyDescent="0.25">
      <c r="A2808" t="s">
        <v>9481</v>
      </c>
    </row>
    <row r="2809" spans="1:1" x14ac:dyDescent="0.25">
      <c r="A2809" t="s">
        <v>9482</v>
      </c>
    </row>
    <row r="2810" spans="1:1" x14ac:dyDescent="0.25">
      <c r="A2810" t="s">
        <v>9483</v>
      </c>
    </row>
    <row r="2811" spans="1:1" x14ac:dyDescent="0.25">
      <c r="A2811" t="s">
        <v>9484</v>
      </c>
    </row>
    <row r="2812" spans="1:1" x14ac:dyDescent="0.25">
      <c r="A2812" t="s">
        <v>9485</v>
      </c>
    </row>
    <row r="2813" spans="1:1" x14ac:dyDescent="0.25">
      <c r="A2813" t="s">
        <v>9486</v>
      </c>
    </row>
    <row r="2814" spans="1:1" x14ac:dyDescent="0.25">
      <c r="A2814" t="s">
        <v>9487</v>
      </c>
    </row>
    <row r="2815" spans="1:1" x14ac:dyDescent="0.25">
      <c r="A2815" t="s">
        <v>9488</v>
      </c>
    </row>
    <row r="2816" spans="1:1" x14ac:dyDescent="0.25">
      <c r="A2816" t="s">
        <v>9489</v>
      </c>
    </row>
    <row r="2817" spans="1:1" x14ac:dyDescent="0.25">
      <c r="A2817" t="s">
        <v>9490</v>
      </c>
    </row>
    <row r="2818" spans="1:1" x14ac:dyDescent="0.25">
      <c r="A2818" t="s">
        <v>9491</v>
      </c>
    </row>
    <row r="2819" spans="1:1" x14ac:dyDescent="0.25">
      <c r="A2819" t="s">
        <v>9492</v>
      </c>
    </row>
    <row r="2820" spans="1:1" x14ac:dyDescent="0.25">
      <c r="A2820" t="s">
        <v>9493</v>
      </c>
    </row>
    <row r="2821" spans="1:1" x14ac:dyDescent="0.25">
      <c r="A2821" t="s">
        <v>9494</v>
      </c>
    </row>
    <row r="2822" spans="1:1" x14ac:dyDescent="0.25">
      <c r="A2822" t="s">
        <v>9495</v>
      </c>
    </row>
    <row r="2823" spans="1:1" x14ac:dyDescent="0.25">
      <c r="A2823" t="s">
        <v>9496</v>
      </c>
    </row>
    <row r="2824" spans="1:1" x14ac:dyDescent="0.25">
      <c r="A2824" t="s">
        <v>9497</v>
      </c>
    </row>
    <row r="2825" spans="1:1" x14ac:dyDescent="0.25">
      <c r="A2825" t="s">
        <v>9498</v>
      </c>
    </row>
    <row r="2826" spans="1:1" x14ac:dyDescent="0.25">
      <c r="A2826" t="s">
        <v>9499</v>
      </c>
    </row>
    <row r="2827" spans="1:1" x14ac:dyDescent="0.25">
      <c r="A2827" t="s">
        <v>9500</v>
      </c>
    </row>
    <row r="2828" spans="1:1" x14ac:dyDescent="0.25">
      <c r="A2828" t="s">
        <v>9501</v>
      </c>
    </row>
    <row r="2829" spans="1:1" x14ac:dyDescent="0.25">
      <c r="A2829" t="s">
        <v>9502</v>
      </c>
    </row>
    <row r="2830" spans="1:1" x14ac:dyDescent="0.25">
      <c r="A2830" t="s">
        <v>9503</v>
      </c>
    </row>
    <row r="2831" spans="1:1" x14ac:dyDescent="0.25">
      <c r="A2831" t="s">
        <v>9504</v>
      </c>
    </row>
    <row r="2832" spans="1:1" x14ac:dyDescent="0.25">
      <c r="A2832" t="s">
        <v>9505</v>
      </c>
    </row>
    <row r="2833" spans="1:1" x14ac:dyDescent="0.25">
      <c r="A2833" t="s">
        <v>9506</v>
      </c>
    </row>
    <row r="2834" spans="1:1" x14ac:dyDescent="0.25">
      <c r="A2834" t="s">
        <v>9507</v>
      </c>
    </row>
    <row r="2835" spans="1:1" x14ac:dyDescent="0.25">
      <c r="A2835" t="s">
        <v>9509</v>
      </c>
    </row>
    <row r="2836" spans="1:1" x14ac:dyDescent="0.25">
      <c r="A2836" t="s">
        <v>9510</v>
      </c>
    </row>
    <row r="2837" spans="1:1" x14ac:dyDescent="0.25">
      <c r="A2837" t="s">
        <v>9511</v>
      </c>
    </row>
    <row r="2838" spans="1:1" x14ac:dyDescent="0.25">
      <c r="A2838" t="s">
        <v>9512</v>
      </c>
    </row>
    <row r="2839" spans="1:1" x14ac:dyDescent="0.25">
      <c r="A2839" t="s">
        <v>9513</v>
      </c>
    </row>
    <row r="2840" spans="1:1" x14ac:dyDescent="0.25">
      <c r="A2840" t="s">
        <v>9514</v>
      </c>
    </row>
    <row r="2841" spans="1:1" x14ac:dyDescent="0.25">
      <c r="A2841" t="s">
        <v>9515</v>
      </c>
    </row>
    <row r="2842" spans="1:1" x14ac:dyDescent="0.25">
      <c r="A2842" t="s">
        <v>9516</v>
      </c>
    </row>
    <row r="2843" spans="1:1" x14ac:dyDescent="0.25">
      <c r="A2843" t="s">
        <v>9518</v>
      </c>
    </row>
    <row r="2844" spans="1:1" x14ac:dyDescent="0.25">
      <c r="A2844" t="s">
        <v>9519</v>
      </c>
    </row>
    <row r="2845" spans="1:1" x14ac:dyDescent="0.25">
      <c r="A2845" t="s">
        <v>9520</v>
      </c>
    </row>
    <row r="2846" spans="1:1" x14ac:dyDescent="0.25">
      <c r="A2846" t="s">
        <v>9521</v>
      </c>
    </row>
    <row r="2847" spans="1:1" x14ac:dyDescent="0.25">
      <c r="A2847" t="s">
        <v>9522</v>
      </c>
    </row>
    <row r="2848" spans="1:1" x14ac:dyDescent="0.25">
      <c r="A2848" t="s">
        <v>9523</v>
      </c>
    </row>
    <row r="2849" spans="1:1" x14ac:dyDescent="0.25">
      <c r="A2849" t="s">
        <v>9524</v>
      </c>
    </row>
    <row r="2850" spans="1:1" x14ac:dyDescent="0.25">
      <c r="A2850" t="s">
        <v>9525</v>
      </c>
    </row>
    <row r="2851" spans="1:1" x14ac:dyDescent="0.25">
      <c r="A2851" t="s">
        <v>9527</v>
      </c>
    </row>
    <row r="2852" spans="1:1" x14ac:dyDescent="0.25">
      <c r="A2852" t="s">
        <v>9528</v>
      </c>
    </row>
    <row r="2853" spans="1:1" x14ac:dyDescent="0.25">
      <c r="A2853" t="s">
        <v>9529</v>
      </c>
    </row>
    <row r="2854" spans="1:1" x14ac:dyDescent="0.25">
      <c r="A2854" t="s">
        <v>9530</v>
      </c>
    </row>
    <row r="2855" spans="1:1" x14ac:dyDescent="0.25">
      <c r="A2855" t="s">
        <v>9531</v>
      </c>
    </row>
    <row r="2856" spans="1:1" x14ac:dyDescent="0.25">
      <c r="A2856" t="s">
        <v>9532</v>
      </c>
    </row>
    <row r="2857" spans="1:1" x14ac:dyDescent="0.25">
      <c r="A2857" t="s">
        <v>9533</v>
      </c>
    </row>
    <row r="2858" spans="1:1" x14ac:dyDescent="0.25">
      <c r="A2858" t="s">
        <v>9534</v>
      </c>
    </row>
    <row r="2859" spans="1:1" x14ac:dyDescent="0.25">
      <c r="A2859" t="s">
        <v>9535</v>
      </c>
    </row>
    <row r="2860" spans="1:1" x14ac:dyDescent="0.25">
      <c r="A2860" t="s">
        <v>9536</v>
      </c>
    </row>
    <row r="2861" spans="1:1" x14ac:dyDescent="0.25">
      <c r="A2861" t="s">
        <v>9537</v>
      </c>
    </row>
    <row r="2862" spans="1:1" x14ac:dyDescent="0.25">
      <c r="A2862" t="s">
        <v>9538</v>
      </c>
    </row>
    <row r="2863" spans="1:1" x14ac:dyDescent="0.25">
      <c r="A2863" t="s">
        <v>9539</v>
      </c>
    </row>
    <row r="2864" spans="1:1" x14ac:dyDescent="0.25">
      <c r="A2864" t="s">
        <v>9541</v>
      </c>
    </row>
    <row r="2865" spans="1:1" x14ac:dyDescent="0.25">
      <c r="A2865" t="s">
        <v>9542</v>
      </c>
    </row>
    <row r="2866" spans="1:1" x14ac:dyDescent="0.25">
      <c r="A2866" t="s">
        <v>9543</v>
      </c>
    </row>
    <row r="2867" spans="1:1" x14ac:dyDescent="0.25">
      <c r="A2867" t="s">
        <v>9544</v>
      </c>
    </row>
    <row r="2868" spans="1:1" x14ac:dyDescent="0.25">
      <c r="A2868" t="s">
        <v>9545</v>
      </c>
    </row>
    <row r="2869" spans="1:1" x14ac:dyDescent="0.25">
      <c r="A2869" t="s">
        <v>9546</v>
      </c>
    </row>
    <row r="2870" spans="1:1" x14ac:dyDescent="0.25">
      <c r="A2870" t="s">
        <v>9547</v>
      </c>
    </row>
    <row r="2871" spans="1:1" x14ac:dyDescent="0.25">
      <c r="A2871" t="s">
        <v>9548</v>
      </c>
    </row>
    <row r="2872" spans="1:1" x14ac:dyDescent="0.25">
      <c r="A2872" t="s">
        <v>9549</v>
      </c>
    </row>
    <row r="2873" spans="1:1" x14ac:dyDescent="0.25">
      <c r="A2873" t="s">
        <v>9550</v>
      </c>
    </row>
    <row r="2874" spans="1:1" x14ac:dyDescent="0.25">
      <c r="A2874" t="s">
        <v>9551</v>
      </c>
    </row>
    <row r="2875" spans="1:1" x14ac:dyDescent="0.25">
      <c r="A2875" t="s">
        <v>9552</v>
      </c>
    </row>
    <row r="2876" spans="1:1" x14ac:dyDescent="0.25">
      <c r="A2876" t="s">
        <v>9553</v>
      </c>
    </row>
    <row r="2877" spans="1:1" x14ac:dyDescent="0.25">
      <c r="A2877" t="s">
        <v>9557</v>
      </c>
    </row>
    <row r="2878" spans="1:1" x14ac:dyDescent="0.25">
      <c r="A2878" t="s">
        <v>9558</v>
      </c>
    </row>
    <row r="2879" spans="1:1" x14ac:dyDescent="0.25">
      <c r="A2879" t="s">
        <v>9559</v>
      </c>
    </row>
    <row r="2880" spans="1:1" x14ac:dyDescent="0.25">
      <c r="A2880" t="s">
        <v>9560</v>
      </c>
    </row>
    <row r="2881" spans="1:1" x14ac:dyDescent="0.25">
      <c r="A2881" t="s">
        <v>9561</v>
      </c>
    </row>
    <row r="2882" spans="1:1" x14ac:dyDescent="0.25">
      <c r="A2882" t="s">
        <v>9562</v>
      </c>
    </row>
    <row r="2883" spans="1:1" x14ac:dyDescent="0.25">
      <c r="A2883" t="s">
        <v>9563</v>
      </c>
    </row>
    <row r="2884" spans="1:1" x14ac:dyDescent="0.25">
      <c r="A2884" t="s">
        <v>9564</v>
      </c>
    </row>
    <row r="2885" spans="1:1" x14ac:dyDescent="0.25">
      <c r="A2885" t="s">
        <v>9565</v>
      </c>
    </row>
    <row r="2886" spans="1:1" x14ac:dyDescent="0.25">
      <c r="A2886" t="s">
        <v>9568</v>
      </c>
    </row>
    <row r="2887" spans="1:1" x14ac:dyDescent="0.25">
      <c r="A2887" t="s">
        <v>9569</v>
      </c>
    </row>
    <row r="2888" spans="1:1" x14ac:dyDescent="0.25">
      <c r="A2888" t="s">
        <v>9581</v>
      </c>
    </row>
    <row r="2889" spans="1:1" x14ac:dyDescent="0.25">
      <c r="A2889" t="s">
        <v>9582</v>
      </c>
    </row>
    <row r="2890" spans="1:1" x14ac:dyDescent="0.25">
      <c r="A2890" t="s">
        <v>9583</v>
      </c>
    </row>
    <row r="2891" spans="1:1" x14ac:dyDescent="0.25">
      <c r="A2891" t="s">
        <v>9584</v>
      </c>
    </row>
    <row r="2892" spans="1:1" x14ac:dyDescent="0.25">
      <c r="A2892" t="s">
        <v>9585</v>
      </c>
    </row>
    <row r="2893" spans="1:1" x14ac:dyDescent="0.25">
      <c r="A2893" t="s">
        <v>9586</v>
      </c>
    </row>
    <row r="2894" spans="1:1" x14ac:dyDescent="0.25">
      <c r="A2894" t="s">
        <v>9587</v>
      </c>
    </row>
    <row r="2895" spans="1:1" x14ac:dyDescent="0.25">
      <c r="A2895" t="s">
        <v>9588</v>
      </c>
    </row>
    <row r="2896" spans="1:1" x14ac:dyDescent="0.25">
      <c r="A2896" t="s">
        <v>9589</v>
      </c>
    </row>
    <row r="2897" spans="1:1" x14ac:dyDescent="0.25">
      <c r="A2897" t="s">
        <v>9590</v>
      </c>
    </row>
    <row r="2898" spans="1:1" x14ac:dyDescent="0.25">
      <c r="A2898" t="s">
        <v>9591</v>
      </c>
    </row>
    <row r="2899" spans="1:1" x14ac:dyDescent="0.25">
      <c r="A2899" t="s">
        <v>9594</v>
      </c>
    </row>
    <row r="2900" spans="1:1" x14ac:dyDescent="0.25">
      <c r="A2900" t="s">
        <v>9595</v>
      </c>
    </row>
    <row r="2901" spans="1:1" x14ac:dyDescent="0.25">
      <c r="A2901" t="s">
        <v>9596</v>
      </c>
    </row>
    <row r="2902" spans="1:1" x14ac:dyDescent="0.25">
      <c r="A2902" t="s">
        <v>9597</v>
      </c>
    </row>
    <row r="2903" spans="1:1" x14ac:dyDescent="0.25">
      <c r="A2903" t="s">
        <v>9598</v>
      </c>
    </row>
    <row r="2904" spans="1:1" x14ac:dyDescent="0.25">
      <c r="A2904" t="s">
        <v>9599</v>
      </c>
    </row>
    <row r="2905" spans="1:1" x14ac:dyDescent="0.25">
      <c r="A2905" t="s">
        <v>9601</v>
      </c>
    </row>
    <row r="2906" spans="1:1" x14ac:dyDescent="0.25">
      <c r="A2906" t="s">
        <v>9602</v>
      </c>
    </row>
    <row r="2907" spans="1:1" x14ac:dyDescent="0.25">
      <c r="A2907" t="s">
        <v>9603</v>
      </c>
    </row>
    <row r="2908" spans="1:1" x14ac:dyDescent="0.25">
      <c r="A2908" t="s">
        <v>9604</v>
      </c>
    </row>
    <row r="2909" spans="1:1" x14ac:dyDescent="0.25">
      <c r="A2909" t="s">
        <v>9605</v>
      </c>
    </row>
    <row r="2910" spans="1:1" x14ac:dyDescent="0.25">
      <c r="A2910" t="s">
        <v>9606</v>
      </c>
    </row>
    <row r="2911" spans="1:1" x14ac:dyDescent="0.25">
      <c r="A2911" t="s">
        <v>9607</v>
      </c>
    </row>
    <row r="2912" spans="1:1" x14ac:dyDescent="0.25">
      <c r="A2912" t="s">
        <v>9608</v>
      </c>
    </row>
    <row r="2913" spans="1:1" x14ac:dyDescent="0.25">
      <c r="A2913" t="s">
        <v>9609</v>
      </c>
    </row>
    <row r="2914" spans="1:1" x14ac:dyDescent="0.25">
      <c r="A2914" t="s">
        <v>9610</v>
      </c>
    </row>
    <row r="2915" spans="1:1" x14ac:dyDescent="0.25">
      <c r="A2915" t="s">
        <v>9611</v>
      </c>
    </row>
    <row r="2916" spans="1:1" x14ac:dyDescent="0.25">
      <c r="A2916" t="s">
        <v>9612</v>
      </c>
    </row>
    <row r="2917" spans="1:1" x14ac:dyDescent="0.25">
      <c r="A2917" t="s">
        <v>9613</v>
      </c>
    </row>
    <row r="2918" spans="1:1" x14ac:dyDescent="0.25">
      <c r="A2918" t="s">
        <v>9614</v>
      </c>
    </row>
    <row r="2919" spans="1:1" x14ac:dyDescent="0.25">
      <c r="A2919" t="s">
        <v>9615</v>
      </c>
    </row>
    <row r="2920" spans="1:1" x14ac:dyDescent="0.25">
      <c r="A2920" t="s">
        <v>9616</v>
      </c>
    </row>
    <row r="2921" spans="1:1" x14ac:dyDescent="0.25">
      <c r="A2921" t="s">
        <v>9617</v>
      </c>
    </row>
    <row r="2922" spans="1:1" x14ac:dyDescent="0.25">
      <c r="A2922" t="s">
        <v>9618</v>
      </c>
    </row>
    <row r="2923" spans="1:1" x14ac:dyDescent="0.25">
      <c r="A2923" t="s">
        <v>9619</v>
      </c>
    </row>
    <row r="2924" spans="1:1" x14ac:dyDescent="0.25">
      <c r="A2924" t="s">
        <v>9620</v>
      </c>
    </row>
    <row r="2925" spans="1:1" x14ac:dyDescent="0.25">
      <c r="A2925" t="s">
        <v>9621</v>
      </c>
    </row>
    <row r="2926" spans="1:1" x14ac:dyDescent="0.25">
      <c r="A2926" t="s">
        <v>9622</v>
      </c>
    </row>
    <row r="2927" spans="1:1" x14ac:dyDescent="0.25">
      <c r="A2927" t="s">
        <v>9623</v>
      </c>
    </row>
    <row r="2928" spans="1:1" x14ac:dyDescent="0.25">
      <c r="A2928" t="s">
        <v>9624</v>
      </c>
    </row>
    <row r="2929" spans="1:1" x14ac:dyDescent="0.25">
      <c r="A2929" t="s">
        <v>9625</v>
      </c>
    </row>
    <row r="2930" spans="1:1" x14ac:dyDescent="0.25">
      <c r="A2930" t="s">
        <v>9626</v>
      </c>
    </row>
    <row r="2931" spans="1:1" x14ac:dyDescent="0.25">
      <c r="A2931" t="s">
        <v>9627</v>
      </c>
    </row>
    <row r="2932" spans="1:1" x14ac:dyDescent="0.25">
      <c r="A2932" t="s">
        <v>9628</v>
      </c>
    </row>
    <row r="2933" spans="1:1" x14ac:dyDescent="0.25">
      <c r="A2933" t="s">
        <v>9629</v>
      </c>
    </row>
    <row r="2934" spans="1:1" x14ac:dyDescent="0.25">
      <c r="A2934" t="s">
        <v>9630</v>
      </c>
    </row>
    <row r="2935" spans="1:1" x14ac:dyDescent="0.25">
      <c r="A2935" t="s">
        <v>9631</v>
      </c>
    </row>
    <row r="2936" spans="1:1" x14ac:dyDescent="0.25">
      <c r="A2936" t="s">
        <v>9632</v>
      </c>
    </row>
    <row r="2937" spans="1:1" x14ac:dyDescent="0.25">
      <c r="A2937" t="s">
        <v>9633</v>
      </c>
    </row>
    <row r="2938" spans="1:1" x14ac:dyDescent="0.25">
      <c r="A2938" t="s">
        <v>9634</v>
      </c>
    </row>
    <row r="2939" spans="1:1" x14ac:dyDescent="0.25">
      <c r="A2939" t="s">
        <v>9635</v>
      </c>
    </row>
    <row r="2940" spans="1:1" x14ac:dyDescent="0.25">
      <c r="A2940" t="s">
        <v>9636</v>
      </c>
    </row>
    <row r="2941" spans="1:1" x14ac:dyDescent="0.25">
      <c r="A2941" t="s">
        <v>9637</v>
      </c>
    </row>
    <row r="2942" spans="1:1" x14ac:dyDescent="0.25">
      <c r="A2942" t="s">
        <v>9638</v>
      </c>
    </row>
    <row r="2943" spans="1:1" x14ac:dyDescent="0.25">
      <c r="A2943" t="s">
        <v>9639</v>
      </c>
    </row>
    <row r="2944" spans="1:1" x14ac:dyDescent="0.25">
      <c r="A2944" t="s">
        <v>9640</v>
      </c>
    </row>
    <row r="2945" spans="1:1" x14ac:dyDescent="0.25">
      <c r="A2945" t="s">
        <v>9641</v>
      </c>
    </row>
    <row r="2946" spans="1:1" x14ac:dyDescent="0.25">
      <c r="A2946" t="s">
        <v>9642</v>
      </c>
    </row>
    <row r="2947" spans="1:1" x14ac:dyDescent="0.25">
      <c r="A2947" t="s">
        <v>9643</v>
      </c>
    </row>
    <row r="2948" spans="1:1" x14ac:dyDescent="0.25">
      <c r="A2948" t="s">
        <v>9644</v>
      </c>
    </row>
    <row r="2949" spans="1:1" x14ac:dyDescent="0.25">
      <c r="A2949" t="s">
        <v>9645</v>
      </c>
    </row>
    <row r="2950" spans="1:1" x14ac:dyDescent="0.25">
      <c r="A2950" t="s">
        <v>9646</v>
      </c>
    </row>
    <row r="2951" spans="1:1" x14ac:dyDescent="0.25">
      <c r="A2951" t="s">
        <v>9648</v>
      </c>
    </row>
    <row r="2952" spans="1:1" x14ac:dyDescent="0.25">
      <c r="A2952" t="s">
        <v>9649</v>
      </c>
    </row>
    <row r="2953" spans="1:1" x14ac:dyDescent="0.25">
      <c r="A2953" t="s">
        <v>9650</v>
      </c>
    </row>
    <row r="2954" spans="1:1" x14ac:dyDescent="0.25">
      <c r="A2954" t="s">
        <v>9651</v>
      </c>
    </row>
    <row r="2955" spans="1:1" x14ac:dyDescent="0.25">
      <c r="A2955" t="s">
        <v>9652</v>
      </c>
    </row>
    <row r="2956" spans="1:1" x14ac:dyDescent="0.25">
      <c r="A2956" t="s">
        <v>9653</v>
      </c>
    </row>
    <row r="2957" spans="1:1" x14ac:dyDescent="0.25">
      <c r="A2957" t="s">
        <v>9654</v>
      </c>
    </row>
    <row r="2958" spans="1:1" x14ac:dyDescent="0.25">
      <c r="A2958" t="s">
        <v>9655</v>
      </c>
    </row>
    <row r="2959" spans="1:1" x14ac:dyDescent="0.25">
      <c r="A2959" t="s">
        <v>9656</v>
      </c>
    </row>
    <row r="2960" spans="1:1" x14ac:dyDescent="0.25">
      <c r="A2960" t="s">
        <v>9657</v>
      </c>
    </row>
    <row r="2961" spans="1:1" x14ac:dyDescent="0.25">
      <c r="A2961" t="s">
        <v>9659</v>
      </c>
    </row>
    <row r="2962" spans="1:1" x14ac:dyDescent="0.25">
      <c r="A2962" t="s">
        <v>9660</v>
      </c>
    </row>
    <row r="2963" spans="1:1" x14ac:dyDescent="0.25">
      <c r="A2963" t="s">
        <v>9661</v>
      </c>
    </row>
    <row r="2964" spans="1:1" x14ac:dyDescent="0.25">
      <c r="A2964" t="s">
        <v>9662</v>
      </c>
    </row>
    <row r="2965" spans="1:1" x14ac:dyDescent="0.25">
      <c r="A2965" t="s">
        <v>9663</v>
      </c>
    </row>
    <row r="2966" spans="1:1" x14ac:dyDescent="0.25">
      <c r="A2966" t="s">
        <v>9664</v>
      </c>
    </row>
    <row r="2967" spans="1:1" x14ac:dyDescent="0.25">
      <c r="A2967" t="s">
        <v>9665</v>
      </c>
    </row>
    <row r="2968" spans="1:1" x14ac:dyDescent="0.25">
      <c r="A2968" t="s">
        <v>9666</v>
      </c>
    </row>
    <row r="2969" spans="1:1" x14ac:dyDescent="0.25">
      <c r="A2969" t="s">
        <v>9667</v>
      </c>
    </row>
    <row r="2970" spans="1:1" x14ac:dyDescent="0.25">
      <c r="A2970" t="s">
        <v>9668</v>
      </c>
    </row>
    <row r="2971" spans="1:1" x14ac:dyDescent="0.25">
      <c r="A2971" t="s">
        <v>9669</v>
      </c>
    </row>
    <row r="2972" spans="1:1" x14ac:dyDescent="0.25">
      <c r="A2972" t="s">
        <v>9670</v>
      </c>
    </row>
    <row r="2973" spans="1:1" x14ac:dyDescent="0.25">
      <c r="A2973" t="s">
        <v>9671</v>
      </c>
    </row>
    <row r="2974" spans="1:1" x14ac:dyDescent="0.25">
      <c r="A2974" t="s">
        <v>9672</v>
      </c>
    </row>
    <row r="2975" spans="1:1" x14ac:dyDescent="0.25">
      <c r="A2975" t="s">
        <v>9673</v>
      </c>
    </row>
    <row r="2976" spans="1:1" x14ac:dyDescent="0.25">
      <c r="A2976" t="s">
        <v>9674</v>
      </c>
    </row>
    <row r="2977" spans="1:1" x14ac:dyDescent="0.25">
      <c r="A2977" t="s">
        <v>9675</v>
      </c>
    </row>
    <row r="2978" spans="1:1" x14ac:dyDescent="0.25">
      <c r="A2978" t="s">
        <v>9676</v>
      </c>
    </row>
    <row r="2979" spans="1:1" x14ac:dyDescent="0.25">
      <c r="A2979" t="s">
        <v>9677</v>
      </c>
    </row>
    <row r="2980" spans="1:1" x14ac:dyDescent="0.25">
      <c r="A2980" t="s">
        <v>9678</v>
      </c>
    </row>
    <row r="2981" spans="1:1" x14ac:dyDescent="0.25">
      <c r="A2981" t="s">
        <v>9679</v>
      </c>
    </row>
    <row r="2982" spans="1:1" x14ac:dyDescent="0.25">
      <c r="A2982" t="s">
        <v>9680</v>
      </c>
    </row>
    <row r="2983" spans="1:1" x14ac:dyDescent="0.25">
      <c r="A2983" t="s">
        <v>9681</v>
      </c>
    </row>
    <row r="2984" spans="1:1" x14ac:dyDescent="0.25">
      <c r="A2984" t="s">
        <v>9682</v>
      </c>
    </row>
    <row r="2985" spans="1:1" x14ac:dyDescent="0.25">
      <c r="A2985" t="s">
        <v>9683</v>
      </c>
    </row>
    <row r="2986" spans="1:1" x14ac:dyDescent="0.25">
      <c r="A2986" t="s">
        <v>9684</v>
      </c>
    </row>
    <row r="2987" spans="1:1" x14ac:dyDescent="0.25">
      <c r="A2987" t="s">
        <v>9685</v>
      </c>
    </row>
    <row r="2988" spans="1:1" x14ac:dyDescent="0.25">
      <c r="A2988" t="s">
        <v>9686</v>
      </c>
    </row>
    <row r="2989" spans="1:1" x14ac:dyDescent="0.25">
      <c r="A2989" t="s">
        <v>9687</v>
      </c>
    </row>
    <row r="2990" spans="1:1" x14ac:dyDescent="0.25">
      <c r="A2990" t="s">
        <v>9688</v>
      </c>
    </row>
    <row r="2991" spans="1:1" x14ac:dyDescent="0.25">
      <c r="A2991" t="s">
        <v>9689</v>
      </c>
    </row>
    <row r="2992" spans="1:1" x14ac:dyDescent="0.25">
      <c r="A2992" t="s">
        <v>9690</v>
      </c>
    </row>
    <row r="2993" spans="1:1" x14ac:dyDescent="0.25">
      <c r="A2993" t="s">
        <v>9691</v>
      </c>
    </row>
    <row r="2994" spans="1:1" x14ac:dyDescent="0.25">
      <c r="A2994" t="s">
        <v>9692</v>
      </c>
    </row>
    <row r="2995" spans="1:1" x14ac:dyDescent="0.25">
      <c r="A2995" t="s">
        <v>9693</v>
      </c>
    </row>
    <row r="2996" spans="1:1" x14ac:dyDescent="0.25">
      <c r="A2996" t="s">
        <v>9694</v>
      </c>
    </row>
    <row r="2997" spans="1:1" x14ac:dyDescent="0.25">
      <c r="A2997" t="s">
        <v>9695</v>
      </c>
    </row>
    <row r="2998" spans="1:1" x14ac:dyDescent="0.25">
      <c r="A2998" t="s">
        <v>9696</v>
      </c>
    </row>
    <row r="2999" spans="1:1" x14ac:dyDescent="0.25">
      <c r="A2999" t="s">
        <v>9697</v>
      </c>
    </row>
    <row r="3000" spans="1:1" x14ac:dyDescent="0.25">
      <c r="A3000" t="s">
        <v>9698</v>
      </c>
    </row>
    <row r="3001" spans="1:1" x14ac:dyDescent="0.25">
      <c r="A3001" t="s">
        <v>9699</v>
      </c>
    </row>
    <row r="3002" spans="1:1" x14ac:dyDescent="0.25">
      <c r="A3002" t="s">
        <v>9700</v>
      </c>
    </row>
    <row r="3003" spans="1:1" x14ac:dyDescent="0.25">
      <c r="A3003" t="s">
        <v>9701</v>
      </c>
    </row>
    <row r="3004" spans="1:1" x14ac:dyDescent="0.25">
      <c r="A3004" t="s">
        <v>9702</v>
      </c>
    </row>
    <row r="3005" spans="1:1" x14ac:dyDescent="0.25">
      <c r="A3005" t="s">
        <v>9703</v>
      </c>
    </row>
    <row r="3006" spans="1:1" x14ac:dyDescent="0.25">
      <c r="A3006" t="s">
        <v>9704</v>
      </c>
    </row>
    <row r="3007" spans="1:1" x14ac:dyDescent="0.25">
      <c r="A3007" t="s">
        <v>9705</v>
      </c>
    </row>
    <row r="3008" spans="1:1" x14ac:dyDescent="0.25">
      <c r="A3008" t="s">
        <v>9706</v>
      </c>
    </row>
    <row r="3009" spans="1:1" x14ac:dyDescent="0.25">
      <c r="A3009" t="s">
        <v>9707</v>
      </c>
    </row>
    <row r="3010" spans="1:1" x14ac:dyDescent="0.25">
      <c r="A3010" t="s">
        <v>9708</v>
      </c>
    </row>
    <row r="3011" spans="1:1" x14ac:dyDescent="0.25">
      <c r="A3011" t="s">
        <v>9709</v>
      </c>
    </row>
    <row r="3012" spans="1:1" x14ac:dyDescent="0.25">
      <c r="A3012" t="s">
        <v>9710</v>
      </c>
    </row>
    <row r="3013" spans="1:1" x14ac:dyDescent="0.25">
      <c r="A3013" t="s">
        <v>9711</v>
      </c>
    </row>
    <row r="3014" spans="1:1" x14ac:dyDescent="0.25">
      <c r="A3014" t="s">
        <v>9712</v>
      </c>
    </row>
    <row r="3015" spans="1:1" x14ac:dyDescent="0.25">
      <c r="A3015" t="s">
        <v>9713</v>
      </c>
    </row>
    <row r="3016" spans="1:1" x14ac:dyDescent="0.25">
      <c r="A3016" t="s">
        <v>9714</v>
      </c>
    </row>
    <row r="3017" spans="1:1" x14ac:dyDescent="0.25">
      <c r="A3017" t="s">
        <v>9715</v>
      </c>
    </row>
    <row r="3018" spans="1:1" x14ac:dyDescent="0.25">
      <c r="A3018" t="s">
        <v>9716</v>
      </c>
    </row>
    <row r="3019" spans="1:1" x14ac:dyDescent="0.25">
      <c r="A3019" t="s">
        <v>9717</v>
      </c>
    </row>
    <row r="3020" spans="1:1" x14ac:dyDescent="0.25">
      <c r="A3020" t="s">
        <v>9718</v>
      </c>
    </row>
    <row r="3021" spans="1:1" x14ac:dyDescent="0.25">
      <c r="A3021" t="s">
        <v>9719</v>
      </c>
    </row>
    <row r="3022" spans="1:1" x14ac:dyDescent="0.25">
      <c r="A3022" t="s">
        <v>9720</v>
      </c>
    </row>
    <row r="3023" spans="1:1" x14ac:dyDescent="0.25">
      <c r="A3023" t="s">
        <v>9721</v>
      </c>
    </row>
    <row r="3024" spans="1:1" x14ac:dyDescent="0.25">
      <c r="A3024" t="s">
        <v>9722</v>
      </c>
    </row>
    <row r="3025" spans="1:1" x14ac:dyDescent="0.25">
      <c r="A3025" t="s">
        <v>9723</v>
      </c>
    </row>
    <row r="3026" spans="1:1" x14ac:dyDescent="0.25">
      <c r="A3026" t="s">
        <v>9724</v>
      </c>
    </row>
    <row r="3027" spans="1:1" x14ac:dyDescent="0.25">
      <c r="A3027" t="s">
        <v>9725</v>
      </c>
    </row>
    <row r="3028" spans="1:1" x14ac:dyDescent="0.25">
      <c r="A3028" t="s">
        <v>9726</v>
      </c>
    </row>
    <row r="3029" spans="1:1" x14ac:dyDescent="0.25">
      <c r="A3029" t="s">
        <v>9727</v>
      </c>
    </row>
    <row r="3030" spans="1:1" x14ac:dyDescent="0.25">
      <c r="A3030" t="s">
        <v>9728</v>
      </c>
    </row>
    <row r="3031" spans="1:1" x14ac:dyDescent="0.25">
      <c r="A3031" t="s">
        <v>9729</v>
      </c>
    </row>
    <row r="3032" spans="1:1" x14ac:dyDescent="0.25">
      <c r="A3032" t="s">
        <v>9730</v>
      </c>
    </row>
    <row r="3033" spans="1:1" x14ac:dyDescent="0.25">
      <c r="A3033" t="s">
        <v>9731</v>
      </c>
    </row>
    <row r="3034" spans="1:1" x14ac:dyDescent="0.25">
      <c r="A3034" t="s">
        <v>9732</v>
      </c>
    </row>
    <row r="3035" spans="1:1" x14ac:dyDescent="0.25">
      <c r="A3035" t="s">
        <v>9733</v>
      </c>
    </row>
    <row r="3036" spans="1:1" x14ac:dyDescent="0.25">
      <c r="A3036" t="s">
        <v>9734</v>
      </c>
    </row>
    <row r="3037" spans="1:1" x14ac:dyDescent="0.25">
      <c r="A3037" t="s">
        <v>9735</v>
      </c>
    </row>
    <row r="3038" spans="1:1" x14ac:dyDescent="0.25">
      <c r="A3038" t="s">
        <v>9736</v>
      </c>
    </row>
    <row r="3039" spans="1:1" x14ac:dyDescent="0.25">
      <c r="A3039" t="s">
        <v>9737</v>
      </c>
    </row>
    <row r="3040" spans="1:1" x14ac:dyDescent="0.25">
      <c r="A3040" t="s">
        <v>9738</v>
      </c>
    </row>
    <row r="3041" spans="1:1" x14ac:dyDescent="0.25">
      <c r="A3041" t="s">
        <v>9739</v>
      </c>
    </row>
    <row r="3042" spans="1:1" x14ac:dyDescent="0.25">
      <c r="A3042" t="s">
        <v>9740</v>
      </c>
    </row>
    <row r="3043" spans="1:1" x14ac:dyDescent="0.25">
      <c r="A3043" t="s">
        <v>9741</v>
      </c>
    </row>
    <row r="3044" spans="1:1" x14ac:dyDescent="0.25">
      <c r="A3044" t="s">
        <v>9742</v>
      </c>
    </row>
    <row r="3045" spans="1:1" x14ac:dyDescent="0.25">
      <c r="A3045" t="s">
        <v>9743</v>
      </c>
    </row>
    <row r="3046" spans="1:1" x14ac:dyDescent="0.25">
      <c r="A3046" t="s">
        <v>9744</v>
      </c>
    </row>
    <row r="3047" spans="1:1" x14ac:dyDescent="0.25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2016-09-06T18:30:27Z</dcterms:modified>
</cp:coreProperties>
</file>