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369" i="1" l="1"/>
  <c r="I364" i="1"/>
  <c r="I211" i="1"/>
  <c r="I126" i="1"/>
  <c r="I184" i="1"/>
  <c r="I315" i="1"/>
  <c r="I286" i="1" l="1"/>
  <c r="I29" i="1" l="1"/>
  <c r="I51" i="1"/>
  <c r="I27" i="1"/>
  <c r="I40" i="1"/>
  <c r="I95" i="1"/>
  <c r="I97" i="1"/>
  <c r="I132" i="1"/>
  <c r="I133" i="1"/>
  <c r="I134" i="1"/>
  <c r="I135" i="1"/>
  <c r="I136" i="1"/>
  <c r="I137" i="1"/>
  <c r="I147" i="1"/>
  <c r="I195" i="1"/>
  <c r="I205" i="1"/>
  <c r="I314" i="1"/>
  <c r="I319" i="1"/>
  <c r="I320" i="1"/>
  <c r="I346" i="1"/>
  <c r="I44" i="1" l="1"/>
  <c r="I128" i="1"/>
  <c r="I275" i="1"/>
  <c r="I348" i="1"/>
  <c r="I349" i="1"/>
  <c r="I350" i="1"/>
  <c r="I86" i="1"/>
  <c r="I187" i="1"/>
  <c r="I305" i="1"/>
  <c r="I306" i="1"/>
  <c r="I93" i="1"/>
  <c r="I94" i="1"/>
  <c r="I291" i="1"/>
  <c r="I173" i="1"/>
  <c r="I238" i="1"/>
  <c r="I294" i="1"/>
  <c r="I308" i="1"/>
  <c r="I351" i="1"/>
  <c r="I277" i="1"/>
  <c r="I278" i="1"/>
  <c r="I113" i="1"/>
  <c r="I114" i="1"/>
  <c r="I115" i="1"/>
  <c r="I186" i="1"/>
  <c r="I240" i="1"/>
  <c r="I303" i="1"/>
  <c r="I368" i="1"/>
  <c r="I125" i="1"/>
  <c r="I148" i="1"/>
  <c r="I213" i="1"/>
  <c r="I273" i="1"/>
  <c r="I274" i="1"/>
  <c r="I282" i="1"/>
  <c r="I310" i="1"/>
  <c r="I311" i="1"/>
  <c r="I312" i="1"/>
  <c r="I236" i="1"/>
  <c r="I109" i="1"/>
  <c r="I110" i="1"/>
  <c r="I144" i="1"/>
  <c r="I145" i="1"/>
  <c r="I151" i="1"/>
  <c r="I214" i="1"/>
  <c r="I248" i="1"/>
  <c r="I249" i="1"/>
  <c r="I263" i="1"/>
  <c r="I264" i="1"/>
  <c r="I370" i="1"/>
  <c r="I233" i="1"/>
  <c r="I234" i="1"/>
  <c r="I192" i="1"/>
  <c r="I193" i="1"/>
  <c r="I279" i="1"/>
  <c r="I259" i="1"/>
  <c r="I140" i="1"/>
  <c r="I222" i="1"/>
  <c r="I313" i="1"/>
  <c r="I146" i="1"/>
  <c r="I150" i="1"/>
  <c r="I239" i="1"/>
  <c r="I244" i="1"/>
  <c r="I245" i="1"/>
  <c r="I254" i="1"/>
  <c r="I265" i="1"/>
  <c r="I295" i="1"/>
  <c r="I296" i="1"/>
  <c r="I327" i="1"/>
  <c r="I328" i="1"/>
  <c r="I329" i="1"/>
  <c r="I330" i="1"/>
  <c r="I363" i="1"/>
  <c r="I366" i="1"/>
  <c r="I14" i="1"/>
  <c r="I15" i="1"/>
  <c r="I118" i="1"/>
  <c r="I189" i="1"/>
  <c r="I41" i="1"/>
  <c r="I42" i="1"/>
  <c r="I43" i="1"/>
  <c r="I170" i="1"/>
  <c r="I252" i="1"/>
  <c r="I153" i="1"/>
  <c r="I82" i="1"/>
  <c r="I309" i="1"/>
  <c r="I131" i="1"/>
  <c r="I298" i="1"/>
  <c r="I299" i="1"/>
  <c r="I106" i="1"/>
  <c r="I107" i="1"/>
  <c r="I221" i="1"/>
  <c r="I262" i="1"/>
  <c r="I91" i="1"/>
  <c r="I92" i="1"/>
  <c r="I143" i="1"/>
  <c r="I166" i="1"/>
  <c r="I307" i="1"/>
  <c r="I16" i="1"/>
  <c r="I123" i="1"/>
  <c r="I124" i="1"/>
  <c r="I141" i="1"/>
  <c r="I223" i="1"/>
  <c r="I218" i="1"/>
  <c r="I215" i="1"/>
  <c r="I258" i="1"/>
  <c r="I317" i="1"/>
  <c r="I119" i="1"/>
  <c r="I168" i="1"/>
  <c r="I142" i="1"/>
  <c r="I209" i="1"/>
  <c r="I210" i="1"/>
  <c r="I281" i="1"/>
  <c r="I280" i="1"/>
  <c r="I372" i="1"/>
  <c r="I373" i="1"/>
  <c r="I58" i="1"/>
  <c r="I100" i="1"/>
  <c r="I101" i="1"/>
  <c r="I197" i="1"/>
  <c r="I219" i="1"/>
  <c r="I242" i="1"/>
  <c r="I266" i="1"/>
  <c r="I267" i="1"/>
  <c r="I288" i="1"/>
  <c r="I289" i="1"/>
  <c r="I292" i="1"/>
  <c r="I293" i="1"/>
  <c r="I297" i="1"/>
  <c r="I321" i="1"/>
  <c r="I162" i="1"/>
  <c r="I367" i="1"/>
  <c r="I167" i="1"/>
  <c r="I174" i="1"/>
  <c r="I302" i="1"/>
  <c r="I229" i="1"/>
  <c r="I230" i="1"/>
  <c r="I121" i="1"/>
  <c r="I9" i="1"/>
  <c r="I256" i="1"/>
  <c r="I122" i="1"/>
  <c r="I182" i="1"/>
  <c r="I231" i="1"/>
  <c r="I237" i="1"/>
  <c r="I285" i="1"/>
  <c r="I127" i="1"/>
  <c r="I216" i="1"/>
  <c r="I224" i="1"/>
  <c r="I225" i="1"/>
  <c r="I226" i="1"/>
  <c r="I227" i="1"/>
  <c r="I284" i="1"/>
  <c r="I228" i="1"/>
  <c r="I39" i="1"/>
  <c r="I272" i="1"/>
  <c r="I359" i="1"/>
  <c r="I287" i="1"/>
  <c r="I138" i="1"/>
  <c r="I139" i="1"/>
  <c r="I65" i="1"/>
  <c r="I66" i="1"/>
  <c r="I10" i="1"/>
  <c r="I73" i="1"/>
  <c r="I74" i="1"/>
  <c r="I75" i="1"/>
  <c r="I191" i="1"/>
  <c r="I232" i="1"/>
  <c r="I5" i="1"/>
  <c r="I48" i="1"/>
  <c r="I49" i="1"/>
  <c r="I50" i="1"/>
  <c r="I64" i="1"/>
  <c r="I253" i="1"/>
  <c r="I300" i="1"/>
  <c r="I301" i="1"/>
  <c r="I316" i="1"/>
  <c r="I331" i="1"/>
  <c r="I324" i="1"/>
  <c r="I325" i="1"/>
  <c r="I81" i="1"/>
  <c r="I6" i="1"/>
  <c r="I22" i="1"/>
  <c r="I23" i="1"/>
  <c r="I57" i="1"/>
  <c r="I89" i="1"/>
  <c r="I98" i="1"/>
  <c r="I108" i="1"/>
  <c r="I130" i="1"/>
  <c r="I155" i="1"/>
  <c r="I164" i="1"/>
  <c r="I165" i="1"/>
  <c r="I198" i="1"/>
  <c r="I199" i="1"/>
  <c r="I255" i="1"/>
  <c r="I257" i="1"/>
  <c r="I156" i="1"/>
  <c r="I260" i="1"/>
  <c r="I345" i="1"/>
  <c r="I220" i="1"/>
  <c r="I203" i="1"/>
  <c r="I204" i="1"/>
  <c r="I129" i="1"/>
  <c r="I212" i="1"/>
  <c r="I235" i="1"/>
  <c r="I202" i="1"/>
  <c r="I337" i="1"/>
  <c r="I338" i="1"/>
  <c r="I339" i="1"/>
  <c r="I243" i="1"/>
  <c r="I26" i="1"/>
  <c r="I276" i="1"/>
  <c r="I332" i="1"/>
  <c r="I333" i="1"/>
  <c r="I354" i="1"/>
  <c r="I355" i="1"/>
  <c r="I356" i="1"/>
  <c r="I67" i="1"/>
  <c r="I7" i="1"/>
  <c r="I102" i="1"/>
  <c r="I116" i="1"/>
  <c r="I323" i="1"/>
  <c r="I177" i="1"/>
  <c r="I178" i="1"/>
  <c r="I157" i="1"/>
  <c r="I163" i="1"/>
  <c r="I268" i="1"/>
  <c r="I269" i="1"/>
  <c r="I72" i="1"/>
  <c r="I24" i="1"/>
  <c r="I25" i="1"/>
  <c r="I261" i="1"/>
  <c r="I120" i="1"/>
  <c r="I181" i="1"/>
  <c r="I206" i="1"/>
  <c r="I154" i="1"/>
  <c r="I217" i="1"/>
  <c r="I358" i="1"/>
  <c r="I17" i="1"/>
  <c r="I90" i="1"/>
  <c r="I290" i="1"/>
  <c r="I35" i="1"/>
  <c r="I158" i="1"/>
  <c r="I53" i="1"/>
  <c r="I28" i="1"/>
  <c r="I30" i="1"/>
  <c r="I96" i="1"/>
  <c r="I87" i="1"/>
  <c r="I47" i="1"/>
  <c r="I175" i="1"/>
  <c r="I194" i="1"/>
  <c r="I188" i="1"/>
  <c r="I250" i="1"/>
  <c r="I251" i="1"/>
  <c r="I322" i="1"/>
  <c r="I36" i="1"/>
  <c r="I37" i="1"/>
  <c r="I38" i="1"/>
  <c r="I152" i="1"/>
  <c r="I201" i="1"/>
  <c r="I270" i="1"/>
  <c r="I271" i="1"/>
  <c r="I31" i="1"/>
  <c r="I32" i="1"/>
  <c r="I33" i="1"/>
  <c r="I46" i="1"/>
  <c r="I76" i="1"/>
  <c r="I172" i="1"/>
  <c r="I183" i="1"/>
  <c r="I196" i="1"/>
  <c r="I283" i="1"/>
  <c r="I362" i="1"/>
  <c r="I180" i="1"/>
  <c r="I185" i="1"/>
  <c r="I360" i="1"/>
  <c r="I361" i="1"/>
  <c r="I99" i="1"/>
  <c r="I160" i="1"/>
  <c r="I326" i="1"/>
  <c r="I88" i="1"/>
  <c r="I111" i="1"/>
  <c r="I304" i="1"/>
  <c r="I8" i="1"/>
  <c r="I112" i="1"/>
  <c r="I21" i="1"/>
  <c r="I54" i="1"/>
  <c r="I55" i="1"/>
  <c r="I56" i="1"/>
  <c r="I169" i="1"/>
  <c r="I246" i="1"/>
  <c r="I247" i="1"/>
  <c r="I71" i="1"/>
  <c r="I84" i="1"/>
  <c r="I207" i="1"/>
  <c r="I208" i="1"/>
  <c r="I200" i="1"/>
  <c r="I83" i="1"/>
  <c r="I52" i="1"/>
  <c r="I85" i="1"/>
  <c r="I77" i="1"/>
  <c r="I374" i="1"/>
  <c r="I365" i="1"/>
  <c r="I190" i="1"/>
  <c r="I171" i="1"/>
  <c r="I80" i="1"/>
  <c r="I352" i="1"/>
  <c r="I176" i="1"/>
  <c r="I117" i="1"/>
  <c r="I161" i="1"/>
  <c r="I357" i="1"/>
  <c r="I371" i="1"/>
  <c r="I4" i="1"/>
  <c r="I78" i="1"/>
  <c r="I79" i="1"/>
  <c r="I103" i="1"/>
  <c r="I105" i="1"/>
  <c r="I179" i="1"/>
  <c r="I159" i="1"/>
  <c r="I19" i="1"/>
  <c r="I20" i="1"/>
  <c r="I34" i="1"/>
  <c r="I11" i="1"/>
  <c r="I12" i="1"/>
  <c r="I13" i="1"/>
  <c r="I45" i="1"/>
  <c r="I334" i="1"/>
  <c r="I335" i="1"/>
  <c r="I336" i="1"/>
  <c r="I340" i="1"/>
  <c r="I347" i="1"/>
  <c r="I318" i="1"/>
  <c r="I341" i="1"/>
  <c r="I342" i="1"/>
  <c r="I343" i="1"/>
  <c r="I344" i="1"/>
  <c r="I353" i="1"/>
  <c r="I149" i="1"/>
  <c r="I18" i="1"/>
  <c r="I241" i="1"/>
  <c r="I68" i="1"/>
  <c r="I69" i="1"/>
  <c r="I70" i="1"/>
  <c r="I59" i="1"/>
  <c r="I60" i="1"/>
  <c r="I61" i="1"/>
  <c r="I62" i="1"/>
  <c r="I63" i="1"/>
  <c r="I104" i="1"/>
  <c r="I3" i="1"/>
</calcChain>
</file>

<file path=xl/sharedStrings.xml><?xml version="1.0" encoding="utf-8"?>
<sst xmlns="http://schemas.openxmlformats.org/spreadsheetml/2006/main" count="2105" uniqueCount="1054">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</sst>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21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6" fillId="2" borderId="0" xfId="1"/>
    <xf numFmtId="0" fontId="4" fillId="0" borderId="0" xfId="0" applyFo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74"/>
  <sheetViews>
    <sheetView tabSelected="1" workbookViewId="0">
      <pane ySplit="2" topLeftCell="A326" activePane="bottomLeft" state="frozen"/>
      <selection pane="bottomLeft" activeCell="F347" sqref="F347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14" t="s">
        <v>800</v>
      </c>
      <c r="F1" s="15"/>
      <c r="G1" s="15"/>
      <c r="H1" s="16" t="s">
        <v>801</v>
      </c>
      <c r="I1" s="17"/>
    </row>
    <row r="2" spans="1:9" ht="30.75" customHeight="1" x14ac:dyDescent="0.2">
      <c r="A2" s="11"/>
      <c r="B2" s="11"/>
      <c r="C2" s="11"/>
      <c r="D2" s="12"/>
      <c r="E2" s="15"/>
      <c r="F2" s="15"/>
      <c r="G2" s="15"/>
      <c r="H2" s="17"/>
      <c r="I2" s="17"/>
    </row>
    <row r="3" spans="1:9" ht="12.75" x14ac:dyDescent="0.2">
      <c r="A3" s="20" t="s">
        <v>0</v>
      </c>
      <c r="B3" s="20" t="s">
        <v>979</v>
      </c>
      <c r="C3" s="20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5" t="s">
        <v>4</v>
      </c>
      <c r="B4" s="18" t="s">
        <v>818</v>
      </c>
      <c r="C4" s="5" t="s">
        <v>996</v>
      </c>
      <c r="D4" s="2" t="s">
        <v>5</v>
      </c>
      <c r="E4" s="2"/>
      <c r="F4" s="2" t="s">
        <v>6</v>
      </c>
      <c r="G4" s="2" t="s">
        <v>7</v>
      </c>
      <c r="H4" s="2"/>
      <c r="I4" t="str">
        <f>IF(AND(LEN(TRIM(D4))&gt;0, E4&lt;&gt;"Y"),CONCATENATE(D4," ",F4),F4)</f>
        <v>Truffade Adder</v>
      </c>
    </row>
    <row r="5" spans="1:9" ht="15.75" customHeight="1" x14ac:dyDescent="0.2">
      <c r="A5" s="6" t="s">
        <v>8</v>
      </c>
      <c r="B5" s="18" t="s">
        <v>825</v>
      </c>
      <c r="C5" s="18" t="s">
        <v>872</v>
      </c>
      <c r="D5" s="7" t="s">
        <v>9</v>
      </c>
      <c r="E5" s="7"/>
      <c r="F5" s="7" t="s">
        <v>10</v>
      </c>
      <c r="G5" s="7" t="s">
        <v>748</v>
      </c>
      <c r="H5" s="7"/>
      <c r="I5" s="8" t="str">
        <f>IF(AND(LEN(TRIM(D5))&gt;0, E5&lt;&gt;"Y"),CONCATENATE(D5," ",F5),F5)</f>
        <v>Brute Airport Bus</v>
      </c>
    </row>
    <row r="6" spans="1:9" ht="15.75" customHeight="1" x14ac:dyDescent="0.2">
      <c r="A6" s="6" t="s">
        <v>11</v>
      </c>
      <c r="C6" s="5" t="s">
        <v>1046</v>
      </c>
      <c r="D6" s="7" t="s">
        <v>12</v>
      </c>
      <c r="E6" s="7" t="s">
        <v>707</v>
      </c>
      <c r="F6" s="7" t="s">
        <v>13</v>
      </c>
      <c r="G6" s="7" t="s">
        <v>748</v>
      </c>
      <c r="H6" s="7"/>
      <c r="I6" s="8" t="str">
        <f>IF(AND(LEN(TRIM(D6))&gt;0, E6&lt;&gt;"Y"),CONCATENATE(D6," ",F6),F6)</f>
        <v>Airtug</v>
      </c>
    </row>
    <row r="7" spans="1:9" ht="15.75" customHeight="1" x14ac:dyDescent="0.2">
      <c r="A7" s="6" t="s">
        <v>14</v>
      </c>
      <c r="B7" s="5" t="s">
        <v>817</v>
      </c>
      <c r="C7" s="5" t="s">
        <v>958</v>
      </c>
      <c r="D7" s="7" t="s">
        <v>15</v>
      </c>
      <c r="E7" s="7"/>
      <c r="F7" s="7" t="s">
        <v>16</v>
      </c>
      <c r="G7" s="7" t="s">
        <v>17</v>
      </c>
      <c r="H7" s="7"/>
      <c r="I7" s="8" t="str">
        <f>IF(AND(LEN(TRIM(D7))&gt;0, E7&lt;&gt;"Y"),CONCATENATE(D7," ",F7),F7)</f>
        <v>Dinka Akuma</v>
      </c>
    </row>
    <row r="8" spans="1:9" ht="15.75" customHeight="1" x14ac:dyDescent="0.2">
      <c r="A8" s="5" t="s">
        <v>18</v>
      </c>
      <c r="B8" s="18" t="s">
        <v>871</v>
      </c>
      <c r="C8" s="5" t="s">
        <v>927</v>
      </c>
      <c r="D8" s="3" t="s">
        <v>19</v>
      </c>
      <c r="E8" s="3"/>
      <c r="F8" s="2" t="s">
        <v>20</v>
      </c>
      <c r="G8" s="2" t="s">
        <v>21</v>
      </c>
      <c r="H8" s="2"/>
      <c r="I8" t="str">
        <f>IF(AND(LEN(TRIM(D8))&gt;0, E8&lt;&gt;"Y"),CONCATENATE(D8," ",F8),F8)</f>
        <v>Albany Alpha</v>
      </c>
    </row>
    <row r="9" spans="1:9" ht="15.75" customHeight="1" x14ac:dyDescent="0.2">
      <c r="A9" s="6" t="s">
        <v>22</v>
      </c>
      <c r="C9" s="5" t="s">
        <v>1046</v>
      </c>
      <c r="D9" s="7" t="s">
        <v>9</v>
      </c>
      <c r="E9" s="7" t="s">
        <v>707</v>
      </c>
      <c r="F9" s="7" t="s">
        <v>23</v>
      </c>
      <c r="G9" s="7" t="s">
        <v>24</v>
      </c>
      <c r="H9" s="7"/>
      <c r="I9" s="8" t="str">
        <f>IF(AND(LEN(TRIM(D9))&gt;0, E9&lt;&gt;"Y"),CONCATENATE(D9," ",F9),F9)</f>
        <v>Ambulance</v>
      </c>
    </row>
    <row r="10" spans="1:9" ht="15.75" customHeight="1" x14ac:dyDescent="0.2">
      <c r="A10" s="5" t="s">
        <v>25</v>
      </c>
      <c r="B10" s="18" t="s">
        <v>819</v>
      </c>
      <c r="C10" s="18" t="s">
        <v>896</v>
      </c>
      <c r="D10" s="2" t="s">
        <v>26</v>
      </c>
      <c r="E10" s="2"/>
      <c r="F10" s="2" t="s">
        <v>27</v>
      </c>
      <c r="G10" s="2" t="s">
        <v>28</v>
      </c>
      <c r="H10" s="2"/>
      <c r="I10" t="str">
        <f>IF(AND(LEN(TRIM(D10))&gt;0, E10&lt;&gt;"Y"),CONCATENATE(D10," ",F10),F10)</f>
        <v>Western Annihilator</v>
      </c>
    </row>
    <row r="11" spans="1:9" ht="15.75" customHeight="1" x14ac:dyDescent="0.2">
      <c r="A11" s="5" t="s">
        <v>29</v>
      </c>
      <c r="C11" s="5" t="s">
        <v>1046</v>
      </c>
      <c r="D11" s="2" t="s">
        <v>12</v>
      </c>
      <c r="E11" s="2" t="s">
        <v>707</v>
      </c>
      <c r="F11" s="2" t="s">
        <v>30</v>
      </c>
      <c r="G11" s="2" t="s">
        <v>31</v>
      </c>
      <c r="H11" s="2"/>
      <c r="I11" t="str">
        <f>IF(AND(LEN(TRIM(D11))&gt;0, E11&lt;&gt;"Y"),CONCATENATE(D11," ",F11),F11)</f>
        <v>Army Fuel Tanker</v>
      </c>
    </row>
    <row r="12" spans="1:9" ht="15.75" customHeight="1" x14ac:dyDescent="0.2">
      <c r="A12" s="5" t="s">
        <v>32</v>
      </c>
      <c r="C12" s="5" t="s">
        <v>1046</v>
      </c>
      <c r="D12" s="2" t="s">
        <v>12</v>
      </c>
      <c r="E12" s="2" t="s">
        <v>707</v>
      </c>
      <c r="F12" s="2" t="s">
        <v>33</v>
      </c>
      <c r="G12" s="2" t="s">
        <v>31</v>
      </c>
      <c r="H12" s="2"/>
      <c r="I12" t="str">
        <f>IF(AND(LEN(TRIM(D12))&gt;0, E12&lt;&gt;"Y"),CONCATENATE(D12," ",F12),F12)</f>
        <v>Army Flatbed Trailer (Empty)</v>
      </c>
    </row>
    <row r="13" spans="1:9" ht="15.75" customHeight="1" x14ac:dyDescent="0.2">
      <c r="A13" s="5" t="s">
        <v>34</v>
      </c>
      <c r="C13" s="5" t="s">
        <v>1046</v>
      </c>
      <c r="D13" s="2" t="s">
        <v>12</v>
      </c>
      <c r="E13" s="2" t="s">
        <v>707</v>
      </c>
      <c r="F13" s="2" t="s">
        <v>35</v>
      </c>
      <c r="G13" s="2" t="s">
        <v>36</v>
      </c>
      <c r="H13" s="2"/>
      <c r="I13" t="str">
        <f>IF(AND(LEN(TRIM(D13))&gt;0, E13&lt;&gt;"Y"),CONCATENATE(D13," ",F13),F13)</f>
        <v>Army Flatbed Trailer (With Drill)</v>
      </c>
    </row>
    <row r="14" spans="1:9" ht="15.75" customHeight="1" x14ac:dyDescent="0.2">
      <c r="A14" s="5" t="s">
        <v>37</v>
      </c>
      <c r="B14" s="18" t="s">
        <v>863</v>
      </c>
      <c r="C14" s="13" t="s">
        <v>944</v>
      </c>
      <c r="D14" s="2" t="s">
        <v>38</v>
      </c>
      <c r="E14" s="2"/>
      <c r="F14" s="2" t="s">
        <v>39</v>
      </c>
      <c r="G14" s="2" t="s">
        <v>749</v>
      </c>
      <c r="H14" s="2"/>
      <c r="I14" t="str">
        <f>IF(AND(LEN(TRIM(D14))&gt;0, E14&lt;&gt;"Y"),CONCATENATE(D14," ",F14),F14)</f>
        <v>Declasse Asea</v>
      </c>
    </row>
    <row r="15" spans="1:9" ht="15.75" customHeight="1" x14ac:dyDescent="0.2">
      <c r="A15" s="5" t="s">
        <v>40</v>
      </c>
      <c r="C15" s="5" t="s">
        <v>1046</v>
      </c>
      <c r="D15" s="2" t="s">
        <v>38</v>
      </c>
      <c r="E15" s="2"/>
      <c r="F15" s="2" t="s">
        <v>41</v>
      </c>
      <c r="G15" s="2" t="s">
        <v>749</v>
      </c>
      <c r="H15" s="2"/>
      <c r="I15" t="str">
        <f>IF(AND(LEN(TRIM(D15))&gt;0, E15&lt;&gt;"Y"),CONCATENATE(D15," ",F15),F15)</f>
        <v>Declasse Asea (Snow)</v>
      </c>
    </row>
    <row r="16" spans="1:9" ht="15.75" customHeight="1" x14ac:dyDescent="0.2">
      <c r="A16" s="5" t="s">
        <v>42</v>
      </c>
      <c r="B16" s="18" t="s">
        <v>863</v>
      </c>
      <c r="C16" s="18" t="s">
        <v>864</v>
      </c>
      <c r="D16" s="2" t="s">
        <v>43</v>
      </c>
      <c r="E16" s="2"/>
      <c r="F16" s="2" t="s">
        <v>44</v>
      </c>
      <c r="G16" s="2" t="s">
        <v>749</v>
      </c>
      <c r="H16" s="2"/>
      <c r="I16" t="str">
        <f>IF(AND(LEN(TRIM(D16))&gt;0, E16&lt;&gt;"Y"),CONCATENATE(D16," ",F16),F16)</f>
        <v>Karin Asterope</v>
      </c>
    </row>
    <row r="17" spans="1:9" ht="15.75" customHeight="1" x14ac:dyDescent="0.2">
      <c r="A17" s="6" t="s">
        <v>45</v>
      </c>
      <c r="C17" s="5" t="s">
        <v>1046</v>
      </c>
      <c r="D17" s="7" t="s">
        <v>26</v>
      </c>
      <c r="E17" s="7"/>
      <c r="F17" s="7" t="s">
        <v>46</v>
      </c>
      <c r="G17" s="7" t="s">
        <v>17</v>
      </c>
      <c r="H17" s="7"/>
      <c r="I17" s="8" t="str">
        <f>IF(AND(LEN(TRIM(D17))&gt;0, E17&lt;&gt;"Y"),CONCATENATE(D17," ",F17),F17)</f>
        <v>Western Bagger</v>
      </c>
    </row>
    <row r="18" spans="1:9" ht="15.75" customHeight="1" x14ac:dyDescent="0.2">
      <c r="A18" s="5" t="s">
        <v>47</v>
      </c>
      <c r="C18" s="5" t="s">
        <v>1046</v>
      </c>
      <c r="D18" s="2" t="s">
        <v>48</v>
      </c>
      <c r="E18" s="2" t="s">
        <v>707</v>
      </c>
      <c r="F18" s="2" t="s">
        <v>49</v>
      </c>
      <c r="G18" s="2" t="s">
        <v>31</v>
      </c>
      <c r="H18" s="2"/>
      <c r="I18" t="str">
        <f>IF(AND(LEN(TRIM(D18))&gt;0, E18&lt;&gt;"Y"),CONCATENATE(D18," ",F18),F18)</f>
        <v>Hay Bale Trailer</v>
      </c>
    </row>
    <row r="19" spans="1:9" ht="15.75" customHeight="1" x14ac:dyDescent="0.2">
      <c r="A19" s="6" t="s">
        <v>50</v>
      </c>
      <c r="C19" s="5" t="s">
        <v>1046</v>
      </c>
      <c r="D19" s="7" t="s">
        <v>51</v>
      </c>
      <c r="E19" s="7"/>
      <c r="F19" s="7" t="s">
        <v>728</v>
      </c>
      <c r="G19" s="7" t="s">
        <v>52</v>
      </c>
      <c r="H19" s="7"/>
      <c r="I19" s="8" t="str">
        <f>IF(AND(LEN(TRIM(D19))&gt;0, E19&lt;&gt;"Y"),CONCATENATE(D19," ",F19),F19)</f>
        <v>Gallivanter Baller (Large)</v>
      </c>
    </row>
    <row r="20" spans="1:9" ht="15.75" customHeight="1" x14ac:dyDescent="0.2">
      <c r="A20" s="6" t="s">
        <v>53</v>
      </c>
      <c r="B20" s="5" t="s">
        <v>817</v>
      </c>
      <c r="C20" s="5" t="s">
        <v>959</v>
      </c>
      <c r="D20" s="7" t="s">
        <v>51</v>
      </c>
      <c r="E20" s="7"/>
      <c r="F20" s="7" t="s">
        <v>729</v>
      </c>
      <c r="G20" s="7" t="s">
        <v>52</v>
      </c>
      <c r="H20" s="7"/>
      <c r="I20" s="8" t="str">
        <f>IF(AND(LEN(TRIM(D20))&gt;0, E20&lt;&gt;"Y"),CONCATENATE(D20," ",F20),F20)</f>
        <v>Gallivanter Baller (Small)</v>
      </c>
    </row>
    <row r="21" spans="1:9" ht="15.75" customHeight="1" x14ac:dyDescent="0.2">
      <c r="A21" s="5" t="s">
        <v>54</v>
      </c>
      <c r="B21" s="18" t="s">
        <v>818</v>
      </c>
      <c r="C21" s="5" t="s">
        <v>997</v>
      </c>
      <c r="D21" s="2" t="s">
        <v>55</v>
      </c>
      <c r="E21" s="2"/>
      <c r="F21" s="2" t="s">
        <v>56</v>
      </c>
      <c r="G21" s="2" t="s">
        <v>21</v>
      </c>
      <c r="H21" s="2"/>
      <c r="I21" t="str">
        <f>IF(AND(LEN(TRIM(D21))&gt;0, E21&lt;&gt;"Y"),CONCATENATE(D21," ",F21),F21)</f>
        <v>Bravado Banshee</v>
      </c>
    </row>
    <row r="22" spans="1:9" ht="15.75" customHeight="1" x14ac:dyDescent="0.2">
      <c r="A22" s="6" t="s">
        <v>57</v>
      </c>
      <c r="B22" s="18" t="s">
        <v>825</v>
      </c>
      <c r="C22" s="18" t="s">
        <v>873</v>
      </c>
      <c r="D22" s="7" t="s">
        <v>12</v>
      </c>
      <c r="E22" s="7" t="s">
        <v>707</v>
      </c>
      <c r="F22" s="7" t="s">
        <v>58</v>
      </c>
      <c r="G22" s="7" t="s">
        <v>24</v>
      </c>
      <c r="H22" s="7"/>
      <c r="I22" s="8" t="str">
        <f>IF(AND(LEN(TRIM(D22))&gt;0, E22&lt;&gt;"Y"),CONCATENATE(D22," ",F22),F22)</f>
        <v>Army Barracks Truck</v>
      </c>
    </row>
    <row r="23" spans="1:9" ht="15.75" customHeight="1" x14ac:dyDescent="0.2">
      <c r="A23" s="6" t="s">
        <v>59</v>
      </c>
      <c r="C23" s="5" t="s">
        <v>1046</v>
      </c>
      <c r="D23" s="7" t="s">
        <v>12</v>
      </c>
      <c r="E23" s="7" t="s">
        <v>707</v>
      </c>
      <c r="F23" s="7" t="s">
        <v>60</v>
      </c>
      <c r="G23" s="7" t="s">
        <v>24</v>
      </c>
      <c r="H23" s="7"/>
      <c r="I23" s="8" t="str">
        <f>IF(AND(LEN(TRIM(D23))&gt;0, E23&lt;&gt;"Y"),CONCATENATE(D23," ",F23),F23)</f>
        <v>Army Truck Cab</v>
      </c>
    </row>
    <row r="24" spans="1:9" ht="15.75" customHeight="1" x14ac:dyDescent="0.2">
      <c r="A24" s="6" t="s">
        <v>61</v>
      </c>
      <c r="B24" s="5" t="s">
        <v>817</v>
      </c>
      <c r="C24" s="5" t="s">
        <v>966</v>
      </c>
      <c r="D24" s="7" t="s">
        <v>62</v>
      </c>
      <c r="E24" s="7"/>
      <c r="F24" s="7" t="s">
        <v>63</v>
      </c>
      <c r="G24" s="7" t="s">
        <v>17</v>
      </c>
      <c r="H24" s="7"/>
      <c r="I24" s="8" t="str">
        <f>IF(AND(LEN(TRIM(D24))&gt;0, E24&lt;&gt;"Y"),CONCATENATE(D24," ",F24),F24)</f>
        <v>Pegassi Bati</v>
      </c>
    </row>
    <row r="25" spans="1:9" ht="15.75" customHeight="1" x14ac:dyDescent="0.2">
      <c r="A25" s="6" t="s">
        <v>64</v>
      </c>
      <c r="B25" s="5" t="s">
        <v>817</v>
      </c>
      <c r="C25" s="5" t="s">
        <v>967</v>
      </c>
      <c r="D25" s="7" t="s">
        <v>62</v>
      </c>
      <c r="E25" s="7"/>
      <c r="F25" s="7" t="s">
        <v>65</v>
      </c>
      <c r="G25" s="7" t="s">
        <v>17</v>
      </c>
      <c r="H25" s="7"/>
      <c r="I25" s="8" t="str">
        <f>IF(AND(LEN(TRIM(D25))&gt;0, E25&lt;&gt;"Y"),CONCATENATE(D25," ",F25),F25)</f>
        <v>Pegassi Bati (Race)</v>
      </c>
    </row>
    <row r="26" spans="1:9" ht="15.75" customHeight="1" x14ac:dyDescent="0.2">
      <c r="A26" s="6" t="s">
        <v>66</v>
      </c>
      <c r="C26" s="5" t="s">
        <v>1046</v>
      </c>
      <c r="D26" s="7" t="s">
        <v>67</v>
      </c>
      <c r="E26" s="7"/>
      <c r="F26" s="7" t="s">
        <v>68</v>
      </c>
      <c r="G26" s="7" t="s">
        <v>744</v>
      </c>
      <c r="H26" s="7"/>
      <c r="I26" s="8" t="str">
        <f>IF(AND(LEN(TRIM(D26))&gt;0, E26&lt;&gt;"Y"),CONCATENATE(D26," ",F26),F26)</f>
        <v>Vapid Benson</v>
      </c>
    </row>
    <row r="27" spans="1:9" ht="15.75" customHeight="1" x14ac:dyDescent="0.25">
      <c r="A27" s="9" t="s">
        <v>751</v>
      </c>
      <c r="B27" s="9" t="s">
        <v>822</v>
      </c>
      <c r="C27" s="5" t="s">
        <v>994</v>
      </c>
      <c r="D27" s="9" t="s">
        <v>26</v>
      </c>
      <c r="E27" s="9"/>
      <c r="F27" s="9" t="s">
        <v>777</v>
      </c>
      <c r="G27" s="9" t="s">
        <v>162</v>
      </c>
      <c r="H27" s="9"/>
      <c r="I27" s="9" t="str">
        <f>IF(AND(LEN(TRIM(D27))&gt;0, E27&lt;&gt;"Y"),CONCATENATE(D27," ",F27),F27)</f>
        <v>Western Besra</v>
      </c>
    </row>
    <row r="28" spans="1:9" ht="15.75" customHeight="1" x14ac:dyDescent="0.2">
      <c r="A28" s="6" t="s">
        <v>69</v>
      </c>
      <c r="B28" s="5" t="s">
        <v>817</v>
      </c>
      <c r="C28" s="18" t="s">
        <v>971</v>
      </c>
      <c r="D28" s="7" t="s">
        <v>70</v>
      </c>
      <c r="E28" s="7"/>
      <c r="F28" s="7" t="s">
        <v>71</v>
      </c>
      <c r="G28" s="7" t="s">
        <v>72</v>
      </c>
      <c r="H28" s="7"/>
      <c r="I28" s="8" t="str">
        <f>IF(AND(LEN(TRIM(D28))&gt;0, E28&lt;&gt;"Y"),CONCATENATE(D28," ",F28),F28)</f>
        <v>BF Injection</v>
      </c>
    </row>
    <row r="29" spans="1:9" ht="15.75" customHeight="1" x14ac:dyDescent="0.2">
      <c r="A29" s="6" t="s">
        <v>73</v>
      </c>
      <c r="C29" s="5" t="s">
        <v>1046</v>
      </c>
      <c r="D29" s="7" t="s">
        <v>12</v>
      </c>
      <c r="E29" s="7"/>
      <c r="F29" s="7" t="s">
        <v>74</v>
      </c>
      <c r="G29" s="7" t="s">
        <v>744</v>
      </c>
      <c r="H29" s="7"/>
      <c r="I29" s="8" t="str">
        <f>IF(AND(LEN(TRIM(D29))&gt;0, E29&lt;&gt;"Y"),CONCATENATE(D29," ",F29),F29)</f>
        <v>HVY Biff</v>
      </c>
    </row>
    <row r="30" spans="1:9" ht="15.75" customHeight="1" x14ac:dyDescent="0.2">
      <c r="A30" s="6" t="s">
        <v>75</v>
      </c>
      <c r="B30" s="5" t="s">
        <v>817</v>
      </c>
      <c r="C30" s="5" t="s">
        <v>968</v>
      </c>
      <c r="D30" s="7" t="s">
        <v>70</v>
      </c>
      <c r="E30" s="7"/>
      <c r="F30" s="7" t="s">
        <v>76</v>
      </c>
      <c r="G30" s="7" t="s">
        <v>72</v>
      </c>
      <c r="H30" s="7"/>
      <c r="I30" s="8" t="str">
        <f>IF(AND(LEN(TRIM(D30))&gt;0, E30&lt;&gt;"Y"),CONCATENATE(D30," ",F30),F30)</f>
        <v>BF Bifta</v>
      </c>
    </row>
    <row r="31" spans="1:9" ht="15.75" customHeight="1" x14ac:dyDescent="0.2">
      <c r="A31" s="5" t="s">
        <v>77</v>
      </c>
      <c r="B31" s="5" t="s">
        <v>817</v>
      </c>
      <c r="C31" s="5" t="s">
        <v>969</v>
      </c>
      <c r="D31" s="2" t="s">
        <v>55</v>
      </c>
      <c r="E31" s="2"/>
      <c r="F31" s="2" t="s">
        <v>78</v>
      </c>
      <c r="G31" s="2" t="s">
        <v>79</v>
      </c>
      <c r="H31" s="2"/>
      <c r="I31" t="str">
        <f>IF(AND(LEN(TRIM(D31))&gt;0, E31&lt;&gt;"Y"),CONCATENATE(D31," ",F31),F31)</f>
        <v>Bravado Bison</v>
      </c>
    </row>
    <row r="32" spans="1:9" ht="15.75" customHeight="1" x14ac:dyDescent="0.2">
      <c r="A32" s="5" t="s">
        <v>80</v>
      </c>
      <c r="C32" s="5" t="s">
        <v>1046</v>
      </c>
      <c r="D32" s="2" t="s">
        <v>55</v>
      </c>
      <c r="E32" s="2"/>
      <c r="F32" s="2" t="s">
        <v>81</v>
      </c>
      <c r="G32" s="2" t="s">
        <v>79</v>
      </c>
      <c r="H32" s="2"/>
      <c r="I32" t="str">
        <f>IF(AND(LEN(TRIM(D32))&gt;0, E32&lt;&gt;"Y"),CONCATENATE(D32," ",F32),F32)</f>
        <v>Bravado Bison (Construction)</v>
      </c>
    </row>
    <row r="33" spans="1:9" ht="15.75" customHeight="1" x14ac:dyDescent="0.2">
      <c r="A33" s="5" t="s">
        <v>82</v>
      </c>
      <c r="C33" s="5" t="s">
        <v>1046</v>
      </c>
      <c r="D33" s="2" t="s">
        <v>55</v>
      </c>
      <c r="E33" s="2"/>
      <c r="F33" s="2" t="s">
        <v>83</v>
      </c>
      <c r="G33" s="2" t="s">
        <v>79</v>
      </c>
      <c r="H33" s="2"/>
      <c r="I33" t="str">
        <f>IF(AND(LEN(TRIM(D33))&gt;0, E33&lt;&gt;"Y"),CONCATENATE(D33," ",F33),F33)</f>
        <v>Bravado Bison (Backrack)</v>
      </c>
    </row>
    <row r="34" spans="1:9" ht="15.75" customHeight="1" x14ac:dyDescent="0.2">
      <c r="A34" s="6" t="s">
        <v>84</v>
      </c>
      <c r="C34" s="5" t="s">
        <v>1046</v>
      </c>
      <c r="D34" s="7" t="s">
        <v>43</v>
      </c>
      <c r="E34" s="7"/>
      <c r="F34" s="7" t="s">
        <v>85</v>
      </c>
      <c r="G34" s="7" t="s">
        <v>52</v>
      </c>
      <c r="H34" s="7"/>
      <c r="I34" s="8" t="str">
        <f>IF(AND(LEN(TRIM(D34))&gt;0, E34&lt;&gt;"Y"),CONCATENATE(D34," ",F34),F34)</f>
        <v>Karin BeeJay XL</v>
      </c>
    </row>
    <row r="35" spans="1:9" s="9" customFormat="1" ht="15.75" customHeight="1" x14ac:dyDescent="0.25">
      <c r="A35" s="5" t="s">
        <v>86</v>
      </c>
      <c r="B35" s="18" t="s">
        <v>855</v>
      </c>
      <c r="C35" s="5" t="s">
        <v>1024</v>
      </c>
      <c r="D35" s="2" t="s">
        <v>67</v>
      </c>
      <c r="E35" s="2"/>
      <c r="F35" s="2" t="s">
        <v>87</v>
      </c>
      <c r="G35" s="2" t="s">
        <v>88</v>
      </c>
      <c r="H35" s="2"/>
      <c r="I35" t="str">
        <f>IF(AND(LEN(TRIM(D35))&gt;0, E35&lt;&gt;"Y"),CONCATENATE(D35," ",F35),F35)</f>
        <v>Vapid Blade</v>
      </c>
    </row>
    <row r="36" spans="1:9" ht="15.75" customHeight="1" x14ac:dyDescent="0.2">
      <c r="A36" s="6" t="s">
        <v>89</v>
      </c>
      <c r="B36" s="5" t="s">
        <v>817</v>
      </c>
      <c r="C36" s="5" t="s">
        <v>963</v>
      </c>
      <c r="D36" s="7" t="s">
        <v>90</v>
      </c>
      <c r="E36" s="7"/>
      <c r="F36" s="7" t="s">
        <v>91</v>
      </c>
      <c r="G36" s="7" t="s">
        <v>72</v>
      </c>
      <c r="H36" s="7"/>
      <c r="I36" s="8" t="str">
        <f>IF(AND(LEN(TRIM(D36))&gt;0, E36&lt;&gt;"Y"),CONCATENATE(D36," ",F36),F36)</f>
        <v>Nagasaki Blazer</v>
      </c>
    </row>
    <row r="37" spans="1:9" ht="15.75" customHeight="1" x14ac:dyDescent="0.2">
      <c r="A37" s="6" t="s">
        <v>92</v>
      </c>
      <c r="C37" s="5" t="s">
        <v>1046</v>
      </c>
      <c r="D37" s="7" t="s">
        <v>90</v>
      </c>
      <c r="E37" s="7"/>
      <c r="F37" s="7" t="s">
        <v>93</v>
      </c>
      <c r="G37" s="7" t="s">
        <v>72</v>
      </c>
      <c r="H37" s="7"/>
      <c r="I37" s="8" t="str">
        <f>IF(AND(LEN(TRIM(D37))&gt;0, E37&lt;&gt;"Y"),CONCATENATE(D37," ",F37),F37)</f>
        <v>Nagasaki Blazer (Lifeguard)</v>
      </c>
    </row>
    <row r="38" spans="1:9" ht="15.75" customHeight="1" x14ac:dyDescent="0.2">
      <c r="A38" s="6" t="s">
        <v>94</v>
      </c>
      <c r="B38" s="18" t="s">
        <v>855</v>
      </c>
      <c r="C38" s="5" t="s">
        <v>1025</v>
      </c>
      <c r="D38" s="7" t="s">
        <v>90</v>
      </c>
      <c r="E38" s="7"/>
      <c r="F38" s="7" t="s">
        <v>95</v>
      </c>
      <c r="G38" s="7" t="s">
        <v>72</v>
      </c>
      <c r="H38" s="7"/>
      <c r="I38" s="8" t="str">
        <f>IF(AND(LEN(TRIM(D38))&gt;0, E38&lt;&gt;"Y"),CONCATENATE(D38," ",F38),F38)</f>
        <v>Nagasaki Blazer (Hot Rod)</v>
      </c>
    </row>
    <row r="39" spans="1:9" ht="15.75" customHeight="1" x14ac:dyDescent="0.2">
      <c r="A39" s="5" t="s">
        <v>96</v>
      </c>
      <c r="C39" s="5" t="s">
        <v>1046</v>
      </c>
      <c r="D39" s="2" t="s">
        <v>97</v>
      </c>
      <c r="E39" s="2" t="s">
        <v>707</v>
      </c>
      <c r="F39" s="2" t="s">
        <v>788</v>
      </c>
      <c r="G39" s="2" t="s">
        <v>28</v>
      </c>
      <c r="H39" s="2"/>
      <c r="I39" t="str">
        <f>IF(AND(LEN(TRIM(D39))&gt;0, E39&lt;&gt;"Y"),CONCATENATE(D39," ",F39),F39)</f>
        <v>Blimp (Atomic)</v>
      </c>
    </row>
    <row r="40" spans="1:9" ht="15.75" customHeight="1" x14ac:dyDescent="0.25">
      <c r="A40" s="9" t="s">
        <v>752</v>
      </c>
      <c r="C40" s="5" t="s">
        <v>1046</v>
      </c>
      <c r="D40" s="9"/>
      <c r="E40" s="9"/>
      <c r="F40" s="9" t="s">
        <v>778</v>
      </c>
      <c r="G40" s="9" t="s">
        <v>28</v>
      </c>
      <c r="H40" s="9"/>
      <c r="I40" s="9" t="str">
        <f>IF(AND(LEN(TRIM(D40))&gt;0, E40&lt;&gt;"Y"),CONCATENATE(D40," ",F40),F40)</f>
        <v>Blimp (Xero Gas)</v>
      </c>
    </row>
    <row r="41" spans="1:9" ht="15.75" customHeight="1" x14ac:dyDescent="0.2">
      <c r="A41" s="6" t="s">
        <v>98</v>
      </c>
      <c r="C41" s="5" t="s">
        <v>1046</v>
      </c>
      <c r="D41" s="7" t="s">
        <v>15</v>
      </c>
      <c r="E41" s="7"/>
      <c r="F41" s="7" t="s">
        <v>99</v>
      </c>
      <c r="G41" s="7" t="s">
        <v>738</v>
      </c>
      <c r="H41" s="7"/>
      <c r="I41" s="8" t="str">
        <f>IF(AND(LEN(TRIM(D41))&gt;0, E41&lt;&gt;"Y"),CONCATENATE(D41," ",F41),F41)</f>
        <v>Dinka Blista</v>
      </c>
    </row>
    <row r="42" spans="1:9" ht="15.75" customHeight="1" x14ac:dyDescent="0.2">
      <c r="A42" s="18" t="s">
        <v>101</v>
      </c>
      <c r="B42" s="18" t="s">
        <v>841</v>
      </c>
      <c r="C42" s="5" t="s">
        <v>1042</v>
      </c>
      <c r="D42" s="2" t="s">
        <v>15</v>
      </c>
      <c r="E42" s="2"/>
      <c r="F42" s="2" t="s">
        <v>736</v>
      </c>
      <c r="G42" s="2" t="s">
        <v>21</v>
      </c>
      <c r="H42" s="2"/>
      <c r="I42" t="str">
        <f>IF(AND(LEN(TRIM(D42))&gt;0, E42&lt;&gt;"Y"),CONCATENATE(D42," ",F42),F42)</f>
        <v>Dinka Blista Compact (Go Go Monkey Race)</v>
      </c>
    </row>
    <row r="43" spans="1:9" ht="15.75" customHeight="1" x14ac:dyDescent="0.2">
      <c r="A43" s="18" t="s">
        <v>100</v>
      </c>
      <c r="C43" s="5" t="s">
        <v>1046</v>
      </c>
      <c r="D43" s="2" t="s">
        <v>15</v>
      </c>
      <c r="E43" s="2"/>
      <c r="F43" s="2" t="s">
        <v>727</v>
      </c>
      <c r="G43" s="2" t="s">
        <v>21</v>
      </c>
      <c r="H43" s="2"/>
      <c r="I43" t="str">
        <f>IF(AND(LEN(TRIM(D43))&gt;0, E43&lt;&gt;"Y"),CONCATENATE(D43," ",F43),F43)</f>
        <v>Dinka Blista Compact</v>
      </c>
    </row>
    <row r="44" spans="1:9" ht="15.75" customHeight="1" x14ac:dyDescent="0.2">
      <c r="A44" s="6" t="s">
        <v>102</v>
      </c>
      <c r="B44" s="18" t="s">
        <v>838</v>
      </c>
      <c r="C44" s="5" t="s">
        <v>937</v>
      </c>
      <c r="D44" s="7" t="s">
        <v>103</v>
      </c>
      <c r="E44" s="7" t="s">
        <v>707</v>
      </c>
      <c r="F44" s="7" t="s">
        <v>102</v>
      </c>
      <c r="G44" s="7" t="s">
        <v>703</v>
      </c>
      <c r="H44" s="7"/>
      <c r="I44" s="8" t="str">
        <f>IF(AND(LEN(TRIM(D44))&gt;0, E44&lt;&gt;"Y"),CONCATENATE(D44," ",F44),F44)</f>
        <v>BMX</v>
      </c>
    </row>
    <row r="45" spans="1:9" ht="15.75" customHeight="1" x14ac:dyDescent="0.2">
      <c r="A45" s="5" t="s">
        <v>104</v>
      </c>
      <c r="C45" s="5" t="s">
        <v>1046</v>
      </c>
      <c r="D45" s="2" t="s">
        <v>12</v>
      </c>
      <c r="E45" s="2" t="s">
        <v>707</v>
      </c>
      <c r="F45" s="2" t="s">
        <v>105</v>
      </c>
      <c r="G45" s="2" t="s">
        <v>31</v>
      </c>
      <c r="H45" s="2"/>
      <c r="I45" t="str">
        <f>IF(AND(LEN(TRIM(D45))&gt;0, E45&lt;&gt;"Y"),CONCATENATE(D45," ",F45),F45)</f>
        <v>Boat Trailer</v>
      </c>
    </row>
    <row r="46" spans="1:9" ht="15.75" customHeight="1" x14ac:dyDescent="0.2">
      <c r="A46" s="5" t="s">
        <v>106</v>
      </c>
      <c r="B46" s="18" t="s">
        <v>863</v>
      </c>
      <c r="C46" s="5" t="s">
        <v>945</v>
      </c>
      <c r="D46" s="2" t="s">
        <v>67</v>
      </c>
      <c r="E46" s="2"/>
      <c r="F46" s="2" t="s">
        <v>107</v>
      </c>
      <c r="G46" s="2" t="s">
        <v>79</v>
      </c>
      <c r="H46" s="2"/>
      <c r="I46" t="str">
        <f>IF(AND(LEN(TRIM(D46))&gt;0, E46&lt;&gt;"Y"),CONCATENATE(D46," ",F46),F46)</f>
        <v>Vapid Bobcat</v>
      </c>
    </row>
    <row r="47" spans="1:9" ht="15.75" customHeight="1" x14ac:dyDescent="0.2">
      <c r="A47" s="6" t="s">
        <v>108</v>
      </c>
      <c r="B47" s="5" t="s">
        <v>817</v>
      </c>
      <c r="C47" s="5" t="s">
        <v>964</v>
      </c>
      <c r="D47" s="7" t="s">
        <v>109</v>
      </c>
      <c r="E47" s="7"/>
      <c r="F47" s="7" t="s">
        <v>110</v>
      </c>
      <c r="G47" s="7" t="s">
        <v>72</v>
      </c>
      <c r="H47" s="7"/>
      <c r="I47" s="8" t="str">
        <f>IF(AND(LEN(TRIM(D47))&gt;0, E47&lt;&gt;"Y"),CONCATENATE(D47," ",F47),F47)</f>
        <v>Canis Bodhi</v>
      </c>
    </row>
    <row r="48" spans="1:9" ht="12.75" x14ac:dyDescent="0.2">
      <c r="A48" s="6" t="s">
        <v>111</v>
      </c>
      <c r="C48" s="5" t="s">
        <v>1046</v>
      </c>
      <c r="D48" s="7" t="s">
        <v>9</v>
      </c>
      <c r="E48" s="7"/>
      <c r="F48" s="7" t="s">
        <v>725</v>
      </c>
      <c r="G48" s="7" t="s">
        <v>744</v>
      </c>
      <c r="H48" s="7"/>
      <c r="I48" s="8" t="str">
        <f>IF(AND(LEN(TRIM(D48))&gt;0, E48&lt;&gt;"Y"),CONCATENATE(D48," ",F48),F48)</f>
        <v>Brute Boxville (Water &amp; Power)</v>
      </c>
    </row>
    <row r="49" spans="1:9" ht="12.75" x14ac:dyDescent="0.2">
      <c r="A49" s="6" t="s">
        <v>112</v>
      </c>
      <c r="C49" s="5" t="s">
        <v>1046</v>
      </c>
      <c r="D49" s="7" t="s">
        <v>9</v>
      </c>
      <c r="E49" s="7"/>
      <c r="F49" s="7" t="s">
        <v>798</v>
      </c>
      <c r="G49" s="7" t="s">
        <v>744</v>
      </c>
      <c r="H49" s="7"/>
      <c r="I49" s="8" t="str">
        <f>IF(AND(LEN(TRIM(D49))&gt;0, E49&lt;&gt;"Y"),CONCATENATE(D49," ",F49),F49)</f>
        <v>Brute Boxville (Go Postal)</v>
      </c>
    </row>
    <row r="50" spans="1:9" ht="12.75" x14ac:dyDescent="0.2">
      <c r="A50" s="6" t="s">
        <v>113</v>
      </c>
      <c r="C50" s="5" t="s">
        <v>1046</v>
      </c>
      <c r="D50" s="7" t="s">
        <v>9</v>
      </c>
      <c r="E50" s="7"/>
      <c r="F50" s="7" t="s">
        <v>726</v>
      </c>
      <c r="G50" s="7" t="s">
        <v>744</v>
      </c>
      <c r="H50" s="7"/>
      <c r="I50" s="8" t="str">
        <f>IF(AND(LEN(TRIM(D50))&gt;0, E50&lt;&gt;"Y"),CONCATENATE(D50," ",F50),F50)</f>
        <v>Brute Boxville (Humane Labs)</v>
      </c>
    </row>
    <row r="51" spans="1:9" ht="12.75" x14ac:dyDescent="0.2">
      <c r="A51" s="10" t="s">
        <v>753</v>
      </c>
      <c r="B51" s="18" t="s">
        <v>825</v>
      </c>
      <c r="C51" s="18" t="s">
        <v>826</v>
      </c>
      <c r="D51" s="7" t="s">
        <v>9</v>
      </c>
      <c r="E51" s="7"/>
      <c r="F51" s="7" t="s">
        <v>799</v>
      </c>
      <c r="G51" s="7" t="s">
        <v>744</v>
      </c>
      <c r="H51" s="7"/>
      <c r="I51" s="8" t="str">
        <f>IF(AND(LEN(TRIM(D51))&gt;0, E51&lt;&gt;"Y"),CONCATENATE(D51," ",F51),F51)</f>
        <v>Brute Boxville (Post OP)</v>
      </c>
    </row>
    <row r="52" spans="1:9" ht="12.75" x14ac:dyDescent="0.2">
      <c r="A52" s="6" t="s">
        <v>114</v>
      </c>
      <c r="C52" s="5" t="s">
        <v>1046</v>
      </c>
      <c r="D52" s="7" t="s">
        <v>19</v>
      </c>
      <c r="E52" s="7"/>
      <c r="F52" s="7" t="s">
        <v>115</v>
      </c>
      <c r="G52" s="7" t="s">
        <v>166</v>
      </c>
      <c r="H52" s="7"/>
      <c r="I52" s="8" t="str">
        <f>IF(AND(LEN(TRIM(D52))&gt;0, E52&lt;&gt;"Y"),CONCATENATE(D52," ",F52),F52)</f>
        <v>Albany Roosevelt</v>
      </c>
    </row>
    <row r="53" spans="1:9" ht="12.75" customHeight="1" x14ac:dyDescent="0.2">
      <c r="A53" s="5" t="s">
        <v>116</v>
      </c>
      <c r="C53" s="5" t="s">
        <v>1046</v>
      </c>
      <c r="D53" s="2" t="s">
        <v>19</v>
      </c>
      <c r="E53" s="2"/>
      <c r="F53" s="2" t="s">
        <v>117</v>
      </c>
      <c r="G53" s="2" t="s">
        <v>88</v>
      </c>
      <c r="H53" s="2"/>
      <c r="I53" t="str">
        <f>IF(AND(LEN(TRIM(D53))&gt;0, E53&lt;&gt;"Y"),CONCATENATE(D53," ",F53),F53)</f>
        <v>Albany Buccaneer</v>
      </c>
    </row>
    <row r="54" spans="1:9" ht="12.75" customHeight="1" x14ac:dyDescent="0.2">
      <c r="A54" s="5" t="s">
        <v>118</v>
      </c>
      <c r="B54" s="18" t="s">
        <v>855</v>
      </c>
      <c r="C54" s="5" t="s">
        <v>1026</v>
      </c>
      <c r="D54" s="2" t="s">
        <v>55</v>
      </c>
      <c r="E54" s="2"/>
      <c r="F54" s="2" t="s">
        <v>119</v>
      </c>
      <c r="G54" s="2" t="s">
        <v>21</v>
      </c>
      <c r="H54" s="2"/>
      <c r="I54" t="str">
        <f>IF(AND(LEN(TRIM(D54))&gt;0, E54&lt;&gt;"Y"),CONCATENATE(D54," ",F54),F54)</f>
        <v>Bravado Buffalo</v>
      </c>
    </row>
    <row r="55" spans="1:9" ht="12.75" customHeight="1" x14ac:dyDescent="0.2">
      <c r="A55" s="5" t="s">
        <v>120</v>
      </c>
      <c r="B55" s="18" t="s">
        <v>855</v>
      </c>
      <c r="C55" s="5" t="s">
        <v>1027</v>
      </c>
      <c r="D55" s="2" t="s">
        <v>55</v>
      </c>
      <c r="E55" s="2"/>
      <c r="F55" s="2" t="s">
        <v>734</v>
      </c>
      <c r="G55" s="2" t="s">
        <v>21</v>
      </c>
      <c r="H55" s="2"/>
      <c r="I55" t="str">
        <f>IF(AND(LEN(TRIM(D55))&gt;0, E55&lt;&gt;"Y"),CONCATENATE(D55," ",F55),F55)</f>
        <v>Bravado Buffalo S</v>
      </c>
    </row>
    <row r="56" spans="1:9" ht="12.75" customHeight="1" x14ac:dyDescent="0.2">
      <c r="A56" s="5" t="s">
        <v>121</v>
      </c>
      <c r="B56" s="18" t="s">
        <v>841</v>
      </c>
      <c r="C56" s="5" t="s">
        <v>1043</v>
      </c>
      <c r="D56" s="2" t="s">
        <v>55</v>
      </c>
      <c r="E56" s="2"/>
      <c r="F56" s="2" t="s">
        <v>735</v>
      </c>
      <c r="G56" s="2" t="s">
        <v>21</v>
      </c>
      <c r="H56" s="2"/>
      <c r="I56" t="str">
        <f>IF(AND(LEN(TRIM(D56))&gt;0, E56&lt;&gt;"Y"),CONCATENATE(D56," ",F56),F56)</f>
        <v>Bravado Buffalo S (Race)</v>
      </c>
    </row>
    <row r="57" spans="1:9" ht="12.75" customHeight="1" x14ac:dyDescent="0.2">
      <c r="A57" s="6" t="s">
        <v>122</v>
      </c>
      <c r="C57" s="5" t="s">
        <v>1046</v>
      </c>
      <c r="D57" s="7" t="s">
        <v>12</v>
      </c>
      <c r="E57" s="7" t="s">
        <v>707</v>
      </c>
      <c r="F57" s="7" t="s">
        <v>123</v>
      </c>
      <c r="G57" s="7" t="s">
        <v>748</v>
      </c>
      <c r="H57" s="7"/>
      <c r="I57" s="8" t="str">
        <f>IF(AND(LEN(TRIM(D57))&gt;0, E57&lt;&gt;"Y"),CONCATENATE(D57," ",F57),F57)</f>
        <v>Dozer</v>
      </c>
    </row>
    <row r="58" spans="1:9" ht="12.75" customHeight="1" x14ac:dyDescent="0.2">
      <c r="A58" s="5" t="s">
        <v>124</v>
      </c>
      <c r="B58" s="18" t="s">
        <v>818</v>
      </c>
      <c r="C58" s="5" t="s">
        <v>998</v>
      </c>
      <c r="D58" s="2" t="s">
        <v>67</v>
      </c>
      <c r="E58" s="2"/>
      <c r="F58" s="2" t="s">
        <v>125</v>
      </c>
      <c r="G58" s="2" t="s">
        <v>7</v>
      </c>
      <c r="H58" s="2"/>
      <c r="I58" t="str">
        <f>IF(AND(LEN(TRIM(D58))&gt;0, E58&lt;&gt;"Y"),CONCATENATE(D58," ",F58),F58)</f>
        <v>Vapid Bullet</v>
      </c>
    </row>
    <row r="59" spans="1:9" ht="12.75" x14ac:dyDescent="0.2">
      <c r="A59" s="5" t="s">
        <v>126</v>
      </c>
      <c r="C59" s="5" t="s">
        <v>1046</v>
      </c>
      <c r="D59" s="2" t="s">
        <v>38</v>
      </c>
      <c r="E59" s="2"/>
      <c r="F59" s="2" t="s">
        <v>793</v>
      </c>
      <c r="G59" s="2" t="s">
        <v>127</v>
      </c>
      <c r="H59" s="2"/>
      <c r="I59" t="str">
        <f>IF(AND(LEN(TRIM(D59))&gt;0, E59&lt;&gt;"Y"),CONCATENATE(D59," ",F59),F59)</f>
        <v>Declasse Burrito (Graphics)</v>
      </c>
    </row>
    <row r="60" spans="1:9" ht="12.75" x14ac:dyDescent="0.2">
      <c r="A60" s="5" t="s">
        <v>128</v>
      </c>
      <c r="C60" s="5" t="s">
        <v>1046</v>
      </c>
      <c r="D60" s="2" t="s">
        <v>38</v>
      </c>
      <c r="E60" s="2"/>
      <c r="F60" s="2" t="s">
        <v>129</v>
      </c>
      <c r="G60" s="2" t="s">
        <v>127</v>
      </c>
      <c r="H60" s="2"/>
      <c r="I60" t="str">
        <f>IF(AND(LEN(TRIM(D60))&gt;0, E60&lt;&gt;"Y"),CONCATENATE(D60," ",F60),F60)</f>
        <v>Declasse Burrito (Bug Stars)</v>
      </c>
    </row>
    <row r="61" spans="1:9" ht="12.75" x14ac:dyDescent="0.2">
      <c r="A61" s="5" t="s">
        <v>130</v>
      </c>
      <c r="C61" s="5" t="s">
        <v>1046</v>
      </c>
      <c r="D61" s="2" t="s">
        <v>38</v>
      </c>
      <c r="E61" s="2"/>
      <c r="F61" s="2" t="s">
        <v>131</v>
      </c>
      <c r="G61" s="2" t="s">
        <v>127</v>
      </c>
      <c r="H61" s="2"/>
      <c r="I61" t="str">
        <f>IF(AND(LEN(TRIM(D61))&gt;0, E61&lt;&gt;"Y"),CONCATENATE(D61," ",F61),F61)</f>
        <v>Declasse Burrito</v>
      </c>
    </row>
    <row r="62" spans="1:9" ht="12.75" x14ac:dyDescent="0.2">
      <c r="A62" s="5" t="s">
        <v>132</v>
      </c>
      <c r="C62" s="5" t="s">
        <v>1046</v>
      </c>
      <c r="D62" s="2" t="s">
        <v>38</v>
      </c>
      <c r="E62" s="2"/>
      <c r="F62" s="2" t="s">
        <v>133</v>
      </c>
      <c r="G62" s="2" t="s">
        <v>127</v>
      </c>
      <c r="H62" s="2"/>
      <c r="I62" t="str">
        <f>IF(AND(LEN(TRIM(D62))&gt;0, E62&lt;&gt;"Y"),CONCATENATE(D62," ",F62),F62)</f>
        <v>Declasse Burrito (Construction)</v>
      </c>
    </row>
    <row r="63" spans="1:9" ht="12.75" x14ac:dyDescent="0.2">
      <c r="A63" s="5" t="s">
        <v>134</v>
      </c>
      <c r="C63" s="5" t="s">
        <v>1046</v>
      </c>
      <c r="D63" s="2" t="s">
        <v>38</v>
      </c>
      <c r="E63" s="2"/>
      <c r="F63" s="2" t="s">
        <v>135</v>
      </c>
      <c r="G63" s="2" t="s">
        <v>127</v>
      </c>
      <c r="H63" s="2"/>
      <c r="I63" t="str">
        <f>IF(AND(LEN(TRIM(D63))&gt;0, E63&lt;&gt;"Y"),CONCATENATE(D63," ",F63),F63)</f>
        <v>Declasse Burrito (Snow)</v>
      </c>
    </row>
    <row r="64" spans="1:9" ht="12.75" x14ac:dyDescent="0.2">
      <c r="A64" s="6" t="s">
        <v>136</v>
      </c>
      <c r="B64" s="18" t="s">
        <v>825</v>
      </c>
      <c r="C64" s="18" t="s">
        <v>874</v>
      </c>
      <c r="D64" s="7" t="s">
        <v>9</v>
      </c>
      <c r="E64" s="7"/>
      <c r="F64" s="7" t="s">
        <v>137</v>
      </c>
      <c r="G64" s="7" t="s">
        <v>748</v>
      </c>
      <c r="H64" s="7"/>
      <c r="I64" s="8" t="str">
        <f>IF(AND(LEN(TRIM(D64))&gt;0, E64&lt;&gt;"Y"),CONCATENATE(D64," ",F64),F64)</f>
        <v>Brute Bus (City Bus)</v>
      </c>
    </row>
    <row r="65" spans="1:9" ht="12.75" x14ac:dyDescent="0.2">
      <c r="A65" s="5" t="s">
        <v>138</v>
      </c>
      <c r="B65" s="18" t="s">
        <v>825</v>
      </c>
      <c r="C65" s="18" t="s">
        <v>875</v>
      </c>
      <c r="D65" s="2" t="s">
        <v>90</v>
      </c>
      <c r="E65" s="2"/>
      <c r="F65" s="2" t="s">
        <v>139</v>
      </c>
      <c r="G65" s="2" t="s">
        <v>28</v>
      </c>
      <c r="H65" s="2"/>
      <c r="I65" t="str">
        <f>IF(AND(LEN(TRIM(D65))&gt;0, E65&lt;&gt;"Y"),CONCATENATE(D65," ",F65),F65)</f>
        <v>Nagasaki Buzzard Attack Chopper</v>
      </c>
    </row>
    <row r="66" spans="1:9" ht="12.75" customHeight="1" x14ac:dyDescent="0.2">
      <c r="A66" s="5" t="s">
        <v>140</v>
      </c>
      <c r="C66" s="5" t="s">
        <v>1046</v>
      </c>
      <c r="D66" s="2" t="s">
        <v>90</v>
      </c>
      <c r="E66" s="2"/>
      <c r="F66" s="2" t="s">
        <v>141</v>
      </c>
      <c r="G66" s="2" t="s">
        <v>28</v>
      </c>
      <c r="H66" s="2"/>
      <c r="I66" t="str">
        <f>IF(AND(LEN(TRIM(D66))&gt;0, E66&lt;&gt;"Y"),CONCATENATE(D66," ",F66),F66)</f>
        <v>Nagasaki Buzzard (Unarmed)</v>
      </c>
    </row>
    <row r="67" spans="1:9" ht="12.75" customHeight="1" x14ac:dyDescent="0.2">
      <c r="A67" s="6" t="s">
        <v>142</v>
      </c>
      <c r="C67" s="5" t="s">
        <v>1046</v>
      </c>
      <c r="D67" s="8"/>
      <c r="E67" s="8"/>
      <c r="F67" s="7" t="s">
        <v>143</v>
      </c>
      <c r="G67" s="7" t="s">
        <v>748</v>
      </c>
      <c r="H67" s="7"/>
      <c r="I67" s="8" t="str">
        <f>IF(AND(LEN(TRIM(D67))&gt;0, E67&lt;&gt;"Y"),CONCATENATE(D67," ",F67),F67)</f>
        <v>Cable Car (Mt. Chilliad)</v>
      </c>
    </row>
    <row r="68" spans="1:9" ht="12.75" customHeight="1" x14ac:dyDescent="0.2">
      <c r="A68" s="6" t="s">
        <v>144</v>
      </c>
      <c r="C68" s="5" t="s">
        <v>1046</v>
      </c>
      <c r="D68" s="7" t="s">
        <v>90</v>
      </c>
      <c r="E68" s="7"/>
      <c r="F68" s="7" t="s">
        <v>1049</v>
      </c>
      <c r="G68" s="7" t="s">
        <v>748</v>
      </c>
      <c r="H68" s="7"/>
      <c r="I68" s="8" t="str">
        <f>IF(AND(LEN(TRIM(D68))&gt;0, E68&lt;&gt;"Y"),CONCATENATE(D68," ",F68),F68)</f>
        <v>Nagasaki Caddy (New)</v>
      </c>
    </row>
    <row r="69" spans="1:9" ht="12.75" customHeight="1" x14ac:dyDescent="0.2">
      <c r="A69" s="6" t="s">
        <v>145</v>
      </c>
      <c r="C69" s="5" t="s">
        <v>1046</v>
      </c>
      <c r="D69" s="7" t="s">
        <v>90</v>
      </c>
      <c r="E69" s="7"/>
      <c r="F69" s="7" t="s">
        <v>1050</v>
      </c>
      <c r="G69" s="7" t="s">
        <v>748</v>
      </c>
      <c r="H69" s="7"/>
      <c r="I69" s="8" t="str">
        <f>IF(AND(LEN(TRIM(D69))&gt;0, E69&lt;&gt;"Y"),CONCATENATE(D69," ",F69),F69)</f>
        <v>Nagasaki Caddy (Old)</v>
      </c>
    </row>
    <row r="70" spans="1:9" ht="12.75" customHeight="1" x14ac:dyDescent="0.2">
      <c r="A70" s="5" t="s">
        <v>146</v>
      </c>
      <c r="C70" s="5" t="s">
        <v>1046</v>
      </c>
      <c r="D70" s="2" t="s">
        <v>9</v>
      </c>
      <c r="E70" s="2"/>
      <c r="F70" s="2" t="s">
        <v>147</v>
      </c>
      <c r="G70" s="2" t="s">
        <v>127</v>
      </c>
      <c r="H70" s="2"/>
      <c r="I70" t="str">
        <f>IF(AND(LEN(TRIM(D70))&gt;0, E70&lt;&gt;"Y"),CONCATENATE(D70," ",F70),F70)</f>
        <v>Brute Camper</v>
      </c>
    </row>
    <row r="71" spans="1:9" ht="12.75" x14ac:dyDescent="0.2">
      <c r="A71" s="5" t="s">
        <v>148</v>
      </c>
      <c r="B71" s="18" t="s">
        <v>818</v>
      </c>
      <c r="C71" s="18" t="s">
        <v>901</v>
      </c>
      <c r="D71" s="2" t="s">
        <v>149</v>
      </c>
      <c r="E71" s="2"/>
      <c r="F71" s="2" t="s">
        <v>150</v>
      </c>
      <c r="G71" s="2" t="s">
        <v>21</v>
      </c>
      <c r="H71" s="2"/>
      <c r="I71" t="str">
        <f>IF(AND(LEN(TRIM(D71))&gt;0, E71&lt;&gt;"Y"),CONCATENATE(D71," ",F71),F71)</f>
        <v>Grotti Carbonizzare</v>
      </c>
    </row>
    <row r="72" spans="1:9" ht="12.75" x14ac:dyDescent="0.2">
      <c r="A72" s="6" t="s">
        <v>151</v>
      </c>
      <c r="B72" s="18" t="s">
        <v>818</v>
      </c>
      <c r="C72" s="18" t="s">
        <v>897</v>
      </c>
      <c r="D72" s="7" t="s">
        <v>90</v>
      </c>
      <c r="E72" s="7"/>
      <c r="F72" s="7" t="s">
        <v>152</v>
      </c>
      <c r="G72" s="7" t="s">
        <v>17</v>
      </c>
      <c r="H72" s="7"/>
      <c r="I72" s="8" t="str">
        <f>IF(AND(LEN(TRIM(D72))&gt;0, E72&lt;&gt;"Y"),CONCATENATE(D72," ",F72),F72)</f>
        <v>Nagasaki Carbon RS</v>
      </c>
    </row>
    <row r="73" spans="1:9" ht="12.75" x14ac:dyDescent="0.2">
      <c r="A73" s="5" t="s">
        <v>153</v>
      </c>
      <c r="B73" s="18" t="s">
        <v>825</v>
      </c>
      <c r="C73" s="18" t="s">
        <v>893</v>
      </c>
      <c r="D73" s="2" t="s">
        <v>26</v>
      </c>
      <c r="E73" s="2"/>
      <c r="F73" s="2" t="s">
        <v>154</v>
      </c>
      <c r="G73" s="2" t="s">
        <v>28</v>
      </c>
      <c r="H73" s="2"/>
      <c r="I73" t="str">
        <f>IF(AND(LEN(TRIM(D73))&gt;0, E73&lt;&gt;"Y"),CONCATENATE(D73," ",F73),F73)</f>
        <v>Western Cargobob (Desert Camo)</v>
      </c>
    </row>
    <row r="74" spans="1:9" ht="12.75" x14ac:dyDescent="0.2">
      <c r="A74" s="5" t="s">
        <v>155</v>
      </c>
      <c r="C74" s="5" t="s">
        <v>1046</v>
      </c>
      <c r="D74" s="2" t="s">
        <v>26</v>
      </c>
      <c r="E74" s="2"/>
      <c r="F74" s="2" t="s">
        <v>156</v>
      </c>
      <c r="G74" s="2" t="s">
        <v>28</v>
      </c>
      <c r="H74" s="2"/>
      <c r="I74" t="str">
        <f>IF(AND(LEN(TRIM(D74))&gt;0, E74&lt;&gt;"Y"),CONCATENATE(D74," ",F74),F74)</f>
        <v>Western Cargobob (Jetsam)</v>
      </c>
    </row>
    <row r="75" spans="1:9" ht="12.75" x14ac:dyDescent="0.2">
      <c r="A75" s="5" t="s">
        <v>157</v>
      </c>
      <c r="C75" s="5" t="s">
        <v>1046</v>
      </c>
      <c r="D75" s="2" t="s">
        <v>26</v>
      </c>
      <c r="E75" s="2"/>
      <c r="F75" s="2" t="s">
        <v>158</v>
      </c>
      <c r="G75" s="2" t="s">
        <v>28</v>
      </c>
      <c r="H75" s="2"/>
      <c r="I75" t="str">
        <f>IF(AND(LEN(TRIM(D75))&gt;0, E75&lt;&gt;"Y"),CONCATENATE(D75," ",F75),F75)</f>
        <v>Western Cargobob (TPE)</v>
      </c>
    </row>
    <row r="76" spans="1:9" ht="12.75" x14ac:dyDescent="0.2">
      <c r="A76" s="6" t="s">
        <v>159</v>
      </c>
      <c r="C76" s="5" t="s">
        <v>1046</v>
      </c>
      <c r="D76" s="7" t="s">
        <v>160</v>
      </c>
      <c r="E76" s="7"/>
      <c r="F76" s="7" t="s">
        <v>161</v>
      </c>
      <c r="G76" s="7" t="s">
        <v>162</v>
      </c>
      <c r="H76" s="7"/>
      <c r="I76" s="8" t="str">
        <f>IF(AND(LEN(TRIM(D76))&gt;0, E76&lt;&gt;"Y"),CONCATENATE(D76," ",F76),F76)</f>
        <v>Buckingham Cargo Plane (An-225)</v>
      </c>
    </row>
    <row r="77" spans="1:9" ht="12.75" x14ac:dyDescent="0.2">
      <c r="A77" s="6" t="s">
        <v>163</v>
      </c>
      <c r="B77" s="18" t="s">
        <v>960</v>
      </c>
      <c r="C77" s="18" t="s">
        <v>962</v>
      </c>
      <c r="D77" s="7" t="s">
        <v>164</v>
      </c>
      <c r="E77" s="7"/>
      <c r="F77" s="7" t="s">
        <v>165</v>
      </c>
      <c r="G77" s="7" t="s">
        <v>166</v>
      </c>
      <c r="H77" s="7"/>
      <c r="I77" s="8" t="str">
        <f>IF(AND(LEN(TRIM(D77))&gt;0, E77&lt;&gt;"Y"),CONCATENATE(D77," ",F77),F77)</f>
        <v>Lampadati Casco</v>
      </c>
    </row>
    <row r="78" spans="1:9" ht="12.75" x14ac:dyDescent="0.2">
      <c r="A78" s="6" t="s">
        <v>167</v>
      </c>
      <c r="B78" s="5" t="s">
        <v>817</v>
      </c>
      <c r="C78" s="18" t="s">
        <v>973</v>
      </c>
      <c r="D78" s="7" t="s">
        <v>19</v>
      </c>
      <c r="E78" s="7"/>
      <c r="F78" s="7" t="s">
        <v>168</v>
      </c>
      <c r="G78" s="7" t="s">
        <v>52</v>
      </c>
      <c r="H78" s="7"/>
      <c r="I78" s="8" t="str">
        <f>IF(AND(LEN(TRIM(D78))&gt;0, E78&lt;&gt;"Y"),CONCATENATE(D78," ",F78),F78)</f>
        <v>Albany Cavalcade</v>
      </c>
    </row>
    <row r="79" spans="1:9" ht="12.75" x14ac:dyDescent="0.2">
      <c r="A79" s="6" t="s">
        <v>169</v>
      </c>
      <c r="B79" s="18" t="s">
        <v>863</v>
      </c>
      <c r="C79" s="18" t="s">
        <v>865</v>
      </c>
      <c r="D79" s="7" t="s">
        <v>19</v>
      </c>
      <c r="E79" s="7"/>
      <c r="F79" s="7" t="s">
        <v>731</v>
      </c>
      <c r="G79" s="7" t="s">
        <v>52</v>
      </c>
      <c r="H79" s="7"/>
      <c r="I79" s="8" t="str">
        <f>IF(AND(LEN(TRIM(D79))&gt;0, E79&lt;&gt;"Y"),CONCATENATE(D79," ",F79),F79)</f>
        <v>Albany Cavalcade Mk2</v>
      </c>
    </row>
    <row r="80" spans="1:9" ht="12.75" x14ac:dyDescent="0.2">
      <c r="A80" s="5" t="s">
        <v>170</v>
      </c>
      <c r="B80" s="18" t="s">
        <v>818</v>
      </c>
      <c r="C80" s="5" t="s">
        <v>999</v>
      </c>
      <c r="D80" s="2" t="s">
        <v>149</v>
      </c>
      <c r="E80" s="2"/>
      <c r="F80" s="2" t="s">
        <v>171</v>
      </c>
      <c r="G80" s="2" t="s">
        <v>7</v>
      </c>
      <c r="H80" s="2"/>
      <c r="I80" t="str">
        <f>IF(AND(LEN(TRIM(D80))&gt;0, E80&lt;&gt;"Y"),CONCATENATE(D80," ",F80),F80)</f>
        <v>Grotti Cheetah</v>
      </c>
    </row>
    <row r="81" spans="1:9" ht="12.75" x14ac:dyDescent="0.2">
      <c r="A81" s="6" t="s">
        <v>172</v>
      </c>
      <c r="B81" s="18" t="s">
        <v>825</v>
      </c>
      <c r="C81" s="18" t="s">
        <v>876</v>
      </c>
      <c r="D81" s="7" t="s">
        <v>173</v>
      </c>
      <c r="E81" s="7" t="s">
        <v>707</v>
      </c>
      <c r="F81" s="7" t="s">
        <v>174</v>
      </c>
      <c r="G81" s="7" t="s">
        <v>748</v>
      </c>
      <c r="H81" s="7"/>
      <c r="I81" s="8" t="str">
        <f>IF(AND(LEN(TRIM(D81))&gt;0, E81&lt;&gt;"Y"),CONCATENATE(D81," ",F81),F81)</f>
        <v>Dashound Coach</v>
      </c>
    </row>
    <row r="82" spans="1:9" ht="12.75" x14ac:dyDescent="0.2">
      <c r="A82" s="5" t="s">
        <v>175</v>
      </c>
      <c r="B82" s="18" t="s">
        <v>818</v>
      </c>
      <c r="C82" s="18" t="s">
        <v>902</v>
      </c>
      <c r="D82" s="2" t="s">
        <v>176</v>
      </c>
      <c r="E82" s="2"/>
      <c r="F82" s="2" t="s">
        <v>177</v>
      </c>
      <c r="G82" s="2" t="s">
        <v>739</v>
      </c>
      <c r="H82" s="2"/>
      <c r="I82" t="str">
        <f>IF(AND(LEN(TRIM(D82))&gt;0, E82&lt;&gt;"Y"),CONCATENATE(D82," ",F82),F82)</f>
        <v>Enus Cognoscenti Cabrio</v>
      </c>
    </row>
    <row r="83" spans="1:9" ht="12.75" x14ac:dyDescent="0.2">
      <c r="A83" s="5" t="s">
        <v>178</v>
      </c>
      <c r="B83" s="18" t="s">
        <v>818</v>
      </c>
      <c r="C83" s="5" t="s">
        <v>1000</v>
      </c>
      <c r="D83" s="2" t="s">
        <v>179</v>
      </c>
      <c r="E83" s="2"/>
      <c r="F83" s="2" t="s">
        <v>180</v>
      </c>
      <c r="G83" s="2" t="s">
        <v>21</v>
      </c>
      <c r="H83" s="2"/>
      <c r="I83" t="str">
        <f>IF(AND(LEN(TRIM(D83))&gt;0, E83&lt;&gt;"Y"),CONCATENATE(D83," ",F83),F83)</f>
        <v>Phister Comet</v>
      </c>
    </row>
    <row r="84" spans="1:9" ht="12.75" x14ac:dyDescent="0.2">
      <c r="A84" s="5" t="s">
        <v>181</v>
      </c>
      <c r="B84" s="18" t="s">
        <v>818</v>
      </c>
      <c r="C84" s="5" t="s">
        <v>936</v>
      </c>
      <c r="D84" s="2" t="s">
        <v>182</v>
      </c>
      <c r="E84" s="2"/>
      <c r="F84" s="2" t="s">
        <v>183</v>
      </c>
      <c r="G84" s="2" t="s">
        <v>21</v>
      </c>
      <c r="H84" s="2"/>
      <c r="I84" t="str">
        <f>IF(AND(LEN(TRIM(D84))&gt;0, E84&lt;&gt;"Y"),CONCATENATE(D84," ",F84),F84)</f>
        <v>Invetero Coquette</v>
      </c>
    </row>
    <row r="85" spans="1:9" ht="12.75" x14ac:dyDescent="0.2">
      <c r="A85" s="6" t="s">
        <v>184</v>
      </c>
      <c r="B85" s="18" t="s">
        <v>970</v>
      </c>
      <c r="C85" s="18" t="s">
        <v>929</v>
      </c>
      <c r="D85" s="7" t="s">
        <v>182</v>
      </c>
      <c r="E85" s="7"/>
      <c r="F85" s="7" t="s">
        <v>185</v>
      </c>
      <c r="G85" s="7" t="s">
        <v>166</v>
      </c>
      <c r="H85" s="7"/>
      <c r="I85" s="8" t="str">
        <f>IF(AND(LEN(TRIM(D85))&gt;0, E85&lt;&gt;"Y"),CONCATENATE(D85," ",F85),F85)</f>
        <v>Invetero Coquette Classic</v>
      </c>
    </row>
    <row r="86" spans="1:9" ht="12.75" x14ac:dyDescent="0.2">
      <c r="A86" s="6" t="s">
        <v>186</v>
      </c>
      <c r="B86" s="18" t="s">
        <v>838</v>
      </c>
      <c r="C86" s="5" t="s">
        <v>938</v>
      </c>
      <c r="D86" s="7" t="s">
        <v>103</v>
      </c>
      <c r="E86" s="7" t="s">
        <v>707</v>
      </c>
      <c r="F86" s="7" t="s">
        <v>706</v>
      </c>
      <c r="G86" s="7" t="s">
        <v>703</v>
      </c>
      <c r="H86" s="7"/>
      <c r="I86" s="8" t="str">
        <f>IF(AND(LEN(TRIM(D86))&gt;0, E86&lt;&gt;"Y"),CONCATENATE(D86," ",F86),F86)</f>
        <v>Cruiser</v>
      </c>
    </row>
    <row r="87" spans="1:9" ht="12.75" customHeight="1" x14ac:dyDescent="0.2">
      <c r="A87" s="6" t="s">
        <v>187</v>
      </c>
      <c r="B87" s="18" t="s">
        <v>825</v>
      </c>
      <c r="C87" s="18" t="s">
        <v>830</v>
      </c>
      <c r="D87" s="7" t="s">
        <v>109</v>
      </c>
      <c r="E87" s="7"/>
      <c r="F87" s="7" t="s">
        <v>188</v>
      </c>
      <c r="G87" s="7" t="s">
        <v>24</v>
      </c>
      <c r="H87" s="7"/>
      <c r="I87" s="8" t="str">
        <f>IF(AND(LEN(TRIM(D87))&gt;0, E87&lt;&gt;"Y"),CONCATENATE(D87," ",F87),F87)</f>
        <v>Canis Crusader (Army Mesa)</v>
      </c>
    </row>
    <row r="88" spans="1:9" ht="12.75" customHeight="1" x14ac:dyDescent="0.2">
      <c r="A88" s="6" t="s">
        <v>189</v>
      </c>
      <c r="B88" s="18" t="s">
        <v>819</v>
      </c>
      <c r="C88" s="5" t="s">
        <v>981</v>
      </c>
      <c r="D88" s="7" t="s">
        <v>26</v>
      </c>
      <c r="E88" s="7"/>
      <c r="F88" s="7" t="s">
        <v>190</v>
      </c>
      <c r="G88" s="7" t="s">
        <v>162</v>
      </c>
      <c r="H88" s="7"/>
      <c r="I88" s="8" t="str">
        <f>IF(AND(LEN(TRIM(D88))&gt;0, E88&lt;&gt;"Y"),CONCATENATE(D88," ",F88),F88)</f>
        <v>Western Cuban 800</v>
      </c>
    </row>
    <row r="89" spans="1:9" ht="12.75" customHeight="1" x14ac:dyDescent="0.2">
      <c r="A89" s="6" t="s">
        <v>191</v>
      </c>
      <c r="C89" s="5" t="s">
        <v>1046</v>
      </c>
      <c r="D89" s="7" t="s">
        <v>12</v>
      </c>
      <c r="E89" s="7" t="s">
        <v>707</v>
      </c>
      <c r="F89" s="7" t="s">
        <v>192</v>
      </c>
      <c r="G89" s="7" t="s">
        <v>744</v>
      </c>
      <c r="H89" s="7"/>
      <c r="I89" s="8" t="str">
        <f>IF(AND(LEN(TRIM(D89))&gt;0, E89&lt;&gt;"Y"),CONCATENATE(D89," ",F89),F89)</f>
        <v>Cutter</v>
      </c>
    </row>
    <row r="90" spans="1:9" ht="12.75" customHeight="1" x14ac:dyDescent="0.2">
      <c r="A90" s="6" t="s">
        <v>193</v>
      </c>
      <c r="C90" s="5" t="s">
        <v>1046</v>
      </c>
      <c r="D90" s="7" t="s">
        <v>26</v>
      </c>
      <c r="E90" s="7"/>
      <c r="F90" s="7" t="s">
        <v>194</v>
      </c>
      <c r="G90" s="7" t="s">
        <v>17</v>
      </c>
      <c r="H90" s="7"/>
      <c r="I90" s="8" t="str">
        <f>IF(AND(LEN(TRIM(D90))&gt;0, E90&lt;&gt;"Y"),CONCATENATE(D90," ",F90),F90)</f>
        <v>Western Daemon</v>
      </c>
    </row>
    <row r="91" spans="1:9" ht="12.75" x14ac:dyDescent="0.2">
      <c r="A91" s="6" t="s">
        <v>195</v>
      </c>
      <c r="B91" s="5" t="s">
        <v>817</v>
      </c>
      <c r="C91" s="18" t="s">
        <v>972</v>
      </c>
      <c r="D91" s="7" t="s">
        <v>43</v>
      </c>
      <c r="E91" s="7"/>
      <c r="F91" s="7" t="s">
        <v>196</v>
      </c>
      <c r="G91" s="7" t="s">
        <v>738</v>
      </c>
      <c r="H91" s="7"/>
      <c r="I91" s="8" t="str">
        <f>IF(AND(LEN(TRIM(D91))&gt;0, E91&lt;&gt;"Y"),CONCATENATE(D91," ",F91),F91)</f>
        <v>Karin Dilettante</v>
      </c>
    </row>
    <row r="92" spans="1:9" ht="12.75" x14ac:dyDescent="0.2">
      <c r="A92" s="6" t="s">
        <v>197</v>
      </c>
      <c r="C92" s="5" t="s">
        <v>1046</v>
      </c>
      <c r="D92" s="7" t="s">
        <v>43</v>
      </c>
      <c r="E92" s="7"/>
      <c r="F92" s="7" t="s">
        <v>1047</v>
      </c>
      <c r="G92" s="7" t="s">
        <v>738</v>
      </c>
      <c r="H92" s="7"/>
      <c r="I92" s="8" t="str">
        <f>IF(AND(LEN(TRIM(D92))&gt;0, E92&lt;&gt;"Y"),CONCATENATE(D92," ",F92),F92)</f>
        <v>Karin Dilettante (Liveried)</v>
      </c>
    </row>
    <row r="93" spans="1:9" ht="12.75" customHeight="1" x14ac:dyDescent="0.2">
      <c r="A93" s="5" t="s">
        <v>198</v>
      </c>
      <c r="C93" s="5" t="s">
        <v>1046</v>
      </c>
      <c r="D93" s="2" t="s">
        <v>90</v>
      </c>
      <c r="E93" s="2"/>
      <c r="F93" s="2" t="s">
        <v>787</v>
      </c>
      <c r="G93" s="2" t="s">
        <v>199</v>
      </c>
      <c r="H93" s="2"/>
      <c r="I93" t="str">
        <f>IF(AND(LEN(TRIM(D93))&gt;0, E93&lt;&gt;"Y"),CONCATENATE(D93," ",F93),F93)</f>
        <v>Nagasaki Dinghy (4 Seater, Red)</v>
      </c>
    </row>
    <row r="94" spans="1:9" ht="12.75" customHeight="1" x14ac:dyDescent="0.2">
      <c r="A94" s="5" t="s">
        <v>200</v>
      </c>
      <c r="C94" s="5" t="s">
        <v>1046</v>
      </c>
      <c r="D94" s="2" t="s">
        <v>90</v>
      </c>
      <c r="E94" s="2"/>
      <c r="F94" s="2" t="s">
        <v>201</v>
      </c>
      <c r="G94" s="2" t="s">
        <v>199</v>
      </c>
      <c r="H94" s="2"/>
      <c r="I94" t="str">
        <f>IF(AND(LEN(TRIM(D94))&gt;0, E94&lt;&gt;"Y"),CONCATENATE(D94," ",F94),F94)</f>
        <v>Nagasaki Dinghy (2 Seater)</v>
      </c>
    </row>
    <row r="95" spans="1:9" ht="12.75" customHeight="1" x14ac:dyDescent="0.25">
      <c r="A95" s="9" t="s">
        <v>754</v>
      </c>
      <c r="B95" s="18" t="s">
        <v>823</v>
      </c>
      <c r="C95" s="5" t="s">
        <v>886</v>
      </c>
      <c r="D95" s="9" t="s">
        <v>90</v>
      </c>
      <c r="E95" s="9"/>
      <c r="F95" s="2" t="s">
        <v>786</v>
      </c>
      <c r="G95" s="9" t="s">
        <v>199</v>
      </c>
      <c r="H95" s="9"/>
      <c r="I95" s="9" t="str">
        <f>IF(AND(LEN(TRIM(D95))&gt;0, E95&lt;&gt;"Y"),CONCATENATE(D95," ",F95),F95)</f>
        <v>Nagasaki Dinghy (4 Seater, Black)</v>
      </c>
    </row>
    <row r="96" spans="1:9" ht="12.75" customHeight="1" x14ac:dyDescent="0.2">
      <c r="A96" s="6" t="s">
        <v>202</v>
      </c>
      <c r="C96" s="5" t="s">
        <v>1046</v>
      </c>
      <c r="D96" s="7" t="s">
        <v>55</v>
      </c>
      <c r="E96" s="7"/>
      <c r="F96" s="7" t="s">
        <v>203</v>
      </c>
      <c r="G96" s="7" t="s">
        <v>72</v>
      </c>
      <c r="H96" s="7"/>
      <c r="I96" s="8" t="str">
        <f>IF(AND(LEN(TRIM(D96))&gt;0, E96&lt;&gt;"Y"),CONCATENATE(D96," ",F96),F96)</f>
        <v>Bravado Duneloader</v>
      </c>
    </row>
    <row r="97" spans="1:9" ht="12.75" customHeight="1" x14ac:dyDescent="0.25">
      <c r="A97" s="9" t="s">
        <v>755</v>
      </c>
      <c r="C97" s="5" t="s">
        <v>1046</v>
      </c>
      <c r="D97" s="9"/>
      <c r="E97" s="9"/>
      <c r="F97" s="9" t="s">
        <v>776</v>
      </c>
      <c r="G97" s="9" t="s">
        <v>31</v>
      </c>
      <c r="H97" s="9"/>
      <c r="I97" s="9" t="str">
        <f>IF(AND(LEN(TRIM(D97))&gt;0, E97&lt;&gt;"Y"),CONCATENATE(D97," ",F97),F97)</f>
        <v>Container Trailer</v>
      </c>
    </row>
    <row r="98" spans="1:9" ht="12.75" customHeight="1" x14ac:dyDescent="0.2">
      <c r="A98" s="6" t="s">
        <v>204</v>
      </c>
      <c r="C98" s="5" t="s">
        <v>1046</v>
      </c>
      <c r="D98" s="7" t="s">
        <v>12</v>
      </c>
      <c r="E98" s="7" t="s">
        <v>707</v>
      </c>
      <c r="F98" s="7" t="s">
        <v>745</v>
      </c>
      <c r="G98" s="7" t="s">
        <v>744</v>
      </c>
      <c r="H98" s="7"/>
      <c r="I98" s="8" t="str">
        <f>IF(AND(LEN(TRIM(D98))&gt;0, E98&lt;&gt;"Y"),CONCATENATE(D98," ",F98),F98)</f>
        <v>Dock Tug</v>
      </c>
    </row>
    <row r="99" spans="1:9" ht="12.75" x14ac:dyDescent="0.2">
      <c r="A99" s="6" t="s">
        <v>205</v>
      </c>
      <c r="B99" s="18" t="s">
        <v>819</v>
      </c>
      <c r="C99" s="5" t="s">
        <v>982</v>
      </c>
      <c r="D99" s="7" t="s">
        <v>206</v>
      </c>
      <c r="E99" s="7"/>
      <c r="F99" s="7" t="s">
        <v>207</v>
      </c>
      <c r="G99" s="7" t="s">
        <v>162</v>
      </c>
      <c r="H99" s="7"/>
      <c r="I99" s="8" t="str">
        <f>IF(AND(LEN(TRIM(D99))&gt;0, E99&lt;&gt;"Y"),CONCATENATE(D99," ",F99),F99)</f>
        <v>Mammoth Dodo</v>
      </c>
    </row>
    <row r="100" spans="1:9" ht="12.75" customHeight="1" x14ac:dyDescent="0.2">
      <c r="A100" s="5" t="s">
        <v>208</v>
      </c>
      <c r="B100" s="18" t="s">
        <v>859</v>
      </c>
      <c r="C100" s="18" t="s">
        <v>860</v>
      </c>
      <c r="D100" s="2" t="s">
        <v>67</v>
      </c>
      <c r="E100" s="2"/>
      <c r="F100" s="2" t="s">
        <v>209</v>
      </c>
      <c r="G100" s="2" t="s">
        <v>88</v>
      </c>
      <c r="H100" s="2"/>
      <c r="I100" t="str">
        <f>IF(AND(LEN(TRIM(D100))&gt;0, E100&lt;&gt;"Y"),CONCATENATE(D100," ",F100),F100)</f>
        <v>Vapid Dominator</v>
      </c>
    </row>
    <row r="101" spans="1:9" ht="12.75" x14ac:dyDescent="0.2">
      <c r="A101" s="5" t="s">
        <v>210</v>
      </c>
      <c r="B101" s="18" t="s">
        <v>841</v>
      </c>
      <c r="C101" s="5" t="s">
        <v>1044</v>
      </c>
      <c r="D101" s="2" t="s">
        <v>67</v>
      </c>
      <c r="E101" s="2"/>
      <c r="F101" s="2" t="s">
        <v>211</v>
      </c>
      <c r="G101" s="2" t="s">
        <v>88</v>
      </c>
      <c r="H101" s="2"/>
      <c r="I101" t="str">
        <f>IF(AND(LEN(TRIM(D101))&gt;0, E101&lt;&gt;"Y"),CONCATENATE(D101," ",F101),F101)</f>
        <v>Vapid Dominator (Race)</v>
      </c>
    </row>
    <row r="102" spans="1:9" ht="12.75" x14ac:dyDescent="0.2">
      <c r="A102" s="6" t="s">
        <v>212</v>
      </c>
      <c r="B102" s="5" t="s">
        <v>817</v>
      </c>
      <c r="C102" s="5" t="s">
        <v>965</v>
      </c>
      <c r="D102" s="7" t="s">
        <v>15</v>
      </c>
      <c r="E102" s="7"/>
      <c r="F102" s="7" t="s">
        <v>213</v>
      </c>
      <c r="G102" s="7" t="s">
        <v>17</v>
      </c>
      <c r="H102" s="7"/>
      <c r="I102" s="8" t="str">
        <f>IF(AND(LEN(TRIM(D102))&gt;0, E102&lt;&gt;"Y"),CONCATENATE(D102," ",F102),F102)</f>
        <v>Dinka Double-T</v>
      </c>
    </row>
    <row r="103" spans="1:9" ht="12.75" x14ac:dyDescent="0.2">
      <c r="A103" s="6" t="s">
        <v>214</v>
      </c>
      <c r="C103" s="5" t="s">
        <v>1046</v>
      </c>
      <c r="D103" s="7" t="s">
        <v>215</v>
      </c>
      <c r="E103" s="7"/>
      <c r="F103" s="7" t="s">
        <v>216</v>
      </c>
      <c r="G103" s="7" t="s">
        <v>52</v>
      </c>
      <c r="H103" s="7"/>
      <c r="I103" s="8" t="str">
        <f>IF(AND(LEN(TRIM(D103))&gt;0, E103&lt;&gt;"Y"),CONCATENATE(D103," ",F103),F103)</f>
        <v>Benefactor Dubsta</v>
      </c>
    </row>
    <row r="104" spans="1:9" ht="12.75" x14ac:dyDescent="0.2">
      <c r="A104" s="6" t="s">
        <v>217</v>
      </c>
      <c r="C104" s="5" t="s">
        <v>1046</v>
      </c>
      <c r="D104" s="7" t="s">
        <v>215</v>
      </c>
      <c r="E104" s="7"/>
      <c r="F104" s="7" t="s">
        <v>218</v>
      </c>
      <c r="G104" s="7" t="s">
        <v>52</v>
      </c>
      <c r="H104" s="7"/>
      <c r="I104" s="8" t="str">
        <f>IF(AND(LEN(TRIM(D104))&gt;0, E104&lt;&gt;"Y"),CONCATENATE(D104," ",F104),F104)</f>
        <v>Benefactor Dubsta (Flat Black)</v>
      </c>
    </row>
    <row r="105" spans="1:9" ht="12.75" customHeight="1" x14ac:dyDescent="0.2">
      <c r="A105" s="6" t="s">
        <v>219</v>
      </c>
      <c r="B105" s="18" t="s">
        <v>825</v>
      </c>
      <c r="C105" s="5" t="s">
        <v>877</v>
      </c>
      <c r="D105" s="7" t="s">
        <v>215</v>
      </c>
      <c r="E105" s="7"/>
      <c r="F105" s="7" t="s">
        <v>220</v>
      </c>
      <c r="G105" s="7" t="s">
        <v>72</v>
      </c>
      <c r="H105" s="7"/>
      <c r="I105" s="8" t="str">
        <f>IF(AND(LEN(TRIM(D105))&gt;0, E105&lt;&gt;"Y"),CONCATENATE(D105," ",F105),F105)</f>
        <v>Benefactor Dubsta 6x6</v>
      </c>
    </row>
    <row r="106" spans="1:9" s="9" customFormat="1" ht="15" x14ac:dyDescent="0.25">
      <c r="A106" s="5" t="s">
        <v>221</v>
      </c>
      <c r="B106" s="18" t="s">
        <v>825</v>
      </c>
      <c r="C106" s="5" t="s">
        <v>861</v>
      </c>
      <c r="D106" s="2" t="s">
        <v>222</v>
      </c>
      <c r="E106" s="2"/>
      <c r="F106" s="2" t="s">
        <v>223</v>
      </c>
      <c r="G106" s="2" t="s">
        <v>88</v>
      </c>
      <c r="H106" s="2"/>
      <c r="I106" t="str">
        <f>IF(AND(LEN(TRIM(D106))&gt;0, E106&lt;&gt;"Y"),CONCATENATE(D106," ",F106),F106)</f>
        <v>Imponte Dukes</v>
      </c>
    </row>
    <row r="107" spans="1:9" ht="12.75" x14ac:dyDescent="0.2">
      <c r="A107" s="5" t="s">
        <v>224</v>
      </c>
      <c r="C107" s="5" t="s">
        <v>1046</v>
      </c>
      <c r="D107" s="2" t="s">
        <v>222</v>
      </c>
      <c r="E107" s="2"/>
      <c r="F107" s="2" t="s">
        <v>225</v>
      </c>
      <c r="G107" s="2" t="s">
        <v>88</v>
      </c>
      <c r="H107" s="2"/>
      <c r="I107" t="str">
        <f>IF(AND(LEN(TRIM(D107))&gt;0, E107&lt;&gt;"Y"),CONCATENATE(D107," ",F107),F107)</f>
        <v>Imponte Duke O' Death</v>
      </c>
    </row>
    <row r="108" spans="1:9" ht="12.75" x14ac:dyDescent="0.2">
      <c r="A108" s="6" t="s">
        <v>226</v>
      </c>
      <c r="B108" s="18" t="s">
        <v>825</v>
      </c>
      <c r="C108" s="5" t="s">
        <v>827</v>
      </c>
      <c r="D108" s="7" t="s">
        <v>12</v>
      </c>
      <c r="E108" s="7" t="s">
        <v>707</v>
      </c>
      <c r="F108" s="7" t="s">
        <v>746</v>
      </c>
      <c r="G108" s="7" t="s">
        <v>744</v>
      </c>
      <c r="H108" s="7"/>
      <c r="I108" s="8" t="str">
        <f>IF(AND(LEN(TRIM(D108))&gt;0, E108&lt;&gt;"Y"),CONCATENATE(D108," ",F108),F108)</f>
        <v>Dump Truck</v>
      </c>
    </row>
    <row r="109" spans="1:9" ht="12.75" x14ac:dyDescent="0.2">
      <c r="A109" s="6" t="s">
        <v>227</v>
      </c>
      <c r="B109" s="5" t="s">
        <v>817</v>
      </c>
      <c r="C109" s="5" t="s">
        <v>862</v>
      </c>
      <c r="D109" s="7" t="s">
        <v>55</v>
      </c>
      <c r="E109" s="7"/>
      <c r="F109" s="7" t="s">
        <v>228</v>
      </c>
      <c r="G109" s="7" t="s">
        <v>72</v>
      </c>
      <c r="H109" s="7"/>
      <c r="I109" s="8" t="str">
        <f>IF(AND(LEN(TRIM(D109))&gt;0, E109&lt;&gt;"Y"),CONCATENATE(D109," ",F109),F109)</f>
        <v>Bravado Dune</v>
      </c>
    </row>
    <row r="110" spans="1:9" ht="12.75" x14ac:dyDescent="0.2">
      <c r="A110" s="6" t="s">
        <v>229</v>
      </c>
      <c r="C110" s="5" t="s">
        <v>1046</v>
      </c>
      <c r="D110" s="7" t="s">
        <v>55</v>
      </c>
      <c r="E110" s="7"/>
      <c r="F110" s="7" t="s">
        <v>724</v>
      </c>
      <c r="G110" s="7" t="s">
        <v>72</v>
      </c>
      <c r="H110" s="7"/>
      <c r="I110" s="8" t="str">
        <f>IF(AND(LEN(TRIM(D110))&gt;0, E110&lt;&gt;"Y"),CONCATENATE(D110," ",F110),F110)</f>
        <v>Bravado Space Docker</v>
      </c>
    </row>
    <row r="111" spans="1:9" ht="12.75" x14ac:dyDescent="0.2">
      <c r="A111" s="6" t="s">
        <v>230</v>
      </c>
      <c r="B111" s="18" t="s">
        <v>819</v>
      </c>
      <c r="C111" s="5" t="s">
        <v>983</v>
      </c>
      <c r="D111" s="7" t="s">
        <v>26</v>
      </c>
      <c r="E111" s="7"/>
      <c r="F111" s="7" t="s">
        <v>231</v>
      </c>
      <c r="G111" s="7" t="s">
        <v>162</v>
      </c>
      <c r="H111" s="7"/>
      <c r="I111" s="8" t="str">
        <f>IF(AND(LEN(TRIM(D111))&gt;0, E111&lt;&gt;"Y"),CONCATENATE(D111," ",F111),F111)</f>
        <v>Western Duster</v>
      </c>
    </row>
    <row r="112" spans="1:9" ht="12.75" x14ac:dyDescent="0.2">
      <c r="A112" s="5" t="s">
        <v>232</v>
      </c>
      <c r="B112" s="18" t="s">
        <v>818</v>
      </c>
      <c r="C112" s="5" t="s">
        <v>898</v>
      </c>
      <c r="D112" s="2" t="s">
        <v>233</v>
      </c>
      <c r="E112" s="2"/>
      <c r="F112" s="2" t="s">
        <v>234</v>
      </c>
      <c r="G112" s="2" t="s">
        <v>21</v>
      </c>
      <c r="H112" s="2"/>
      <c r="I112" t="str">
        <f>IF(AND(LEN(TRIM(D112))&gt;0, E112&lt;&gt;"Y"),CONCATENATE(D112," ",F112),F112)</f>
        <v>Annis Elegy RH8</v>
      </c>
    </row>
    <row r="113" spans="1:9" ht="12.75" x14ac:dyDescent="0.2">
      <c r="A113" s="5" t="s">
        <v>235</v>
      </c>
      <c r="C113" s="5" t="s">
        <v>1046</v>
      </c>
      <c r="D113" s="2" t="s">
        <v>19</v>
      </c>
      <c r="E113" s="2"/>
      <c r="F113" s="2" t="s">
        <v>236</v>
      </c>
      <c r="G113" s="2" t="s">
        <v>749</v>
      </c>
      <c r="H113" s="2"/>
      <c r="I113" t="str">
        <f>IF(AND(LEN(TRIM(D113))&gt;0, E113&lt;&gt;"Y"),CONCATENATE(D113," ",F113),F113)</f>
        <v>Albany Emperor</v>
      </c>
    </row>
    <row r="114" spans="1:9" ht="12.75" x14ac:dyDescent="0.2">
      <c r="A114" s="5" t="s">
        <v>237</v>
      </c>
      <c r="C114" s="5" t="s">
        <v>1046</v>
      </c>
      <c r="D114" s="2" t="s">
        <v>19</v>
      </c>
      <c r="E114" s="2"/>
      <c r="F114" s="2" t="s">
        <v>238</v>
      </c>
      <c r="G114" s="2" t="s">
        <v>749</v>
      </c>
      <c r="H114" s="2"/>
      <c r="I114" t="str">
        <f>IF(AND(LEN(TRIM(D114))&gt;0, E114&lt;&gt;"Y"),CONCATENATE(D114," ",F114),F114)</f>
        <v>Albany Emperor (Rusty)</v>
      </c>
    </row>
    <row r="115" spans="1:9" ht="12.75" x14ac:dyDescent="0.2">
      <c r="A115" s="5" t="s">
        <v>239</v>
      </c>
      <c r="C115" s="5" t="s">
        <v>1046</v>
      </c>
      <c r="D115" s="2" t="s">
        <v>19</v>
      </c>
      <c r="E115" s="2"/>
      <c r="F115" s="2" t="s">
        <v>240</v>
      </c>
      <c r="G115" s="2" t="s">
        <v>749</v>
      </c>
      <c r="H115" s="2"/>
      <c r="I115" t="str">
        <f>IF(AND(LEN(TRIM(D115))&gt;0, E115&lt;&gt;"Y"),CONCATENATE(D115," ",F115),F115)</f>
        <v>Albany Emperor (Snow)</v>
      </c>
    </row>
    <row r="116" spans="1:9" ht="12.75" x14ac:dyDescent="0.2">
      <c r="A116" s="6" t="s">
        <v>241</v>
      </c>
      <c r="B116" s="18" t="s">
        <v>856</v>
      </c>
      <c r="C116" s="5" t="s">
        <v>1014</v>
      </c>
      <c r="D116" s="7" t="s">
        <v>15</v>
      </c>
      <c r="E116" s="7"/>
      <c r="F116" s="7" t="s">
        <v>242</v>
      </c>
      <c r="G116" s="7" t="s">
        <v>17</v>
      </c>
      <c r="H116" s="7"/>
      <c r="I116" s="8" t="str">
        <f>IF(AND(LEN(TRIM(D116))&gt;0, E116&lt;&gt;"Y"),CONCATENATE(D116," ",F116),F116)</f>
        <v>Dinka Enduro</v>
      </c>
    </row>
    <row r="117" spans="1:9" ht="12.75" x14ac:dyDescent="0.2">
      <c r="A117" s="5" t="s">
        <v>243</v>
      </c>
      <c r="B117" s="18" t="s">
        <v>818</v>
      </c>
      <c r="C117" s="5" t="s">
        <v>903</v>
      </c>
      <c r="D117" s="2" t="s">
        <v>244</v>
      </c>
      <c r="E117" s="2"/>
      <c r="F117" s="2" t="s">
        <v>245</v>
      </c>
      <c r="G117" s="2" t="s">
        <v>7</v>
      </c>
      <c r="H117" s="2"/>
      <c r="I117" t="str">
        <f>IF(AND(LEN(TRIM(D117))&gt;0, E117&lt;&gt;"Y"),CONCATENATE(D117," ",F117),F117)</f>
        <v>Overflod Entity XF</v>
      </c>
    </row>
    <row r="118" spans="1:9" ht="12.75" x14ac:dyDescent="0.2">
      <c r="A118" s="5" t="s">
        <v>246</v>
      </c>
      <c r="B118" s="18" t="s">
        <v>818</v>
      </c>
      <c r="C118" s="5" t="s">
        <v>1001</v>
      </c>
      <c r="D118" s="2" t="s">
        <v>247</v>
      </c>
      <c r="E118" s="2"/>
      <c r="F118" s="2" t="s">
        <v>248</v>
      </c>
      <c r="G118" s="2" t="s">
        <v>739</v>
      </c>
      <c r="H118" s="2"/>
      <c r="I118" t="str">
        <f>IF(AND(LEN(TRIM(D118))&gt;0, E118&lt;&gt;"Y"),CONCATENATE(D118," ",F118),F118)</f>
        <v>Dewbauchee Exemplar</v>
      </c>
    </row>
    <row r="119" spans="1:9" ht="12.75" x14ac:dyDescent="0.2">
      <c r="A119" s="5" t="s">
        <v>249</v>
      </c>
      <c r="B119" s="18" t="s">
        <v>859</v>
      </c>
      <c r="C119" s="5" t="s">
        <v>951</v>
      </c>
      <c r="D119" s="2" t="s">
        <v>250</v>
      </c>
      <c r="E119" s="2"/>
      <c r="F119" s="2" t="s">
        <v>249</v>
      </c>
      <c r="G119" s="2" t="s">
        <v>739</v>
      </c>
      <c r="H119" s="2"/>
      <c r="I119" t="str">
        <f>IF(AND(LEN(TRIM(D119))&gt;0, E119&lt;&gt;"Y"),CONCATENATE(D119," ",F119),F119)</f>
        <v>Ocelot F620</v>
      </c>
    </row>
    <row r="120" spans="1:9" ht="12.75" x14ac:dyDescent="0.2">
      <c r="A120" s="6" t="s">
        <v>251</v>
      </c>
      <c r="B120" s="5" t="s">
        <v>817</v>
      </c>
      <c r="C120" s="18" t="s">
        <v>974</v>
      </c>
      <c r="D120" s="7" t="s">
        <v>252</v>
      </c>
      <c r="E120" s="7"/>
      <c r="F120" s="7" t="s">
        <v>804</v>
      </c>
      <c r="G120" s="7" t="s">
        <v>17</v>
      </c>
      <c r="H120" s="7"/>
      <c r="I120" s="8" t="str">
        <f>IF(AND(LEN(TRIM(D120))&gt;0, E120&lt;&gt;"Y"),CONCATENATE(D120," ",F120),F120)</f>
        <v>Principe Faggio</v>
      </c>
    </row>
    <row r="121" spans="1:9" ht="12.75" x14ac:dyDescent="0.2">
      <c r="A121" s="6" t="s">
        <v>253</v>
      </c>
      <c r="C121" s="5" t="s">
        <v>1046</v>
      </c>
      <c r="D121" s="7" t="s">
        <v>55</v>
      </c>
      <c r="E121" s="7"/>
      <c r="F121" s="7" t="s">
        <v>254</v>
      </c>
      <c r="G121" s="7" t="s">
        <v>24</v>
      </c>
      <c r="H121" s="7"/>
      <c r="I121" s="8" t="str">
        <f>IF(AND(LEN(TRIM(D121))&gt;0, E121&lt;&gt;"Y"),CONCATENATE(D121," ",F121),F121)</f>
        <v>Bravado Buffalo (FIB)</v>
      </c>
    </row>
    <row r="122" spans="1:9" ht="12.75" x14ac:dyDescent="0.2">
      <c r="A122" s="6" t="s">
        <v>255</v>
      </c>
      <c r="C122" s="5" t="s">
        <v>1046</v>
      </c>
      <c r="D122" s="7" t="s">
        <v>38</v>
      </c>
      <c r="E122" s="7"/>
      <c r="F122" s="7" t="s">
        <v>256</v>
      </c>
      <c r="G122" s="7" t="s">
        <v>24</v>
      </c>
      <c r="H122" s="7"/>
      <c r="I122" s="8" t="str">
        <f>IF(AND(LEN(TRIM(D122))&gt;0, E122&lt;&gt;"Y"),CONCATENATE(D122," ",F122),F122)</f>
        <v>Declasse Granger (FIB)</v>
      </c>
    </row>
    <row r="123" spans="1:9" ht="12.75" x14ac:dyDescent="0.2">
      <c r="A123" s="5" t="s">
        <v>257</v>
      </c>
      <c r="B123" s="5" t="s">
        <v>817</v>
      </c>
      <c r="C123" s="5" t="s">
        <v>975</v>
      </c>
      <c r="D123" s="2" t="s">
        <v>164</v>
      </c>
      <c r="E123" s="2"/>
      <c r="F123" s="2" t="s">
        <v>258</v>
      </c>
      <c r="G123" s="2" t="s">
        <v>739</v>
      </c>
      <c r="H123" s="2"/>
      <c r="I123" t="str">
        <f>IF(AND(LEN(TRIM(D123))&gt;0, E123&lt;&gt;"Y"),CONCATENATE(D123," ",F123),F123)</f>
        <v>Lampadati Felon</v>
      </c>
    </row>
    <row r="124" spans="1:9" ht="12.75" x14ac:dyDescent="0.2">
      <c r="A124" s="5" t="s">
        <v>259</v>
      </c>
      <c r="B124" s="5" t="s">
        <v>817</v>
      </c>
      <c r="C124" s="5" t="s">
        <v>1004</v>
      </c>
      <c r="D124" s="2" t="s">
        <v>164</v>
      </c>
      <c r="E124" s="2"/>
      <c r="F124" s="2" t="s">
        <v>260</v>
      </c>
      <c r="G124" s="2" t="s">
        <v>739</v>
      </c>
      <c r="H124" s="2"/>
      <c r="I124" t="str">
        <f>IF(AND(LEN(TRIM(D124))&gt;0, E124&lt;&gt;"Y"),CONCATENATE(D124," ",F124),F124)</f>
        <v>Lampadati Felon GT</v>
      </c>
    </row>
    <row r="125" spans="1:9" ht="12.75" x14ac:dyDescent="0.2">
      <c r="A125" s="5" t="s">
        <v>261</v>
      </c>
      <c r="B125" s="18" t="s">
        <v>818</v>
      </c>
      <c r="C125" s="18" t="s">
        <v>907</v>
      </c>
      <c r="D125" s="2" t="s">
        <v>215</v>
      </c>
      <c r="E125" s="2"/>
      <c r="F125" s="2" t="s">
        <v>262</v>
      </c>
      <c r="G125" s="2" t="s">
        <v>21</v>
      </c>
      <c r="H125" s="2"/>
      <c r="I125" t="str">
        <f>IF(AND(LEN(TRIM(D125))&gt;0, E125&lt;&gt;"Y"),CONCATENATE(D125," ",F125),F125)</f>
        <v>Benefactor Feltzer</v>
      </c>
    </row>
    <row r="126" spans="1:9" ht="15" customHeight="1" x14ac:dyDescent="0.25">
      <c r="A126" s="10" t="s">
        <v>809</v>
      </c>
      <c r="B126" s="19" t="s">
        <v>868</v>
      </c>
      <c r="C126" s="10" t="s">
        <v>932</v>
      </c>
      <c r="D126" s="7" t="s">
        <v>215</v>
      </c>
      <c r="E126" s="7"/>
      <c r="F126" s="7" t="s">
        <v>810</v>
      </c>
      <c r="G126" s="7" t="s">
        <v>166</v>
      </c>
      <c r="H126" s="7"/>
      <c r="I126" s="8" t="str">
        <f>IF(AND(LEN(TRIM(D126))&gt;0, E126&lt;&gt;"Y"),CONCATENATE(D126," ",F126),F126)</f>
        <v>Benefactor Stirling GT</v>
      </c>
    </row>
    <row r="127" spans="1:9" ht="12.75" x14ac:dyDescent="0.2">
      <c r="A127" s="6" t="s">
        <v>263</v>
      </c>
      <c r="B127" s="6"/>
      <c r="C127" s="6" t="s">
        <v>1046</v>
      </c>
      <c r="D127" s="7" t="s">
        <v>264</v>
      </c>
      <c r="E127" s="7" t="s">
        <v>707</v>
      </c>
      <c r="F127" s="7" t="s">
        <v>265</v>
      </c>
      <c r="G127" s="7" t="s">
        <v>24</v>
      </c>
      <c r="H127" s="7"/>
      <c r="I127" s="8" t="str">
        <f>IF(AND(LEN(TRIM(D127))&gt;0, E127&lt;&gt;"Y"),CONCATENATE(D127," ",F127),F127)</f>
        <v>Firetruck</v>
      </c>
    </row>
    <row r="128" spans="1:9" ht="12.75" x14ac:dyDescent="0.2">
      <c r="A128" s="6" t="s">
        <v>266</v>
      </c>
      <c r="B128" s="6"/>
      <c r="C128" s="6" t="s">
        <v>1046</v>
      </c>
      <c r="D128" s="7" t="s">
        <v>103</v>
      </c>
      <c r="E128" s="7" t="s">
        <v>707</v>
      </c>
      <c r="F128" s="7" t="s">
        <v>267</v>
      </c>
      <c r="G128" s="7" t="s">
        <v>703</v>
      </c>
      <c r="H128" s="7"/>
      <c r="I128" s="8" t="str">
        <f>IF(AND(LEN(TRIM(D128))&gt;0, E128&lt;&gt;"Y"),CONCATENATE(D128," ",F128),F128)</f>
        <v>Fixter</v>
      </c>
    </row>
    <row r="129" spans="1:9" ht="12.75" x14ac:dyDescent="0.2">
      <c r="A129" s="6" t="s">
        <v>268</v>
      </c>
      <c r="B129" s="6"/>
      <c r="C129" s="6" t="s">
        <v>1046</v>
      </c>
      <c r="D129" s="7" t="s">
        <v>264</v>
      </c>
      <c r="E129" s="7"/>
      <c r="F129" s="7" t="s">
        <v>747</v>
      </c>
      <c r="G129" s="7" t="s">
        <v>744</v>
      </c>
      <c r="H129" s="7"/>
      <c r="I129" s="8" t="str">
        <f>IF(AND(LEN(TRIM(D129))&gt;0, E129&lt;&gt;"Y"),CONCATENATE(D129," ",F129),F129)</f>
        <v>MTL Flatbed Truck</v>
      </c>
    </row>
    <row r="130" spans="1:9" ht="12.75" x14ac:dyDescent="0.2">
      <c r="A130" s="6" t="s">
        <v>269</v>
      </c>
      <c r="B130" s="6"/>
      <c r="C130" s="6" t="s">
        <v>1046</v>
      </c>
      <c r="D130" s="7" t="s">
        <v>12</v>
      </c>
      <c r="E130" s="7" t="s">
        <v>707</v>
      </c>
      <c r="F130" s="7" t="s">
        <v>270</v>
      </c>
      <c r="G130" s="7" t="s">
        <v>748</v>
      </c>
      <c r="H130" s="7"/>
      <c r="I130" s="8" t="str">
        <f>IF(AND(LEN(TRIM(D130))&gt;0, E130&lt;&gt;"Y"),CONCATENATE(D130," ",F130),F130)</f>
        <v>Forklift</v>
      </c>
    </row>
    <row r="131" spans="1:9" ht="12.75" x14ac:dyDescent="0.2">
      <c r="A131" s="6" t="s">
        <v>271</v>
      </c>
      <c r="B131" s="6"/>
      <c r="C131" s="6" t="s">
        <v>1046</v>
      </c>
      <c r="D131" s="7" t="s">
        <v>272</v>
      </c>
      <c r="E131" s="7"/>
      <c r="F131" s="7" t="s">
        <v>273</v>
      </c>
      <c r="G131" s="7" t="s">
        <v>52</v>
      </c>
      <c r="H131" s="7"/>
      <c r="I131" s="8" t="str">
        <f>IF(AND(LEN(TRIM(D131))&gt;0, E131&lt;&gt;"Y"),CONCATENATE(D131," ",F131),F131)</f>
        <v>Fathom FQ 2</v>
      </c>
    </row>
    <row r="132" spans="1:9" ht="12.75" customHeight="1" x14ac:dyDescent="0.25">
      <c r="A132" s="9" t="s">
        <v>756</v>
      </c>
      <c r="B132" s="9"/>
      <c r="C132" s="9" t="s">
        <v>1046</v>
      </c>
      <c r="D132" s="9"/>
      <c r="E132" s="9"/>
      <c r="F132" s="9" t="s">
        <v>775</v>
      </c>
      <c r="G132" s="9" t="s">
        <v>770</v>
      </c>
      <c r="H132" s="9"/>
      <c r="I132" s="9" t="str">
        <f>IF(AND(LEN(TRIM(D132))&gt;0, E132&lt;&gt;"Y"),CONCATENATE(D132," ",F132),F132)</f>
        <v>Freight Train Cab</v>
      </c>
    </row>
    <row r="133" spans="1:9" ht="12.75" customHeight="1" x14ac:dyDescent="0.25">
      <c r="A133" s="9" t="s">
        <v>757</v>
      </c>
      <c r="B133" s="9"/>
      <c r="C133" s="9" t="s">
        <v>1046</v>
      </c>
      <c r="D133" s="9"/>
      <c r="E133" s="9"/>
      <c r="F133" s="9" t="s">
        <v>774</v>
      </c>
      <c r="G133" s="9" t="s">
        <v>770</v>
      </c>
      <c r="H133" s="9"/>
      <c r="I133" s="9" t="str">
        <f>IF(AND(LEN(TRIM(D133))&gt;0, E133&lt;&gt;"Y"),CONCATENATE(D133," ",F133),F133)</f>
        <v>Flatbed Car</v>
      </c>
    </row>
    <row r="134" spans="1:9" ht="12.75" customHeight="1" x14ac:dyDescent="0.25">
      <c r="A134" s="9" t="s">
        <v>758</v>
      </c>
      <c r="B134" s="9"/>
      <c r="C134" s="9" t="s">
        <v>1046</v>
      </c>
      <c r="D134" s="9"/>
      <c r="E134" s="9"/>
      <c r="F134" s="9" t="s">
        <v>773</v>
      </c>
      <c r="G134" s="9" t="s">
        <v>770</v>
      </c>
      <c r="H134" s="9"/>
      <c r="I134" s="9" t="str">
        <f>IF(AND(LEN(TRIM(D134))&gt;0, E134&lt;&gt;"Y"),CONCATENATE(D134," ",F134),F134)</f>
        <v>Container Car 1</v>
      </c>
    </row>
    <row r="135" spans="1:9" ht="12.75" customHeight="1" x14ac:dyDescent="0.25">
      <c r="A135" s="9" t="s">
        <v>759</v>
      </c>
      <c r="B135" s="9"/>
      <c r="C135" s="9" t="s">
        <v>1046</v>
      </c>
      <c r="D135" s="9"/>
      <c r="E135" s="9"/>
      <c r="F135" s="9" t="s">
        <v>772</v>
      </c>
      <c r="G135" s="9" t="s">
        <v>770</v>
      </c>
      <c r="H135" s="9"/>
      <c r="I135" s="9" t="str">
        <f>IF(AND(LEN(TRIM(D135))&gt;0, E135&lt;&gt;"Y"),CONCATENATE(D135," ",F135),F135)</f>
        <v>Container Car 2</v>
      </c>
    </row>
    <row r="136" spans="1:9" ht="12.75" customHeight="1" x14ac:dyDescent="0.25">
      <c r="A136" s="9" t="s">
        <v>760</v>
      </c>
      <c r="B136" s="9"/>
      <c r="C136" s="9" t="s">
        <v>1046</v>
      </c>
      <c r="D136" s="9"/>
      <c r="E136" s="9"/>
      <c r="F136" s="9" t="s">
        <v>771</v>
      </c>
      <c r="G136" s="9" t="s">
        <v>770</v>
      </c>
      <c r="H136" s="9"/>
      <c r="I136" s="9" t="str">
        <f>IF(AND(LEN(TRIM(D136))&gt;0, E136&lt;&gt;"Y"),CONCATENATE(D136," ",F136),F136)</f>
        <v>Grain Car</v>
      </c>
    </row>
    <row r="137" spans="1:9" ht="12.75" customHeight="1" x14ac:dyDescent="0.25">
      <c r="A137" s="9" t="s">
        <v>761</v>
      </c>
      <c r="B137" s="9"/>
      <c r="C137" s="9" t="s">
        <v>1046</v>
      </c>
      <c r="D137" s="9"/>
      <c r="E137" s="9"/>
      <c r="F137" s="9" t="s">
        <v>1052</v>
      </c>
      <c r="G137" s="9" t="s">
        <v>31</v>
      </c>
      <c r="H137" s="9"/>
      <c r="I137" s="9" t="str">
        <f>IF(AND(LEN(TRIM(D137))&gt;0, E137&lt;&gt;"Y"),CONCATENATE(D137," ",F137),F137)</f>
        <v>Flatbed Trailer 1</v>
      </c>
    </row>
    <row r="138" spans="1:9" ht="12.75" customHeight="1" x14ac:dyDescent="0.2">
      <c r="A138" s="5" t="s">
        <v>274</v>
      </c>
      <c r="B138" s="18" t="s">
        <v>819</v>
      </c>
      <c r="C138" s="5" t="s">
        <v>984</v>
      </c>
      <c r="D138" s="2" t="s">
        <v>275</v>
      </c>
      <c r="E138" s="2"/>
      <c r="F138" s="2" t="s">
        <v>276</v>
      </c>
      <c r="G138" s="2" t="s">
        <v>28</v>
      </c>
      <c r="H138" s="2"/>
      <c r="I138" t="str">
        <f>IF(AND(LEN(TRIM(D138))&gt;0, E138&lt;&gt;"Y"),CONCATENATE(D138," ",F138),F138)</f>
        <v>Maibatsu Frogger</v>
      </c>
    </row>
    <row r="139" spans="1:9" ht="12.75" customHeight="1" x14ac:dyDescent="0.2">
      <c r="A139" s="5" t="s">
        <v>277</v>
      </c>
      <c r="C139" s="5" t="s">
        <v>1046</v>
      </c>
      <c r="D139" s="2" t="s">
        <v>275</v>
      </c>
      <c r="E139" s="2"/>
      <c r="F139" s="2" t="s">
        <v>278</v>
      </c>
      <c r="G139" s="2" t="s">
        <v>28</v>
      </c>
      <c r="H139" s="2"/>
      <c r="I139" t="str">
        <f>IF(AND(LEN(TRIM(D139))&gt;0, E139&lt;&gt;"Y"),CONCATENATE(D139," ",F139),F139)</f>
        <v>Maibatsu Frogger (TPE/FIB)</v>
      </c>
    </row>
    <row r="140" spans="1:9" ht="12.75" customHeight="1" x14ac:dyDescent="0.2">
      <c r="A140" s="5" t="s">
        <v>279</v>
      </c>
      <c r="B140" s="5" t="s">
        <v>817</v>
      </c>
      <c r="C140" s="5" t="s">
        <v>908</v>
      </c>
      <c r="D140" s="2" t="s">
        <v>280</v>
      </c>
      <c r="E140" s="2"/>
      <c r="F140" s="2" t="s">
        <v>281</v>
      </c>
      <c r="G140" s="2" t="s">
        <v>749</v>
      </c>
      <c r="H140" s="2"/>
      <c r="I140" t="str">
        <f>IF(AND(LEN(TRIM(D140))&gt;0, E140&lt;&gt;"Y"),CONCATENATE(D140," ",F140),F140)</f>
        <v>Cheval Fugitive</v>
      </c>
    </row>
    <row r="141" spans="1:9" ht="12.75" x14ac:dyDescent="0.2">
      <c r="A141" s="5" t="s">
        <v>282</v>
      </c>
      <c r="B141" s="18" t="s">
        <v>869</v>
      </c>
      <c r="C141" s="18" t="s">
        <v>923</v>
      </c>
      <c r="D141" s="2" t="s">
        <v>164</v>
      </c>
      <c r="E141" s="2"/>
      <c r="F141" s="2" t="s">
        <v>283</v>
      </c>
      <c r="G141" s="2" t="s">
        <v>21</v>
      </c>
      <c r="H141" s="2"/>
      <c r="I141" t="str">
        <f>IF(AND(LEN(TRIM(D141))&gt;0, E141&lt;&gt;"Y"),CONCATENATE(D141," ",F141),F141)</f>
        <v>Lampadati Furore GT</v>
      </c>
    </row>
    <row r="142" spans="1:9" ht="12.75" x14ac:dyDescent="0.2">
      <c r="A142" s="5" t="s">
        <v>284</v>
      </c>
      <c r="B142" s="18" t="s">
        <v>859</v>
      </c>
      <c r="C142" s="5" t="s">
        <v>952</v>
      </c>
      <c r="D142" s="2" t="s">
        <v>285</v>
      </c>
      <c r="E142" s="2"/>
      <c r="F142" s="2" t="s">
        <v>286</v>
      </c>
      <c r="G142" s="2" t="s">
        <v>21</v>
      </c>
      <c r="H142" s="2"/>
      <c r="I142" t="str">
        <f>IF(AND(LEN(TRIM(D142))&gt;0, E142&lt;&gt;"Y"),CONCATENATE(D142," ",F142),F142)</f>
        <v>Schyster Fusilade</v>
      </c>
    </row>
    <row r="143" spans="1:9" ht="12.75" x14ac:dyDescent="0.2">
      <c r="A143" s="5" t="s">
        <v>287</v>
      </c>
      <c r="C143" s="5" t="s">
        <v>1046</v>
      </c>
      <c r="D143" s="2" t="s">
        <v>43</v>
      </c>
      <c r="E143" s="2"/>
      <c r="F143" s="2" t="s">
        <v>288</v>
      </c>
      <c r="G143" s="2" t="s">
        <v>21</v>
      </c>
      <c r="H143" s="2"/>
      <c r="I143" t="str">
        <f>IF(AND(LEN(TRIM(D143))&gt;0, E143&lt;&gt;"Y"),CONCATENATE(D143," ",F143),F143)</f>
        <v>Karin Futo</v>
      </c>
    </row>
    <row r="144" spans="1:9" ht="12.75" x14ac:dyDescent="0.2">
      <c r="A144" s="5" t="s">
        <v>289</v>
      </c>
      <c r="B144" s="5" t="s">
        <v>817</v>
      </c>
      <c r="C144" s="5" t="s">
        <v>909</v>
      </c>
      <c r="D144" s="2" t="s">
        <v>55</v>
      </c>
      <c r="E144" s="2"/>
      <c r="F144" s="2" t="s">
        <v>290</v>
      </c>
      <c r="G144" s="2" t="s">
        <v>88</v>
      </c>
      <c r="H144" s="2"/>
      <c r="I144" t="str">
        <f>IF(AND(LEN(TRIM(D144))&gt;0, E144&lt;&gt;"Y"),CONCATENATE(D144," ",F144),F144)</f>
        <v>Bravado Gauntlet</v>
      </c>
    </row>
    <row r="145" spans="1:9" ht="12.75" x14ac:dyDescent="0.2">
      <c r="A145" s="5" t="s">
        <v>291</v>
      </c>
      <c r="B145" s="18" t="s">
        <v>841</v>
      </c>
      <c r="C145" s="5" t="s">
        <v>1045</v>
      </c>
      <c r="D145" s="2" t="s">
        <v>55</v>
      </c>
      <c r="E145" s="2"/>
      <c r="F145" s="2" t="s">
        <v>733</v>
      </c>
      <c r="G145" s="2" t="s">
        <v>88</v>
      </c>
      <c r="H145" s="2"/>
      <c r="I145" t="str">
        <f>IF(AND(LEN(TRIM(D145))&gt;0, E145&lt;&gt;"Y"),CONCATENATE(D145," ",F145),F145)</f>
        <v>Bravado Gauntlet (Race)</v>
      </c>
    </row>
    <row r="146" spans="1:9" ht="12.75" x14ac:dyDescent="0.2">
      <c r="A146" s="5" t="s">
        <v>292</v>
      </c>
      <c r="C146" s="5" t="s">
        <v>1046</v>
      </c>
      <c r="D146" s="2" t="s">
        <v>38</v>
      </c>
      <c r="E146" s="2"/>
      <c r="F146" s="2" t="s">
        <v>785</v>
      </c>
      <c r="G146" s="2" t="s">
        <v>127</v>
      </c>
      <c r="H146" s="2"/>
      <c r="I146" t="str">
        <f>IF(AND(LEN(TRIM(D146))&gt;0, E146&lt;&gt;"Y"),CONCATENATE(D146," ",F146),F146)</f>
        <v>Declasse Burrito (The Lost)</v>
      </c>
    </row>
    <row r="147" spans="1:9" ht="12.75" customHeight="1" x14ac:dyDescent="0.25">
      <c r="A147" s="9" t="s">
        <v>762</v>
      </c>
      <c r="B147" s="18" t="s">
        <v>856</v>
      </c>
      <c r="C147" s="9" t="s">
        <v>1015</v>
      </c>
      <c r="D147" s="2" t="s">
        <v>38</v>
      </c>
      <c r="E147" s="9"/>
      <c r="F147" s="2" t="s">
        <v>293</v>
      </c>
      <c r="G147" s="2" t="s">
        <v>127</v>
      </c>
      <c r="H147" s="9"/>
      <c r="I147" s="9" t="str">
        <f>IF(AND(LEN(TRIM(D147))&gt;0, E147&lt;&gt;"Y"),CONCATENATE(D147," ",F147),F147)</f>
        <v>Declasse Burrito (Gang)</v>
      </c>
    </row>
    <row r="148" spans="1:9" ht="12.75" x14ac:dyDescent="0.2">
      <c r="A148" s="5" t="s">
        <v>294</v>
      </c>
      <c r="B148" s="18" t="s">
        <v>855</v>
      </c>
      <c r="C148" s="5" t="s">
        <v>1028</v>
      </c>
      <c r="D148" s="2" t="s">
        <v>215</v>
      </c>
      <c r="E148" s="2"/>
      <c r="F148" s="2" t="s">
        <v>295</v>
      </c>
      <c r="G148" s="2" t="s">
        <v>749</v>
      </c>
      <c r="H148" s="2"/>
      <c r="I148" t="str">
        <f>IF(AND(LEN(TRIM(D148))&gt;0, E148&lt;&gt;"Y"),CONCATENATE(D148," ",F148),F148)</f>
        <v>Benefactor Glendale</v>
      </c>
    </row>
    <row r="149" spans="1:9" ht="12.75" customHeight="1" x14ac:dyDescent="0.2">
      <c r="A149" s="5" t="s">
        <v>296</v>
      </c>
      <c r="C149" s="5" t="s">
        <v>1046</v>
      </c>
      <c r="D149" s="2" t="s">
        <v>48</v>
      </c>
      <c r="E149" s="2" t="s">
        <v>707</v>
      </c>
      <c r="F149" s="2" t="s">
        <v>297</v>
      </c>
      <c r="G149" s="2" t="s">
        <v>31</v>
      </c>
      <c r="H149" s="2"/>
      <c r="I149" t="str">
        <f>IF(AND(LEN(TRIM(D149))&gt;0, E149&lt;&gt;"Y"),CONCATENATE(D149," ",F149),F149)</f>
        <v>Grain Trailer</v>
      </c>
    </row>
    <row r="150" spans="1:9" ht="12.75" x14ac:dyDescent="0.2">
      <c r="A150" s="6" t="s">
        <v>298</v>
      </c>
      <c r="B150" s="6"/>
      <c r="C150" s="6" t="s">
        <v>1046</v>
      </c>
      <c r="D150" s="7" t="s">
        <v>38</v>
      </c>
      <c r="E150" s="7"/>
      <c r="F150" s="7" t="s">
        <v>299</v>
      </c>
      <c r="G150" s="7" t="s">
        <v>52</v>
      </c>
      <c r="H150" s="7"/>
      <c r="I150" s="8" t="str">
        <f>IF(AND(LEN(TRIM(D150))&gt;0, E150&lt;&gt;"Y"),CONCATENATE(D150," ",F150),F150)</f>
        <v>Declasse Granger</v>
      </c>
    </row>
    <row r="151" spans="1:9" ht="12.75" x14ac:dyDescent="0.2">
      <c r="A151" s="6" t="s">
        <v>300</v>
      </c>
      <c r="B151" s="18" t="s">
        <v>856</v>
      </c>
      <c r="C151" s="6" t="s">
        <v>1016</v>
      </c>
      <c r="D151" s="7" t="s">
        <v>55</v>
      </c>
      <c r="E151" s="7"/>
      <c r="F151" s="7" t="s">
        <v>301</v>
      </c>
      <c r="G151" s="7" t="s">
        <v>52</v>
      </c>
      <c r="H151" s="7"/>
      <c r="I151" s="8" t="str">
        <f>IF(AND(LEN(TRIM(D151))&gt;0, E151&lt;&gt;"Y"),CONCATENATE(D151," ",F151),F151)</f>
        <v>Bravado Gresley</v>
      </c>
    </row>
    <row r="152" spans="1:9" ht="12.75" x14ac:dyDescent="0.2">
      <c r="A152" s="6" t="s">
        <v>302</v>
      </c>
      <c r="B152" s="6"/>
      <c r="C152" s="6" t="s">
        <v>1046</v>
      </c>
      <c r="D152" s="7" t="s">
        <v>67</v>
      </c>
      <c r="E152" s="7"/>
      <c r="F152" s="7" t="s">
        <v>303</v>
      </c>
      <c r="G152" s="7" t="s">
        <v>72</v>
      </c>
      <c r="H152" s="7"/>
      <c r="I152" s="8" t="str">
        <f>IF(AND(LEN(TRIM(D152))&gt;0, E152&lt;&gt;"Y"),CONCATENATE(D152," ",F152),F152)</f>
        <v>Vapid Guardian</v>
      </c>
    </row>
    <row r="153" spans="1:9" ht="12.75" x14ac:dyDescent="0.2">
      <c r="A153" s="6" t="s">
        <v>304</v>
      </c>
      <c r="B153" s="6"/>
      <c r="C153" s="6" t="s">
        <v>1046</v>
      </c>
      <c r="D153" s="7" t="s">
        <v>236</v>
      </c>
      <c r="E153" s="7"/>
      <c r="F153" s="7" t="s">
        <v>305</v>
      </c>
      <c r="G153" s="7" t="s">
        <v>52</v>
      </c>
      <c r="H153" s="7"/>
      <c r="I153" s="8" t="str">
        <f>IF(AND(LEN(TRIM(D153))&gt;0, E153&lt;&gt;"Y"),CONCATENATE(D153," ",F153),F153)</f>
        <v>Emperor Habanero</v>
      </c>
    </row>
    <row r="154" spans="1:9" ht="12.75" x14ac:dyDescent="0.2">
      <c r="A154" s="6" t="s">
        <v>306</v>
      </c>
      <c r="B154" s="10" t="s">
        <v>853</v>
      </c>
      <c r="C154" s="6" t="s">
        <v>1040</v>
      </c>
      <c r="D154" s="7" t="s">
        <v>307</v>
      </c>
      <c r="E154" s="7"/>
      <c r="F154" s="7" t="s">
        <v>308</v>
      </c>
      <c r="G154" s="7" t="s">
        <v>17</v>
      </c>
      <c r="H154" s="7"/>
      <c r="I154" s="8" t="str">
        <f>IF(AND(LEN(TRIM(D154))&gt;0, E154&lt;&gt;"Y"),CONCATENATE(D154," ",F154),F154)</f>
        <v>Shitzu Hakuchou</v>
      </c>
    </row>
    <row r="155" spans="1:9" ht="12.75" x14ac:dyDescent="0.2">
      <c r="A155" s="6" t="s">
        <v>309</v>
      </c>
      <c r="B155" s="6"/>
      <c r="C155" s="6" t="s">
        <v>1046</v>
      </c>
      <c r="D155" s="7" t="s">
        <v>12</v>
      </c>
      <c r="E155" s="7" t="s">
        <v>707</v>
      </c>
      <c r="F155" s="7" t="s">
        <v>310</v>
      </c>
      <c r="G155" s="7" t="s">
        <v>744</v>
      </c>
      <c r="H155" s="7"/>
      <c r="I155" s="8" t="str">
        <f>IF(AND(LEN(TRIM(D155))&gt;0, E155&lt;&gt;"Y"),CONCATENATE(D155," ",F155),F155)</f>
        <v>Dock Handler</v>
      </c>
    </row>
    <row r="156" spans="1:9" ht="12.75" x14ac:dyDescent="0.2">
      <c r="A156" s="6" t="s">
        <v>311</v>
      </c>
      <c r="B156" s="6"/>
      <c r="C156" s="6" t="s">
        <v>1046</v>
      </c>
      <c r="D156" s="7" t="s">
        <v>312</v>
      </c>
      <c r="E156" s="7"/>
      <c r="F156" s="7" t="s">
        <v>313</v>
      </c>
      <c r="G156" s="7" t="s">
        <v>744</v>
      </c>
      <c r="H156" s="7"/>
      <c r="I156" s="8" t="str">
        <f>IF(AND(LEN(TRIM(D156))&gt;0, E156&lt;&gt;"Y"),CONCATENATE(D156," ",F156),F156)</f>
        <v>Jobuilt Hauler</v>
      </c>
    </row>
    <row r="157" spans="1:9" ht="12.75" x14ac:dyDescent="0.2">
      <c r="A157" s="6" t="s">
        <v>314</v>
      </c>
      <c r="B157" s="5" t="s">
        <v>817</v>
      </c>
      <c r="C157" s="5" t="s">
        <v>910</v>
      </c>
      <c r="D157" s="7" t="s">
        <v>315</v>
      </c>
      <c r="E157" s="7"/>
      <c r="F157" s="7" t="s">
        <v>316</v>
      </c>
      <c r="G157" s="7" t="s">
        <v>17</v>
      </c>
      <c r="H157" s="7"/>
      <c r="I157" s="8" t="str">
        <f>IF(AND(LEN(TRIM(D157))&gt;0, E157&lt;&gt;"Y"),CONCATENATE(D157," ",F157),F157)</f>
        <v>LCC Hexer</v>
      </c>
    </row>
    <row r="158" spans="1:9" ht="12.75" x14ac:dyDescent="0.2">
      <c r="A158" s="5" t="s">
        <v>317</v>
      </c>
      <c r="B158" s="18" t="s">
        <v>818</v>
      </c>
      <c r="C158" s="5" t="s">
        <v>904</v>
      </c>
      <c r="D158" s="2" t="s">
        <v>67</v>
      </c>
      <c r="E158" s="2"/>
      <c r="F158" s="2" t="s">
        <v>318</v>
      </c>
      <c r="G158" s="2" t="s">
        <v>88</v>
      </c>
      <c r="H158" s="2"/>
      <c r="I158" t="str">
        <f>IF(AND(LEN(TRIM(D158))&gt;0, E158&lt;&gt;"Y"),CONCATENATE(D158," ",F158),F158)</f>
        <v>Vapid Hotknife</v>
      </c>
    </row>
    <row r="159" spans="1:9" ht="12.75" x14ac:dyDescent="0.2">
      <c r="A159" s="6" t="s">
        <v>319</v>
      </c>
      <c r="B159" s="10" t="s">
        <v>870</v>
      </c>
      <c r="C159" s="6" t="s">
        <v>930</v>
      </c>
      <c r="D159" s="7" t="s">
        <v>176</v>
      </c>
      <c r="E159" s="7"/>
      <c r="F159" s="7" t="s">
        <v>320</v>
      </c>
      <c r="G159" s="7" t="s">
        <v>52</v>
      </c>
      <c r="H159" s="7"/>
      <c r="I159" s="8" t="str">
        <f>IF(AND(LEN(TRIM(D159))&gt;0, E159&lt;&gt;"Y"),CONCATENATE(D159," ",F159),F159)</f>
        <v>Enus Huntley S</v>
      </c>
    </row>
    <row r="160" spans="1:9" ht="12.75" customHeight="1" x14ac:dyDescent="0.2">
      <c r="A160" s="6" t="s">
        <v>321</v>
      </c>
      <c r="B160" s="18" t="s">
        <v>825</v>
      </c>
      <c r="C160" s="6" t="s">
        <v>878</v>
      </c>
      <c r="D160" s="7" t="s">
        <v>206</v>
      </c>
      <c r="E160" s="7"/>
      <c r="F160" s="7" t="s">
        <v>322</v>
      </c>
      <c r="G160" s="7" t="s">
        <v>162</v>
      </c>
      <c r="H160" s="7"/>
      <c r="I160" s="8" t="str">
        <f>IF(AND(LEN(TRIM(D160))&gt;0, E160&lt;&gt;"Y"),CONCATENATE(D160," ",F160),F160)</f>
        <v>Mammoth Hydra</v>
      </c>
    </row>
    <row r="161" spans="1:9" ht="12.75" x14ac:dyDescent="0.2">
      <c r="A161" s="5" t="s">
        <v>323</v>
      </c>
      <c r="B161" s="5" t="s">
        <v>817</v>
      </c>
      <c r="C161" s="5" t="s">
        <v>911</v>
      </c>
      <c r="D161" s="2" t="s">
        <v>62</v>
      </c>
      <c r="E161" s="2"/>
      <c r="F161" s="2" t="s">
        <v>324</v>
      </c>
      <c r="G161" s="2" t="s">
        <v>7</v>
      </c>
      <c r="H161" s="2"/>
      <c r="I161" t="str">
        <f>IF(AND(LEN(TRIM(D161))&gt;0, E161&lt;&gt;"Y"),CONCATENATE(D161," ",F161),F161)</f>
        <v>Pegassi Infernus</v>
      </c>
    </row>
    <row r="162" spans="1:9" ht="12.75" x14ac:dyDescent="0.2">
      <c r="A162" s="5" t="s">
        <v>325</v>
      </c>
      <c r="B162" s="18" t="s">
        <v>863</v>
      </c>
      <c r="C162" s="5" t="s">
        <v>946</v>
      </c>
      <c r="D162" s="2" t="s">
        <v>326</v>
      </c>
      <c r="E162" s="2"/>
      <c r="F162" s="2" t="s">
        <v>327</v>
      </c>
      <c r="G162" s="2" t="s">
        <v>749</v>
      </c>
      <c r="H162" s="2"/>
      <c r="I162" t="str">
        <f>IF(AND(LEN(TRIM(D162))&gt;0, E162&lt;&gt;"Y"),CONCATENATE(D162," ",F162),F162)</f>
        <v>Vulcan Ingot</v>
      </c>
    </row>
    <row r="163" spans="1:9" ht="12.75" x14ac:dyDescent="0.2">
      <c r="A163" s="6" t="s">
        <v>328</v>
      </c>
      <c r="B163" s="10" t="s">
        <v>853</v>
      </c>
      <c r="C163" s="6" t="s">
        <v>1041</v>
      </c>
      <c r="D163" s="7" t="s">
        <v>315</v>
      </c>
      <c r="E163" s="7"/>
      <c r="F163" s="7" t="s">
        <v>329</v>
      </c>
      <c r="G163" s="7" t="s">
        <v>17</v>
      </c>
      <c r="H163" s="7"/>
      <c r="I163" s="8" t="str">
        <f>IF(AND(LEN(TRIM(D163))&gt;0, E163&lt;&gt;"Y"),CONCATENATE(D163," ",F163),F163)</f>
        <v>LCC Innovation</v>
      </c>
    </row>
    <row r="164" spans="1:9" ht="12.75" x14ac:dyDescent="0.2">
      <c r="A164" s="6" t="s">
        <v>330</v>
      </c>
      <c r="B164" s="18" t="s">
        <v>825</v>
      </c>
      <c r="C164" s="6" t="s">
        <v>879</v>
      </c>
      <c r="D164" s="7" t="s">
        <v>12</v>
      </c>
      <c r="E164" s="7" t="s">
        <v>707</v>
      </c>
      <c r="F164" s="7" t="s">
        <v>331</v>
      </c>
      <c r="G164" s="7" t="s">
        <v>72</v>
      </c>
      <c r="H164" s="7"/>
      <c r="I164" s="8" t="str">
        <f>IF(AND(LEN(TRIM(D164))&gt;0, E164&lt;&gt;"Y"),CONCATENATE(D164," ",F164),F164)</f>
        <v>Insurgent (Gun Mount)</v>
      </c>
    </row>
    <row r="165" spans="1:9" ht="12.75" customHeight="1" x14ac:dyDescent="0.2">
      <c r="A165" s="6" t="s">
        <v>332</v>
      </c>
      <c r="B165" s="18" t="s">
        <v>825</v>
      </c>
      <c r="C165" s="6" t="s">
        <v>880</v>
      </c>
      <c r="D165" s="7" t="s">
        <v>12</v>
      </c>
      <c r="E165" s="7" t="s">
        <v>707</v>
      </c>
      <c r="F165" s="7" t="s">
        <v>333</v>
      </c>
      <c r="G165" s="7" t="s">
        <v>72</v>
      </c>
      <c r="H165" s="7"/>
      <c r="I165" s="8" t="str">
        <f>IF(AND(LEN(TRIM(D165))&gt;0, E165&lt;&gt;"Y"),CONCATENATE(D165," ",F165),F165)</f>
        <v>Insurgent</v>
      </c>
    </row>
    <row r="166" spans="1:9" ht="12.75" x14ac:dyDescent="0.2">
      <c r="A166" s="5" t="s">
        <v>334</v>
      </c>
      <c r="B166" s="18" t="s">
        <v>863</v>
      </c>
      <c r="C166" s="5" t="s">
        <v>947</v>
      </c>
      <c r="D166" s="2" t="s">
        <v>43</v>
      </c>
      <c r="E166" s="2"/>
      <c r="F166" s="2" t="s">
        <v>335</v>
      </c>
      <c r="G166" s="2" t="s">
        <v>749</v>
      </c>
      <c r="H166" s="2"/>
      <c r="I166" t="str">
        <f>IF(AND(LEN(TRIM(D166))&gt;0, E166&lt;&gt;"Y"),CONCATENATE(D166," ",F166),F166)</f>
        <v>Karin Intruder</v>
      </c>
    </row>
    <row r="167" spans="1:9" ht="12.75" x14ac:dyDescent="0.2">
      <c r="A167" s="6" t="s">
        <v>336</v>
      </c>
      <c r="B167" s="5" t="s">
        <v>817</v>
      </c>
      <c r="C167" s="5" t="s">
        <v>1005</v>
      </c>
      <c r="D167" s="7" t="s">
        <v>337</v>
      </c>
      <c r="E167" s="7"/>
      <c r="F167" s="7" t="s">
        <v>338</v>
      </c>
      <c r="G167" s="7" t="s">
        <v>738</v>
      </c>
      <c r="H167" s="7"/>
      <c r="I167" s="8" t="str">
        <f>IF(AND(LEN(TRIM(D167))&gt;0, E167&lt;&gt;"Y"),CONCATENATE(D167," ",F167),F167)</f>
        <v>Weeny Issi</v>
      </c>
    </row>
    <row r="168" spans="1:9" ht="12.75" customHeight="1" x14ac:dyDescent="0.2">
      <c r="A168" s="5" t="s">
        <v>339</v>
      </c>
      <c r="B168" s="18" t="s">
        <v>856</v>
      </c>
      <c r="C168" s="5" t="s">
        <v>1017</v>
      </c>
      <c r="D168" s="2" t="s">
        <v>250</v>
      </c>
      <c r="E168" s="2"/>
      <c r="F168" s="2" t="s">
        <v>340</v>
      </c>
      <c r="G168" s="2" t="s">
        <v>739</v>
      </c>
      <c r="H168" s="2"/>
      <c r="I168" t="str">
        <f>IF(AND(LEN(TRIM(D168))&gt;0, E168&lt;&gt;"Y"),CONCATENATE(D168," ",F168),F168)</f>
        <v>Ocelot Jackal</v>
      </c>
    </row>
    <row r="169" spans="1:9" ht="12.75" x14ac:dyDescent="0.2">
      <c r="A169" s="6" t="s">
        <v>341</v>
      </c>
      <c r="B169" s="18" t="s">
        <v>818</v>
      </c>
      <c r="C169" s="6" t="s">
        <v>1002</v>
      </c>
      <c r="D169" s="7" t="s">
        <v>247</v>
      </c>
      <c r="E169" s="7"/>
      <c r="F169" s="7" t="s">
        <v>342</v>
      </c>
      <c r="G169" s="7" t="s">
        <v>166</v>
      </c>
      <c r="H169" s="7"/>
      <c r="I169" s="8" t="str">
        <f>IF(AND(LEN(TRIM(D169))&gt;0, E169&lt;&gt;"Y"),CONCATENATE(D169," ",F169),F169)</f>
        <v>Dewbauchee JB 700</v>
      </c>
    </row>
    <row r="170" spans="1:9" ht="12.75" customHeight="1" x14ac:dyDescent="0.2">
      <c r="A170" s="5" t="s">
        <v>343</v>
      </c>
      <c r="B170" s="18" t="s">
        <v>871</v>
      </c>
      <c r="C170" s="5" t="s">
        <v>921</v>
      </c>
      <c r="D170" s="2" t="s">
        <v>15</v>
      </c>
      <c r="E170" s="2"/>
      <c r="F170" s="2" t="s">
        <v>344</v>
      </c>
      <c r="G170" s="2" t="s">
        <v>21</v>
      </c>
      <c r="H170" s="2"/>
      <c r="I170" t="str">
        <f>IF(AND(LEN(TRIM(D170))&gt;0, E170&lt;&gt;"Y"),CONCATENATE(D170," ",F170),F170)</f>
        <v>Dinka Jester</v>
      </c>
    </row>
    <row r="171" spans="1:9" ht="12.75" x14ac:dyDescent="0.2">
      <c r="A171" s="5" t="s">
        <v>345</v>
      </c>
      <c r="B171" s="13" t="s">
        <v>857</v>
      </c>
      <c r="C171" s="5" t="s">
        <v>1011</v>
      </c>
      <c r="D171" s="2" t="s">
        <v>15</v>
      </c>
      <c r="E171" s="2"/>
      <c r="F171" s="2" t="s">
        <v>711</v>
      </c>
      <c r="G171" s="2" t="s">
        <v>21</v>
      </c>
      <c r="H171" s="2"/>
      <c r="I171" t="str">
        <f>IF(AND(LEN(TRIM(D171))&gt;0, E171&lt;&gt;"Y"),CONCATENATE(D171," ",F171),F171)</f>
        <v>Dinka Jester (Race)</v>
      </c>
    </row>
    <row r="172" spans="1:9" ht="12.75" x14ac:dyDescent="0.2">
      <c r="A172" s="6" t="s">
        <v>346</v>
      </c>
      <c r="B172" s="6"/>
      <c r="C172" s="6" t="s">
        <v>1046</v>
      </c>
      <c r="D172" s="7" t="s">
        <v>160</v>
      </c>
      <c r="E172" s="7"/>
      <c r="F172" s="7" t="s">
        <v>347</v>
      </c>
      <c r="G172" s="7" t="s">
        <v>162</v>
      </c>
      <c r="H172" s="7"/>
      <c r="I172" s="8" t="str">
        <f>IF(AND(LEN(TRIM(D172))&gt;0, E172&lt;&gt;"Y"),CONCATENATE(D172," ",F172),F172)</f>
        <v>Buckingham Jet (B747)</v>
      </c>
    </row>
    <row r="173" spans="1:9" ht="12.75" x14ac:dyDescent="0.2">
      <c r="A173" s="5" t="s">
        <v>348</v>
      </c>
      <c r="B173" s="18" t="s">
        <v>823</v>
      </c>
      <c r="C173" s="5" t="s">
        <v>887</v>
      </c>
      <c r="D173" s="2" t="s">
        <v>307</v>
      </c>
      <c r="E173" s="2"/>
      <c r="F173" s="2" t="s">
        <v>349</v>
      </c>
      <c r="G173" s="2" t="s">
        <v>199</v>
      </c>
      <c r="H173" s="2"/>
      <c r="I173" t="str">
        <f>IF(AND(LEN(TRIM(D173))&gt;0, E173&lt;&gt;"Y"),CONCATENATE(D173," ",F173),F173)</f>
        <v>Shitzu Jetmax</v>
      </c>
    </row>
    <row r="174" spans="1:9" ht="12.75" x14ac:dyDescent="0.2">
      <c r="A174" s="5" t="s">
        <v>350</v>
      </c>
      <c r="B174" s="18" t="s">
        <v>825</v>
      </c>
      <c r="C174" s="5" t="s">
        <v>881</v>
      </c>
      <c r="D174" s="2" t="s">
        <v>351</v>
      </c>
      <c r="E174" s="2"/>
      <c r="F174" s="2" t="s">
        <v>352</v>
      </c>
      <c r="G174" s="2" t="s">
        <v>127</v>
      </c>
      <c r="H174" s="2"/>
      <c r="I174" t="str">
        <f>IF(AND(LEN(TRIM(D174))&gt;0, E174&lt;&gt;"Y"),CONCATENATE(D174," ",F174),F174)</f>
        <v>Zirconium Journey</v>
      </c>
    </row>
    <row r="175" spans="1:9" ht="12.75" x14ac:dyDescent="0.2">
      <c r="A175" s="6" t="s">
        <v>353</v>
      </c>
      <c r="B175" s="5" t="s">
        <v>817</v>
      </c>
      <c r="C175" s="5" t="s">
        <v>912</v>
      </c>
      <c r="D175" s="7" t="s">
        <v>109</v>
      </c>
      <c r="E175" s="7"/>
      <c r="F175" s="7" t="s">
        <v>354</v>
      </c>
      <c r="G175" s="7" t="s">
        <v>72</v>
      </c>
      <c r="H175" s="7"/>
      <c r="I175" s="8" t="str">
        <f>IF(AND(LEN(TRIM(D175))&gt;0, E175&lt;&gt;"Y"),CONCATENATE(D175," ",F175),F175)</f>
        <v>Canis Kalahari</v>
      </c>
    </row>
    <row r="176" spans="1:9" ht="12.75" x14ac:dyDescent="0.2">
      <c r="A176" s="5" t="s">
        <v>355</v>
      </c>
      <c r="B176" s="18" t="s">
        <v>818</v>
      </c>
      <c r="C176" s="18" t="s">
        <v>899</v>
      </c>
      <c r="D176" s="2" t="s">
        <v>356</v>
      </c>
      <c r="E176" s="2"/>
      <c r="F176" s="2" t="s">
        <v>357</v>
      </c>
      <c r="G176" s="2" t="s">
        <v>21</v>
      </c>
      <c r="H176" s="2"/>
      <c r="I176" t="str">
        <f>IF(AND(LEN(TRIM(D176))&gt;0, E176&lt;&gt;"Y"),CONCATENATE(D176," ",F176),F176)</f>
        <v>Hijak Khamelion</v>
      </c>
    </row>
    <row r="177" spans="1:9" ht="12.75" x14ac:dyDescent="0.2">
      <c r="A177" s="5" t="s">
        <v>358</v>
      </c>
      <c r="B177" s="18" t="s">
        <v>856</v>
      </c>
      <c r="C177" s="5" t="s">
        <v>1018</v>
      </c>
      <c r="D177" s="2" t="s">
        <v>43</v>
      </c>
      <c r="E177" s="2"/>
      <c r="F177" s="2" t="s">
        <v>359</v>
      </c>
      <c r="G177" s="2" t="s">
        <v>21</v>
      </c>
      <c r="H177" s="2"/>
      <c r="I177" t="str">
        <f>IF(AND(LEN(TRIM(D177))&gt;0, E177&lt;&gt;"Y"),CONCATENATE(D177," ",F177),F177)</f>
        <v>Karin Kuruma</v>
      </c>
    </row>
    <row r="178" spans="1:9" ht="12.75" x14ac:dyDescent="0.2">
      <c r="A178" s="5" t="s">
        <v>360</v>
      </c>
      <c r="B178" s="18" t="s">
        <v>856</v>
      </c>
      <c r="C178" s="5" t="s">
        <v>1019</v>
      </c>
      <c r="D178" s="2" t="s">
        <v>43</v>
      </c>
      <c r="E178" s="2"/>
      <c r="F178" s="2" t="s">
        <v>361</v>
      </c>
      <c r="G178" s="2" t="s">
        <v>21</v>
      </c>
      <c r="H178" s="2"/>
      <c r="I178" t="str">
        <f>IF(AND(LEN(TRIM(D178))&gt;0, E178&lt;&gt;"Y"),CONCATENATE(D178," ",F178),F178)</f>
        <v>Karin Kuruma (Armoured)</v>
      </c>
    </row>
    <row r="179" spans="1:9" ht="12.75" x14ac:dyDescent="0.2">
      <c r="A179" s="6" t="s">
        <v>362</v>
      </c>
      <c r="B179" s="18" t="s">
        <v>856</v>
      </c>
      <c r="C179" s="6" t="s">
        <v>1020</v>
      </c>
      <c r="D179" s="7" t="s">
        <v>363</v>
      </c>
      <c r="E179" s="7"/>
      <c r="F179" s="7" t="s">
        <v>364</v>
      </c>
      <c r="G179" s="7" t="s">
        <v>52</v>
      </c>
      <c r="H179" s="7"/>
      <c r="I179" s="8" t="str">
        <f>IF(AND(LEN(TRIM(D179))&gt;0, E179&lt;&gt;"Y"),CONCATENATE(D179," ",F179),F179)</f>
        <v>Dundreary Landstalker</v>
      </c>
    </row>
    <row r="180" spans="1:9" ht="12.75" x14ac:dyDescent="0.2">
      <c r="A180" s="6" t="s">
        <v>365</v>
      </c>
      <c r="B180" s="6"/>
      <c r="C180" s="6" t="s">
        <v>1046</v>
      </c>
      <c r="D180" s="7" t="s">
        <v>312</v>
      </c>
      <c r="E180" s="7"/>
      <c r="F180" s="7" t="s">
        <v>366</v>
      </c>
      <c r="G180" s="7" t="s">
        <v>162</v>
      </c>
      <c r="H180" s="7"/>
      <c r="I180" s="8" t="str">
        <f>IF(AND(LEN(TRIM(D180))&gt;0, E180&lt;&gt;"Y"),CONCATENATE(D180," ",F180),F180)</f>
        <v>Jobuilt P-996 Lazer</v>
      </c>
    </row>
    <row r="181" spans="1:9" ht="12.75" x14ac:dyDescent="0.2">
      <c r="A181" s="6" t="s">
        <v>367</v>
      </c>
      <c r="B181" s="10" t="s">
        <v>960</v>
      </c>
      <c r="C181" s="10" t="s">
        <v>961</v>
      </c>
      <c r="D181" s="7" t="s">
        <v>252</v>
      </c>
      <c r="E181" s="7"/>
      <c r="F181" s="7" t="s">
        <v>368</v>
      </c>
      <c r="G181" s="7" t="s">
        <v>17</v>
      </c>
      <c r="H181" s="7"/>
      <c r="I181" s="8" t="str">
        <f>IF(AND(LEN(TRIM(D181))&gt;0, E181&lt;&gt;"Y"),CONCATENATE(D181," ",F181),F181)</f>
        <v>Principe Lectro</v>
      </c>
    </row>
    <row r="182" spans="1:9" ht="12.75" x14ac:dyDescent="0.2">
      <c r="A182" s="6" t="s">
        <v>369</v>
      </c>
      <c r="B182" s="6"/>
      <c r="C182" s="6" t="s">
        <v>1046</v>
      </c>
      <c r="D182" s="7" t="s">
        <v>38</v>
      </c>
      <c r="E182" s="7"/>
      <c r="F182" s="7" t="s">
        <v>370</v>
      </c>
      <c r="G182" s="7" t="s">
        <v>24</v>
      </c>
      <c r="H182" s="7"/>
      <c r="I182" s="8" t="str">
        <f>IF(AND(LEN(TRIM(D182))&gt;0, E182&lt;&gt;"Y"),CONCATENATE(D182," ",F182),F182)</f>
        <v>Declasse Lifeguard</v>
      </c>
    </row>
    <row r="183" spans="1:9" ht="12.75" x14ac:dyDescent="0.2">
      <c r="A183" s="6" t="s">
        <v>371</v>
      </c>
      <c r="B183" s="18" t="s">
        <v>819</v>
      </c>
      <c r="C183" s="6" t="s">
        <v>985</v>
      </c>
      <c r="D183" s="7" t="s">
        <v>160</v>
      </c>
      <c r="E183" s="7"/>
      <c r="F183" s="7" t="s">
        <v>372</v>
      </c>
      <c r="G183" s="7" t="s">
        <v>162</v>
      </c>
      <c r="H183" s="7"/>
      <c r="I183" s="8" t="str">
        <f>IF(AND(LEN(TRIM(D183))&gt;0, E183&lt;&gt;"Y"),CONCATENATE(D183," ",F183),F183)</f>
        <v>Buckingham Luxor</v>
      </c>
    </row>
    <row r="184" spans="1:9" ht="12.75" x14ac:dyDescent="0.2">
      <c r="A184" s="10" t="s">
        <v>807</v>
      </c>
      <c r="B184" s="10" t="s">
        <v>821</v>
      </c>
      <c r="C184" s="10" t="s">
        <v>993</v>
      </c>
      <c r="D184" s="7" t="s">
        <v>160</v>
      </c>
      <c r="E184" s="7"/>
      <c r="F184" s="7" t="s">
        <v>808</v>
      </c>
      <c r="G184" s="7" t="s">
        <v>162</v>
      </c>
      <c r="H184" s="7"/>
      <c r="I184" s="8" t="str">
        <f>IF(AND(LEN(TRIM(D184))&gt;0, E184&lt;&gt;"Y"),CONCATENATE(D184," ",F184),F184)</f>
        <v>Buckingham Luxor Deluxe</v>
      </c>
    </row>
    <row r="185" spans="1:9" ht="12.75" x14ac:dyDescent="0.2">
      <c r="A185" s="6" t="s">
        <v>373</v>
      </c>
      <c r="B185" s="18" t="s">
        <v>819</v>
      </c>
      <c r="C185" s="6" t="s">
        <v>986</v>
      </c>
      <c r="D185" s="7" t="s">
        <v>312</v>
      </c>
      <c r="E185" s="7"/>
      <c r="F185" s="7" t="s">
        <v>374</v>
      </c>
      <c r="G185" s="7" t="s">
        <v>162</v>
      </c>
      <c r="H185" s="7"/>
      <c r="I185" s="8" t="str">
        <f>IF(AND(LEN(TRIM(D185))&gt;0, E185&lt;&gt;"Y"),CONCATENATE(D185," ",F185),F185)</f>
        <v>Jobuilt Mammatus</v>
      </c>
    </row>
    <row r="186" spans="1:9" ht="12.75" x14ac:dyDescent="0.2">
      <c r="A186" s="6" t="s">
        <v>375</v>
      </c>
      <c r="B186" s="6"/>
      <c r="C186" s="6" t="s">
        <v>1046</v>
      </c>
      <c r="D186" s="7" t="s">
        <v>19</v>
      </c>
      <c r="E186" s="7"/>
      <c r="F186" s="7" t="s">
        <v>376</v>
      </c>
      <c r="G186" s="7" t="s">
        <v>166</v>
      </c>
      <c r="H186" s="7"/>
      <c r="I186" s="8" t="str">
        <f>IF(AND(LEN(TRIM(D186))&gt;0, E186&lt;&gt;"Y"),CONCATENATE(D186," ",F186),F186)</f>
        <v>Albany Manana</v>
      </c>
    </row>
    <row r="187" spans="1:9" ht="12.75" x14ac:dyDescent="0.2">
      <c r="A187" s="5" t="s">
        <v>377</v>
      </c>
      <c r="B187" s="18" t="s">
        <v>823</v>
      </c>
      <c r="C187" s="5" t="s">
        <v>888</v>
      </c>
      <c r="D187" s="2" t="s">
        <v>15</v>
      </c>
      <c r="E187" s="2"/>
      <c r="F187" s="2" t="s">
        <v>378</v>
      </c>
      <c r="G187" s="2" t="s">
        <v>199</v>
      </c>
      <c r="H187" s="2"/>
      <c r="I187" t="str">
        <f>IF(AND(LEN(TRIM(D187))&gt;0, E187&lt;&gt;"Y"),CONCATENATE(D187," ",F187),F187)</f>
        <v>Dinka Marquis</v>
      </c>
    </row>
    <row r="188" spans="1:9" ht="12.75" x14ac:dyDescent="0.2">
      <c r="A188" s="6" t="s">
        <v>379</v>
      </c>
      <c r="B188" s="18" t="s">
        <v>825</v>
      </c>
      <c r="C188" s="6" t="s">
        <v>882</v>
      </c>
      <c r="D188" s="7" t="s">
        <v>280</v>
      </c>
      <c r="E188" s="7"/>
      <c r="F188" s="7" t="s">
        <v>380</v>
      </c>
      <c r="G188" s="7" t="s">
        <v>72</v>
      </c>
      <c r="H188" s="7"/>
      <c r="I188" s="8" t="str">
        <f>IF(AND(LEN(TRIM(D188))&gt;0, E188&lt;&gt;"Y"),CONCATENATE(D188," ",F188),F188)</f>
        <v>Cheval Marshall</v>
      </c>
    </row>
    <row r="189" spans="1:9" ht="12.75" x14ac:dyDescent="0.2">
      <c r="A189" s="5" t="s">
        <v>381</v>
      </c>
      <c r="B189" s="18" t="s">
        <v>870</v>
      </c>
      <c r="C189" s="5" t="s">
        <v>931</v>
      </c>
      <c r="D189" s="2" t="s">
        <v>247</v>
      </c>
      <c r="E189" s="2"/>
      <c r="F189" s="2" t="s">
        <v>382</v>
      </c>
      <c r="G189" s="2" t="s">
        <v>21</v>
      </c>
      <c r="H189" s="2"/>
      <c r="I189" t="str">
        <f>IF(AND(LEN(TRIM(D189))&gt;0, E189&lt;&gt;"Y"),CONCATENATE(D189," ",F189),F189)</f>
        <v>Dewbauchee Massacro</v>
      </c>
    </row>
    <row r="190" spans="1:9" ht="12.75" x14ac:dyDescent="0.2">
      <c r="A190" s="5" t="s">
        <v>383</v>
      </c>
      <c r="B190" s="13" t="s">
        <v>857</v>
      </c>
      <c r="C190" s="5" t="s">
        <v>1012</v>
      </c>
      <c r="D190" s="2" t="s">
        <v>247</v>
      </c>
      <c r="E190" s="2"/>
      <c r="F190" s="2" t="s">
        <v>712</v>
      </c>
      <c r="G190" s="2" t="s">
        <v>21</v>
      </c>
      <c r="H190" s="2"/>
      <c r="I190" t="str">
        <f>IF(AND(LEN(TRIM(D190))&gt;0, E190&lt;&gt;"Y"),CONCATENATE(D190," ",F190),F190)</f>
        <v>Dewbauchee Massacro (Race)</v>
      </c>
    </row>
    <row r="191" spans="1:9" ht="12.75" x14ac:dyDescent="0.2">
      <c r="A191" s="5" t="s">
        <v>384</v>
      </c>
      <c r="B191" s="18" t="s">
        <v>819</v>
      </c>
      <c r="C191" s="5" t="s">
        <v>987</v>
      </c>
      <c r="D191" s="2" t="s">
        <v>26</v>
      </c>
      <c r="E191" s="2"/>
      <c r="F191" s="2" t="s">
        <v>385</v>
      </c>
      <c r="G191" s="2" t="s">
        <v>28</v>
      </c>
      <c r="H191" s="2"/>
      <c r="I191" t="str">
        <f>IF(AND(LEN(TRIM(D191))&gt;0, E191&lt;&gt;"Y"),CONCATENATE(D191," ",F191),F191)</f>
        <v>Western Maverick</v>
      </c>
    </row>
    <row r="192" spans="1:9" ht="12.75" x14ac:dyDescent="0.2">
      <c r="A192" s="6" t="s">
        <v>386</v>
      </c>
      <c r="B192" s="10" t="s">
        <v>825</v>
      </c>
      <c r="C192" s="10" t="s">
        <v>894</v>
      </c>
      <c r="D192" s="7" t="s">
        <v>109</v>
      </c>
      <c r="E192" s="7"/>
      <c r="F192" s="7" t="s">
        <v>387</v>
      </c>
      <c r="G192" s="7" t="s">
        <v>52</v>
      </c>
      <c r="H192" s="7"/>
      <c r="I192" s="8" t="str">
        <f>IF(AND(LEN(TRIM(D192))&gt;0, E192&lt;&gt;"Y"),CONCATENATE(D192," ",F192),F192)</f>
        <v>Canis Mesa</v>
      </c>
    </row>
    <row r="193" spans="1:9" ht="12.75" customHeight="1" x14ac:dyDescent="0.25">
      <c r="A193" s="6" t="s">
        <v>388</v>
      </c>
      <c r="B193" s="18"/>
      <c r="C193" s="6" t="s">
        <v>1046</v>
      </c>
      <c r="D193" s="7" t="s">
        <v>109</v>
      </c>
      <c r="E193" s="7"/>
      <c r="F193" s="9" t="s">
        <v>792</v>
      </c>
      <c r="G193" s="7" t="s">
        <v>52</v>
      </c>
      <c r="H193" s="7"/>
      <c r="I193" s="8" t="str">
        <f>IF(AND(LEN(TRIM(D193))&gt;0, E193&lt;&gt;"Y"),CONCATENATE(D193," ",F193),F193)</f>
        <v>Canis Mesa (Snow)</v>
      </c>
    </row>
    <row r="194" spans="1:9" ht="12.75" x14ac:dyDescent="0.2">
      <c r="A194" s="6" t="s">
        <v>389</v>
      </c>
      <c r="B194" s="10" t="s">
        <v>825</v>
      </c>
      <c r="C194" s="10" t="s">
        <v>883</v>
      </c>
      <c r="D194" s="7" t="s">
        <v>109</v>
      </c>
      <c r="E194" s="7"/>
      <c r="F194" s="7" t="s">
        <v>390</v>
      </c>
      <c r="G194" s="7" t="s">
        <v>72</v>
      </c>
      <c r="H194" s="7"/>
      <c r="I194" s="8" t="str">
        <f>IF(AND(LEN(TRIM(D194))&gt;0, E194&lt;&gt;"Y"),CONCATENATE(D194," ",F194),F194)</f>
        <v>Canis Mesa (Off-Road)</v>
      </c>
    </row>
    <row r="195" spans="1:9" ht="12.75" customHeight="1" x14ac:dyDescent="0.25">
      <c r="A195" s="9" t="s">
        <v>763</v>
      </c>
      <c r="B195" s="9"/>
      <c r="C195" s="9" t="s">
        <v>1046</v>
      </c>
      <c r="D195" s="9"/>
      <c r="E195" s="9"/>
      <c r="F195" s="9" t="s">
        <v>779</v>
      </c>
      <c r="G195" s="9" t="s">
        <v>770</v>
      </c>
      <c r="H195" s="9"/>
      <c r="I195" s="9" t="str">
        <f>IF(AND(LEN(TRIM(D195))&gt;0, E195&lt;&gt;"Y"),CONCATENATE(D195," ",F195),F195)</f>
        <v>Metro Train (Half)</v>
      </c>
    </row>
    <row r="196" spans="1:9" ht="15" customHeight="1" x14ac:dyDescent="0.25">
      <c r="A196" s="6" t="s">
        <v>391</v>
      </c>
      <c r="B196" s="9" t="s">
        <v>822</v>
      </c>
      <c r="C196" s="6" t="s">
        <v>995</v>
      </c>
      <c r="D196" s="7" t="s">
        <v>160</v>
      </c>
      <c r="E196" s="7"/>
      <c r="F196" s="7" t="s">
        <v>392</v>
      </c>
      <c r="G196" s="7" t="s">
        <v>162</v>
      </c>
      <c r="H196" s="7"/>
      <c r="I196" s="8" t="str">
        <f>IF(AND(LEN(TRIM(D196))&gt;0, E196&lt;&gt;"Y"),CONCATENATE(D196," ",F196),F196)</f>
        <v>Buckingham Miljet</v>
      </c>
    </row>
    <row r="197" spans="1:9" ht="12.75" customHeight="1" x14ac:dyDescent="0.2">
      <c r="A197" s="5" t="s">
        <v>393</v>
      </c>
      <c r="B197" s="18" t="s">
        <v>863</v>
      </c>
      <c r="C197" s="5" t="s">
        <v>948</v>
      </c>
      <c r="D197" s="2" t="s">
        <v>67</v>
      </c>
      <c r="E197" s="2"/>
      <c r="F197" s="2" t="s">
        <v>394</v>
      </c>
      <c r="G197" s="2" t="s">
        <v>127</v>
      </c>
      <c r="H197" s="2"/>
      <c r="I197" t="str">
        <f>IF(AND(LEN(TRIM(D197))&gt;0, E197&lt;&gt;"Y"),CONCATENATE(D197," ",F197),F197)</f>
        <v>Vapid Minivan</v>
      </c>
    </row>
    <row r="198" spans="1:9" ht="12.75" x14ac:dyDescent="0.2">
      <c r="A198" s="6" t="s">
        <v>395</v>
      </c>
      <c r="B198" s="6"/>
      <c r="C198" s="6" t="s">
        <v>1046</v>
      </c>
      <c r="D198" s="7" t="s">
        <v>12</v>
      </c>
      <c r="E198" s="7" t="s">
        <v>707</v>
      </c>
      <c r="F198" s="7" t="s">
        <v>396</v>
      </c>
      <c r="G198" s="7" t="s">
        <v>744</v>
      </c>
      <c r="H198" s="7"/>
      <c r="I198" s="8" t="str">
        <f>IF(AND(LEN(TRIM(D198))&gt;0, E198&lt;&gt;"Y"),CONCATENATE(D198," ",F198),F198)</f>
        <v>Mixer</v>
      </c>
    </row>
    <row r="199" spans="1:9" ht="12.75" x14ac:dyDescent="0.2">
      <c r="A199" s="6" t="s">
        <v>397</v>
      </c>
      <c r="B199" s="6"/>
      <c r="C199" s="6" t="s">
        <v>1046</v>
      </c>
      <c r="D199" s="7" t="s">
        <v>12</v>
      </c>
      <c r="E199" s="7" t="s">
        <v>707</v>
      </c>
      <c r="F199" s="7" t="s">
        <v>398</v>
      </c>
      <c r="G199" s="7" t="s">
        <v>744</v>
      </c>
      <c r="H199" s="7"/>
      <c r="I199" s="8" t="str">
        <f>IF(AND(LEN(TRIM(D199))&gt;0, E199&lt;&gt;"Y"),CONCATENATE(D199," ",F199),F199)</f>
        <v>Mixer (Support Wheel)</v>
      </c>
    </row>
    <row r="200" spans="1:9" ht="12.75" x14ac:dyDescent="0.2">
      <c r="A200" s="6" t="s">
        <v>399</v>
      </c>
      <c r="B200" s="18" t="s">
        <v>818</v>
      </c>
      <c r="C200" s="6" t="s">
        <v>900</v>
      </c>
      <c r="D200" s="7" t="s">
        <v>62</v>
      </c>
      <c r="E200" s="7"/>
      <c r="F200" s="7" t="s">
        <v>400</v>
      </c>
      <c r="G200" s="7" t="s">
        <v>166</v>
      </c>
      <c r="H200" s="7"/>
      <c r="I200" s="8" t="str">
        <f>IF(AND(LEN(TRIM(D200))&gt;0, E200&lt;&gt;"Y"),CONCATENATE(D200," ",F200),F200)</f>
        <v>Pegassi Monroe</v>
      </c>
    </row>
    <row r="201" spans="1:9" ht="12.75" x14ac:dyDescent="0.2">
      <c r="A201" s="6" t="s">
        <v>401</v>
      </c>
      <c r="B201" s="10" t="s">
        <v>825</v>
      </c>
      <c r="C201" s="6" t="s">
        <v>884</v>
      </c>
      <c r="D201" s="7" t="s">
        <v>67</v>
      </c>
      <c r="E201" s="7"/>
      <c r="F201" s="7" t="s">
        <v>402</v>
      </c>
      <c r="G201" s="7" t="s">
        <v>72</v>
      </c>
      <c r="H201" s="7"/>
      <c r="I201" s="8" t="str">
        <f>IF(AND(LEN(TRIM(D201))&gt;0, E201&lt;&gt;"Y"),CONCATENATE(D201," ",F201),F201)</f>
        <v>Vapid The Liberator</v>
      </c>
    </row>
    <row r="202" spans="1:9" ht="12.75" x14ac:dyDescent="0.2">
      <c r="A202" s="6" t="s">
        <v>403</v>
      </c>
      <c r="B202" s="6"/>
      <c r="C202" s="6" t="s">
        <v>1046</v>
      </c>
      <c r="D202" s="7" t="s">
        <v>48</v>
      </c>
      <c r="E202" s="7"/>
      <c r="F202" s="7" t="s">
        <v>404</v>
      </c>
      <c r="G202" s="7" t="s">
        <v>748</v>
      </c>
      <c r="H202" s="7"/>
      <c r="I202" s="8" t="str">
        <f>IF(AND(LEN(TRIM(D202))&gt;0, E202&lt;&gt;"Y"),CONCATENATE(D202," ",F202),F202)</f>
        <v>Stanley Lawn Mower</v>
      </c>
    </row>
    <row r="203" spans="1:9" ht="12.75" x14ac:dyDescent="0.2">
      <c r="A203" s="6" t="s">
        <v>405</v>
      </c>
      <c r="B203" s="10" t="s">
        <v>825</v>
      </c>
      <c r="C203" s="6" t="s">
        <v>828</v>
      </c>
      <c r="D203" s="7" t="s">
        <v>275</v>
      </c>
      <c r="E203" s="7"/>
      <c r="F203" s="7" t="s">
        <v>796</v>
      </c>
      <c r="G203" s="7" t="s">
        <v>744</v>
      </c>
      <c r="H203" s="7"/>
      <c r="I203" s="8" t="str">
        <f>IF(AND(LEN(TRIM(D203))&gt;0, E203&lt;&gt;"Y"),CONCATENATE(D203," ",F203),F203)</f>
        <v>Maibatsu Mule (Graphics 1)</v>
      </c>
    </row>
    <row r="204" spans="1:9" ht="12.75" x14ac:dyDescent="0.2">
      <c r="A204" s="6" t="s">
        <v>406</v>
      </c>
      <c r="B204" s="6"/>
      <c r="C204" s="6" t="s">
        <v>1046</v>
      </c>
      <c r="D204" s="7" t="s">
        <v>275</v>
      </c>
      <c r="E204" s="7"/>
      <c r="F204" s="7" t="s">
        <v>797</v>
      </c>
      <c r="G204" s="7" t="s">
        <v>744</v>
      </c>
      <c r="H204" s="7"/>
      <c r="I204" s="8" t="str">
        <f>IF(AND(LEN(TRIM(D204))&gt;0, E204&lt;&gt;"Y"),CONCATENATE(D204," ",F204),F204)</f>
        <v>Maibatsu Mule (Graphics 2)</v>
      </c>
    </row>
    <row r="205" spans="1:9" ht="12.75" customHeight="1" x14ac:dyDescent="0.25">
      <c r="A205" s="9" t="s">
        <v>764</v>
      </c>
      <c r="B205" s="9" t="s">
        <v>825</v>
      </c>
      <c r="C205" s="9" t="s">
        <v>829</v>
      </c>
      <c r="D205" s="7" t="s">
        <v>275</v>
      </c>
      <c r="E205" s="9"/>
      <c r="F205" s="7" t="s">
        <v>784</v>
      </c>
      <c r="G205" s="7" t="s">
        <v>744</v>
      </c>
      <c r="H205" s="9"/>
      <c r="I205" s="9" t="str">
        <f>IF(AND(LEN(TRIM(D205))&gt;0, E205&lt;&gt;"Y"),CONCATENATE(D205," ",F205),F205)</f>
        <v>Maibatsu Mule (Plain)</v>
      </c>
    </row>
    <row r="206" spans="1:9" ht="12.75" x14ac:dyDescent="0.2">
      <c r="A206" s="6" t="s">
        <v>407</v>
      </c>
      <c r="B206" s="18" t="s">
        <v>818</v>
      </c>
      <c r="C206" s="6" t="s">
        <v>1003</v>
      </c>
      <c r="D206" s="7" t="s">
        <v>252</v>
      </c>
      <c r="E206" s="7"/>
      <c r="F206" s="7" t="s">
        <v>408</v>
      </c>
      <c r="G206" s="7" t="s">
        <v>17</v>
      </c>
      <c r="H206" s="7"/>
      <c r="I206" s="8" t="str">
        <f>IF(AND(LEN(TRIM(D206))&gt;0, E206&lt;&gt;"Y"),CONCATENATE(D206," ",F206),F206)</f>
        <v>Principe Nemesis</v>
      </c>
    </row>
    <row r="207" spans="1:9" ht="12.75" customHeight="1" x14ac:dyDescent="0.2">
      <c r="A207" s="5" t="s">
        <v>409</v>
      </c>
      <c r="B207" s="18" t="s">
        <v>818</v>
      </c>
      <c r="C207" s="18" t="s">
        <v>924</v>
      </c>
      <c r="D207" s="2" t="s">
        <v>410</v>
      </c>
      <c r="E207" s="2"/>
      <c r="F207" s="2" t="s">
        <v>411</v>
      </c>
      <c r="G207" s="2" t="s">
        <v>21</v>
      </c>
      <c r="H207" s="2"/>
      <c r="I207" t="str">
        <f>IF(AND(LEN(TRIM(D207))&gt;0, E207&lt;&gt;"Y"),CONCATENATE(D207," ",F207),F207)</f>
        <v>Obey 9F</v>
      </c>
    </row>
    <row r="208" spans="1:9" ht="12.75" x14ac:dyDescent="0.2">
      <c r="A208" s="5" t="s">
        <v>412</v>
      </c>
      <c r="B208" s="18" t="s">
        <v>818</v>
      </c>
      <c r="C208" s="18" t="s">
        <v>895</v>
      </c>
      <c r="D208" s="2" t="s">
        <v>410</v>
      </c>
      <c r="E208" s="2"/>
      <c r="F208" s="2" t="s">
        <v>713</v>
      </c>
      <c r="G208" s="2" t="s">
        <v>21</v>
      </c>
      <c r="H208" s="2"/>
      <c r="I208" t="str">
        <f>IF(AND(LEN(TRIM(D208))&gt;0, E208&lt;&gt;"Y"),CONCATENATE(D208," ",F208),F208)</f>
        <v>Obey 9F Cabrio</v>
      </c>
    </row>
    <row r="209" spans="1:9" ht="12.75" customHeight="1" x14ac:dyDescent="0.2">
      <c r="A209" s="5" t="s">
        <v>413</v>
      </c>
      <c r="B209" s="5" t="s">
        <v>817</v>
      </c>
      <c r="C209" s="5" t="s">
        <v>913</v>
      </c>
      <c r="D209" s="2" t="s">
        <v>414</v>
      </c>
      <c r="E209" s="2"/>
      <c r="F209" s="2" t="s">
        <v>415</v>
      </c>
      <c r="G209" s="2" t="s">
        <v>749</v>
      </c>
      <c r="H209" s="2"/>
      <c r="I209" t="str">
        <f>IF(AND(LEN(TRIM(D209))&gt;0, E209&lt;&gt;"Y"),CONCATENATE(D209," ",F209),F209)</f>
        <v>Ubermacht Oracle</v>
      </c>
    </row>
    <row r="210" spans="1:9" ht="12.75" x14ac:dyDescent="0.2">
      <c r="A210" s="5" t="s">
        <v>416</v>
      </c>
      <c r="B210" s="18"/>
      <c r="C210" s="18" t="s">
        <v>1046</v>
      </c>
      <c r="D210" s="2" t="s">
        <v>414</v>
      </c>
      <c r="E210" s="2"/>
      <c r="F210" s="2" t="s">
        <v>730</v>
      </c>
      <c r="G210" s="2" t="s">
        <v>749</v>
      </c>
      <c r="H210" s="2"/>
      <c r="I210" t="str">
        <f>IF(AND(LEN(TRIM(D210))&gt;0, E210&lt;&gt;"Y"),CONCATENATE(D210," ",F210),F210)</f>
        <v>Ubermacht Oracle Mk2</v>
      </c>
    </row>
    <row r="211" spans="1:9" ht="12.75" customHeight="1" x14ac:dyDescent="0.25">
      <c r="A211" s="19" t="s">
        <v>811</v>
      </c>
      <c r="B211" s="19" t="s">
        <v>868</v>
      </c>
      <c r="C211" s="19" t="s">
        <v>933</v>
      </c>
      <c r="D211" s="9" t="s">
        <v>62</v>
      </c>
      <c r="E211" s="9"/>
      <c r="F211" s="9" t="s">
        <v>812</v>
      </c>
      <c r="G211" s="9" t="s">
        <v>7</v>
      </c>
      <c r="H211" s="9"/>
      <c r="I211" s="9" t="str">
        <f>IF(AND(LEN(TRIM(D211))&gt;0, E211&lt;&gt;"Y"),CONCATENATE(D211," ",F211),F211)</f>
        <v>Pegassi Osiris</v>
      </c>
    </row>
    <row r="212" spans="1:9" ht="12.75" x14ac:dyDescent="0.2">
      <c r="A212" s="6" t="s">
        <v>417</v>
      </c>
      <c r="B212" s="6"/>
      <c r="C212" s="6" t="s">
        <v>1046</v>
      </c>
      <c r="D212" s="7" t="s">
        <v>264</v>
      </c>
      <c r="E212" s="7"/>
      <c r="F212" s="7" t="s">
        <v>418</v>
      </c>
      <c r="G212" s="7" t="s">
        <v>744</v>
      </c>
      <c r="H212" s="7"/>
      <c r="I212" s="8" t="str">
        <f>IF(AND(LEN(TRIM(D212))&gt;0, E212&lt;&gt;"Y"),CONCATENATE(D212," ",F212),F212)</f>
        <v>MTL Packer</v>
      </c>
    </row>
    <row r="213" spans="1:9" ht="12.75" x14ac:dyDescent="0.2">
      <c r="A213" s="6" t="s">
        <v>419</v>
      </c>
      <c r="B213" s="18" t="s">
        <v>855</v>
      </c>
      <c r="C213" s="6" t="s">
        <v>1029</v>
      </c>
      <c r="D213" s="7" t="s">
        <v>215</v>
      </c>
      <c r="E213" s="7"/>
      <c r="F213" s="7" t="s">
        <v>420</v>
      </c>
      <c r="G213" s="7" t="s">
        <v>738</v>
      </c>
      <c r="H213" s="7"/>
      <c r="I213" s="8" t="str">
        <f>IF(AND(LEN(TRIM(D213))&gt;0, E213&lt;&gt;"Y"),CONCATENATE(D213," ",F213),F213)</f>
        <v>Benefactor Panto</v>
      </c>
    </row>
    <row r="214" spans="1:9" ht="12.75" x14ac:dyDescent="0.2">
      <c r="A214" s="5" t="s">
        <v>421</v>
      </c>
      <c r="B214" s="5" t="s">
        <v>817</v>
      </c>
      <c r="C214" s="5" t="s">
        <v>914</v>
      </c>
      <c r="D214" s="2" t="s">
        <v>55</v>
      </c>
      <c r="E214" s="2"/>
      <c r="F214" s="2" t="s">
        <v>422</v>
      </c>
      <c r="G214" s="2" t="s">
        <v>127</v>
      </c>
      <c r="H214" s="2"/>
      <c r="I214" t="str">
        <f>IF(AND(LEN(TRIM(D214))&gt;0, E214&lt;&gt;"Y"),CONCATENATE(D214," ",F214),F214)</f>
        <v>Bravado Paradise</v>
      </c>
    </row>
    <row r="215" spans="1:9" ht="12.75" x14ac:dyDescent="0.2">
      <c r="A215" s="6" t="s">
        <v>423</v>
      </c>
      <c r="B215" s="6"/>
      <c r="C215" s="6" t="s">
        <v>1046</v>
      </c>
      <c r="D215" s="7" t="s">
        <v>206</v>
      </c>
      <c r="E215" s="7"/>
      <c r="F215" s="7" t="s">
        <v>424</v>
      </c>
      <c r="G215" s="7" t="s">
        <v>52</v>
      </c>
      <c r="H215" s="7"/>
      <c r="I215" s="8" t="str">
        <f>IF(AND(LEN(TRIM(D215))&gt;0, E215&lt;&gt;"Y"),CONCATENATE(D215," ",F215),F215)</f>
        <v>Mammoth Patriot</v>
      </c>
    </row>
    <row r="216" spans="1:9" ht="12.75" x14ac:dyDescent="0.2">
      <c r="A216" s="6" t="s">
        <v>425</v>
      </c>
      <c r="B216" s="10" t="s">
        <v>825</v>
      </c>
      <c r="C216" s="6" t="s">
        <v>831</v>
      </c>
      <c r="D216" s="7" t="s">
        <v>67</v>
      </c>
      <c r="E216" s="7" t="s">
        <v>707</v>
      </c>
      <c r="F216" s="7" t="s">
        <v>426</v>
      </c>
      <c r="G216" s="7" t="s">
        <v>24</v>
      </c>
      <c r="H216" s="7"/>
      <c r="I216" s="8" t="str">
        <f>IF(AND(LEN(TRIM(D216))&gt;0, E216&lt;&gt;"Y"),CONCATENATE(D216," ",F216),F216)</f>
        <v>Prison Bus</v>
      </c>
    </row>
    <row r="217" spans="1:9" ht="12.75" x14ac:dyDescent="0.2">
      <c r="A217" s="6" t="s">
        <v>427</v>
      </c>
      <c r="B217" s="5" t="s">
        <v>817</v>
      </c>
      <c r="C217" s="5" t="s">
        <v>1006</v>
      </c>
      <c r="D217" s="7" t="s">
        <v>307</v>
      </c>
      <c r="E217" s="7"/>
      <c r="F217" s="7" t="s">
        <v>428</v>
      </c>
      <c r="G217" s="7" t="s">
        <v>17</v>
      </c>
      <c r="H217" s="7"/>
      <c r="I217" s="8" t="str">
        <f>IF(AND(LEN(TRIM(D217))&gt;0, E217&lt;&gt;"Y"),CONCATENATE(D217," ",F217),F217)</f>
        <v>Shitzu PCJ 600</v>
      </c>
    </row>
    <row r="218" spans="1:9" ht="12.75" customHeight="1" x14ac:dyDescent="0.2">
      <c r="A218" s="5" t="s">
        <v>429</v>
      </c>
      <c r="B218" s="18" t="s">
        <v>859</v>
      </c>
      <c r="C218" s="5" t="s">
        <v>1009</v>
      </c>
      <c r="D218" s="2" t="s">
        <v>275</v>
      </c>
      <c r="E218" s="2"/>
      <c r="F218" s="2" t="s">
        <v>430</v>
      </c>
      <c r="G218" s="2" t="s">
        <v>21</v>
      </c>
      <c r="H218" s="2"/>
      <c r="I218" t="str">
        <f>IF(AND(LEN(TRIM(D218))&gt;0, E218&lt;&gt;"Y"),CONCATENATE(D218," ",F218),F218)</f>
        <v>Maibatsu Penumbra</v>
      </c>
    </row>
    <row r="219" spans="1:9" ht="12.75" x14ac:dyDescent="0.2">
      <c r="A219" s="6" t="s">
        <v>431</v>
      </c>
      <c r="B219" s="6"/>
      <c r="C219" s="6" t="s">
        <v>1046</v>
      </c>
      <c r="D219" s="7" t="s">
        <v>67</v>
      </c>
      <c r="E219" s="7"/>
      <c r="F219" s="7" t="s">
        <v>432</v>
      </c>
      <c r="G219" s="7" t="s">
        <v>166</v>
      </c>
      <c r="H219" s="7"/>
      <c r="I219" s="8" t="str">
        <f>IF(AND(LEN(TRIM(D219))&gt;0, E219&lt;&gt;"Y"),CONCATENATE(D219," ",F219),F219)</f>
        <v>Vapid Peyote</v>
      </c>
    </row>
    <row r="220" spans="1:9" ht="12.75" x14ac:dyDescent="0.2">
      <c r="A220" s="6" t="s">
        <v>433</v>
      </c>
      <c r="B220" s="6"/>
      <c r="C220" s="6" t="s">
        <v>1046</v>
      </c>
      <c r="D220" s="7" t="s">
        <v>312</v>
      </c>
      <c r="E220" s="7"/>
      <c r="F220" s="7" t="s">
        <v>434</v>
      </c>
      <c r="G220" s="7" t="s">
        <v>744</v>
      </c>
      <c r="H220" s="7"/>
      <c r="I220" s="8" t="str">
        <f>IF(AND(LEN(TRIM(D220))&gt;0, E220&lt;&gt;"Y"),CONCATENATE(D220," ",F220),F220)</f>
        <v>Jobuilt Phantom</v>
      </c>
    </row>
    <row r="221" spans="1:9" ht="12.75" customHeight="1" x14ac:dyDescent="0.2">
      <c r="A221" s="5" t="s">
        <v>435</v>
      </c>
      <c r="C221" s="5" t="s">
        <v>1046</v>
      </c>
      <c r="D221" s="2" t="s">
        <v>222</v>
      </c>
      <c r="E221" s="2"/>
      <c r="F221" s="2" t="s">
        <v>436</v>
      </c>
      <c r="G221" s="2" t="s">
        <v>88</v>
      </c>
      <c r="H221" s="2"/>
      <c r="I221" t="str">
        <f>IF(AND(LEN(TRIM(D221))&gt;0, E221&lt;&gt;"Y"),CONCATENATE(D221," ",F221),F221)</f>
        <v>Imponte Phoenix</v>
      </c>
    </row>
    <row r="222" spans="1:9" ht="12.75" x14ac:dyDescent="0.2">
      <c r="A222" s="5" t="s">
        <v>437</v>
      </c>
      <c r="B222" s="18" t="s">
        <v>855</v>
      </c>
      <c r="C222" s="5" t="s">
        <v>1030</v>
      </c>
      <c r="D222" s="2" t="s">
        <v>280</v>
      </c>
      <c r="E222" s="2"/>
      <c r="F222" s="2" t="s">
        <v>438</v>
      </c>
      <c r="G222" s="2" t="s">
        <v>88</v>
      </c>
      <c r="H222" s="2"/>
      <c r="I222" t="str">
        <f>IF(AND(LEN(TRIM(D222))&gt;0, E222&lt;&gt;"Y"),CONCATENATE(D222," ",F222),F222)</f>
        <v>Cheval Picador</v>
      </c>
    </row>
    <row r="223" spans="1:9" ht="12.75" x14ac:dyDescent="0.2">
      <c r="A223" s="6" t="s">
        <v>439</v>
      </c>
      <c r="B223" s="18" t="s">
        <v>855</v>
      </c>
      <c r="C223" s="6" t="s">
        <v>1031</v>
      </c>
      <c r="D223" s="7" t="s">
        <v>164</v>
      </c>
      <c r="E223" s="7"/>
      <c r="F223" s="7" t="s">
        <v>440</v>
      </c>
      <c r="G223" s="7" t="s">
        <v>166</v>
      </c>
      <c r="H223" s="7"/>
      <c r="I223" s="8" t="str">
        <f>IF(AND(LEN(TRIM(D223))&gt;0, E223&lt;&gt;"Y"),CONCATENATE(D223," ",F223),F223)</f>
        <v>Lampadati Pigalle</v>
      </c>
    </row>
    <row r="224" spans="1:9" ht="12.75" x14ac:dyDescent="0.2">
      <c r="A224" s="6" t="s">
        <v>441</v>
      </c>
      <c r="B224" s="6"/>
      <c r="C224" s="6" t="s">
        <v>1046</v>
      </c>
      <c r="D224" s="7" t="s">
        <v>67</v>
      </c>
      <c r="E224" s="7"/>
      <c r="F224" s="7" t="s">
        <v>442</v>
      </c>
      <c r="G224" s="7" t="s">
        <v>24</v>
      </c>
      <c r="H224" s="7"/>
      <c r="I224" s="8" t="str">
        <f>IF(AND(LEN(TRIM(D224))&gt;0, E224&lt;&gt;"Y"),CONCATENATE(D224," ",F224),F224)</f>
        <v>Vapid Police Cruiser</v>
      </c>
    </row>
    <row r="225" spans="1:9" ht="12.75" x14ac:dyDescent="0.2">
      <c r="A225" s="6" t="s">
        <v>443</v>
      </c>
      <c r="B225" s="6"/>
      <c r="C225" s="6" t="s">
        <v>1046</v>
      </c>
      <c r="D225" s="7" t="s">
        <v>67</v>
      </c>
      <c r="E225" s="7"/>
      <c r="F225" s="7" t="s">
        <v>444</v>
      </c>
      <c r="G225" s="7" t="s">
        <v>24</v>
      </c>
      <c r="H225" s="7"/>
      <c r="I225" s="8" t="str">
        <f>IF(AND(LEN(TRIM(D225))&gt;0, E225&lt;&gt;"Y"),CONCATENATE(D225," ",F225),F225)</f>
        <v>Vapid Police Buffalo</v>
      </c>
    </row>
    <row r="226" spans="1:9" ht="12.75" x14ac:dyDescent="0.2">
      <c r="A226" s="6" t="s">
        <v>445</v>
      </c>
      <c r="B226" s="6"/>
      <c r="C226" s="6" t="s">
        <v>1046</v>
      </c>
      <c r="D226" s="7" t="s">
        <v>67</v>
      </c>
      <c r="E226" s="7"/>
      <c r="F226" s="7" t="s">
        <v>446</v>
      </c>
      <c r="G226" s="7" t="s">
        <v>24</v>
      </c>
      <c r="H226" s="7"/>
      <c r="I226" s="8" t="str">
        <f>IF(AND(LEN(TRIM(D226))&gt;0, E226&lt;&gt;"Y"),CONCATENATE(D226," ",F226),F226)</f>
        <v>Vapid Police Interceptor</v>
      </c>
    </row>
    <row r="227" spans="1:9" ht="12.75" x14ac:dyDescent="0.2">
      <c r="A227" s="6" t="s">
        <v>447</v>
      </c>
      <c r="B227" s="6"/>
      <c r="C227" s="6" t="s">
        <v>1046</v>
      </c>
      <c r="D227" s="7" t="s">
        <v>67</v>
      </c>
      <c r="E227" s="7"/>
      <c r="F227" s="7" t="s">
        <v>448</v>
      </c>
      <c r="G227" s="7" t="s">
        <v>24</v>
      </c>
      <c r="H227" s="7"/>
      <c r="I227" s="8" t="str">
        <f>IF(AND(LEN(TRIM(D227))&gt;0, E227&lt;&gt;"Y"),CONCATENATE(D227," ",F227),F227)</f>
        <v>Vapid Unmarked Police Cruiser</v>
      </c>
    </row>
    <row r="228" spans="1:9" ht="12.75" x14ac:dyDescent="0.2">
      <c r="A228" s="6" t="s">
        <v>449</v>
      </c>
      <c r="B228" s="6"/>
      <c r="C228" s="6" t="s">
        <v>1046</v>
      </c>
      <c r="D228" s="7" t="s">
        <v>26</v>
      </c>
      <c r="E228" s="7"/>
      <c r="F228" s="7" t="s">
        <v>450</v>
      </c>
      <c r="G228" s="7" t="s">
        <v>24</v>
      </c>
      <c r="H228" s="7"/>
      <c r="I228" s="8" t="str">
        <f>IF(AND(LEN(TRIM(D228))&gt;0, E228&lt;&gt;"Y"),CONCATENATE(D228," ",F228),F228)</f>
        <v>Western Police Bike</v>
      </c>
    </row>
    <row r="229" spans="1:9" ht="12.75" x14ac:dyDescent="0.2">
      <c r="A229" s="6" t="s">
        <v>451</v>
      </c>
      <c r="B229" s="6"/>
      <c r="C229" s="6" t="s">
        <v>1046</v>
      </c>
      <c r="D229" s="7" t="s">
        <v>38</v>
      </c>
      <c r="E229" s="7"/>
      <c r="F229" s="7" t="s">
        <v>789</v>
      </c>
      <c r="G229" s="7" t="s">
        <v>24</v>
      </c>
      <c r="H229" s="7"/>
      <c r="I229" s="8" t="str">
        <f>IF(AND(LEN(TRIM(D229))&gt;0, E229&lt;&gt;"Y"),CONCATENATE(D229," ",F229),F229)</f>
        <v>Declasse Police Rancher (Snow)</v>
      </c>
    </row>
    <row r="230" spans="1:9" ht="12.75" x14ac:dyDescent="0.2">
      <c r="A230" s="6" t="s">
        <v>452</v>
      </c>
      <c r="B230" s="6"/>
      <c r="C230" s="6" t="s">
        <v>1046</v>
      </c>
      <c r="D230" s="7" t="s">
        <v>19</v>
      </c>
      <c r="E230" s="7"/>
      <c r="F230" s="7" t="s">
        <v>790</v>
      </c>
      <c r="G230" s="7" t="s">
        <v>24</v>
      </c>
      <c r="H230" s="7"/>
      <c r="I230" s="8" t="str">
        <f>IF(AND(LEN(TRIM(D230))&gt;0, E230&lt;&gt;"Y"),CONCATENATE(D230," ",F230),F230)</f>
        <v>Albany Police Roadcruiser (Snow)</v>
      </c>
    </row>
    <row r="231" spans="1:9" ht="12.75" x14ac:dyDescent="0.2">
      <c r="A231" s="6" t="s">
        <v>453</v>
      </c>
      <c r="B231" s="6"/>
      <c r="C231" s="6" t="s">
        <v>1046</v>
      </c>
      <c r="D231" s="7" t="s">
        <v>38</v>
      </c>
      <c r="E231" s="7"/>
      <c r="F231" s="7" t="s">
        <v>454</v>
      </c>
      <c r="G231" s="7" t="s">
        <v>24</v>
      </c>
      <c r="H231" s="7"/>
      <c r="I231" s="8" t="str">
        <f>IF(AND(LEN(TRIM(D231))&gt;0, E231&lt;&gt;"Y"),CONCATENATE(D231," ",F231),F231)</f>
        <v>Declasse Police Transporter</v>
      </c>
    </row>
    <row r="232" spans="1:9" ht="12.75" x14ac:dyDescent="0.2">
      <c r="A232" s="5" t="s">
        <v>455</v>
      </c>
      <c r="C232" s="5" t="s">
        <v>1046</v>
      </c>
      <c r="D232" s="2" t="s">
        <v>26</v>
      </c>
      <c r="E232" s="2"/>
      <c r="F232" s="2" t="s">
        <v>1048</v>
      </c>
      <c r="G232" s="2" t="s">
        <v>28</v>
      </c>
      <c r="H232" s="2"/>
      <c r="I232" t="str">
        <f>IF(AND(LEN(TRIM(D232))&gt;0, E232&lt;&gt;"Y"),CONCATENATE(D232," ",F232),F232)</f>
        <v>Western Maverick (Police/Medical)</v>
      </c>
    </row>
    <row r="233" spans="1:9" ht="12.75" x14ac:dyDescent="0.2">
      <c r="A233" s="5" t="s">
        <v>456</v>
      </c>
      <c r="C233" s="5" t="s">
        <v>1046</v>
      </c>
      <c r="D233" s="2" t="s">
        <v>9</v>
      </c>
      <c r="E233" s="2"/>
      <c r="F233" s="2" t="s">
        <v>457</v>
      </c>
      <c r="G233" s="2" t="s">
        <v>127</v>
      </c>
      <c r="H233" s="2"/>
      <c r="I233" t="str">
        <f>IF(AND(LEN(TRIM(D233))&gt;0, E233&lt;&gt;"Y"),CONCATENATE(D233," ",F233),F233)</f>
        <v>Brute Pony (Business)</v>
      </c>
    </row>
    <row r="234" spans="1:9" ht="12.75" x14ac:dyDescent="0.2">
      <c r="A234" s="5" t="s">
        <v>458</v>
      </c>
      <c r="C234" s="5" t="s">
        <v>1046</v>
      </c>
      <c r="D234" s="2" t="s">
        <v>9</v>
      </c>
      <c r="E234" s="2"/>
      <c r="F234" s="2" t="s">
        <v>459</v>
      </c>
      <c r="G234" s="2" t="s">
        <v>127</v>
      </c>
      <c r="H234" s="2"/>
      <c r="I234" t="str">
        <f>IF(AND(LEN(TRIM(D234))&gt;0, E234&lt;&gt;"Y"),CONCATENATE(D234," ",F234),F234)</f>
        <v>Brute Pony (Cannibus Shop)</v>
      </c>
    </row>
    <row r="235" spans="1:9" ht="12.75" x14ac:dyDescent="0.2">
      <c r="A235" s="6" t="s">
        <v>460</v>
      </c>
      <c r="B235" s="6"/>
      <c r="C235" s="6" t="s">
        <v>1046</v>
      </c>
      <c r="D235" s="7" t="s">
        <v>264</v>
      </c>
      <c r="E235" s="7"/>
      <c r="F235" s="7" t="s">
        <v>461</v>
      </c>
      <c r="G235" s="7" t="s">
        <v>744</v>
      </c>
      <c r="H235" s="7"/>
      <c r="I235" s="8" t="str">
        <f>IF(AND(LEN(TRIM(D235))&gt;0, E235&lt;&gt;"Y"),CONCATENATE(D235," ",F235),F235)</f>
        <v>MTL Pounder</v>
      </c>
    </row>
    <row r="236" spans="1:9" ht="12.75" x14ac:dyDescent="0.2">
      <c r="A236" s="6" t="s">
        <v>462</v>
      </c>
      <c r="B236" s="6"/>
      <c r="C236" s="6" t="s">
        <v>1046</v>
      </c>
      <c r="D236" s="7" t="s">
        <v>463</v>
      </c>
      <c r="E236" s="7"/>
      <c r="F236" s="7" t="s">
        <v>464</v>
      </c>
      <c r="G236" s="7" t="s">
        <v>738</v>
      </c>
      <c r="H236" s="7"/>
      <c r="I236" s="8" t="str">
        <f>IF(AND(LEN(TRIM(D236))&gt;0, E236&lt;&gt;"Y"),CONCATENATE(D236," ",F236),F236)</f>
        <v>Bollokan Prairie</v>
      </c>
    </row>
    <row r="237" spans="1:9" ht="12.75" x14ac:dyDescent="0.2">
      <c r="A237" s="6" t="s">
        <v>465</v>
      </c>
      <c r="B237" s="6"/>
      <c r="C237" s="6" t="s">
        <v>1046</v>
      </c>
      <c r="D237" s="7" t="s">
        <v>38</v>
      </c>
      <c r="E237" s="7"/>
      <c r="F237" s="7" t="s">
        <v>466</v>
      </c>
      <c r="G237" s="7" t="s">
        <v>24</v>
      </c>
      <c r="H237" s="7"/>
      <c r="I237" s="8" t="str">
        <f>IF(AND(LEN(TRIM(D237))&gt;0, E237&lt;&gt;"Y"),CONCATENATE(D237," ",F237),F237)</f>
        <v>Declasse Park Ranger</v>
      </c>
    </row>
    <row r="238" spans="1:9" ht="12.75" x14ac:dyDescent="0.2">
      <c r="A238" s="5" t="s">
        <v>467</v>
      </c>
      <c r="C238" s="5" t="s">
        <v>1046</v>
      </c>
      <c r="D238" s="2" t="s">
        <v>307</v>
      </c>
      <c r="E238" s="2"/>
      <c r="F238" s="2" t="s">
        <v>468</v>
      </c>
      <c r="G238" s="2" t="s">
        <v>199</v>
      </c>
      <c r="H238" s="2"/>
      <c r="I238" t="str">
        <f>IF(AND(LEN(TRIM(D238))&gt;0, E238&lt;&gt;"Y"),CONCATENATE(D238," ",F238),F238)</f>
        <v>Shitzu Predator (Police)</v>
      </c>
    </row>
    <row r="239" spans="1:9" ht="12.75" x14ac:dyDescent="0.2">
      <c r="A239" s="5" t="s">
        <v>469</v>
      </c>
      <c r="B239" s="18" t="s">
        <v>863</v>
      </c>
      <c r="C239" s="5" t="s">
        <v>949</v>
      </c>
      <c r="D239" s="2" t="s">
        <v>38</v>
      </c>
      <c r="E239" s="2"/>
      <c r="F239" s="2" t="s">
        <v>470</v>
      </c>
      <c r="G239" s="2" t="s">
        <v>749</v>
      </c>
      <c r="H239" s="2"/>
      <c r="I239" t="str">
        <f>IF(AND(LEN(TRIM(D239))&gt;0, E239&lt;&gt;"Y"),CONCATENATE(D239," ",F239),F239)</f>
        <v>Declasse Premier</v>
      </c>
    </row>
    <row r="240" spans="1:9" ht="12.75" x14ac:dyDescent="0.2">
      <c r="A240" s="5" t="s">
        <v>471</v>
      </c>
      <c r="B240" s="18" t="s">
        <v>855</v>
      </c>
      <c r="C240" s="5" t="s">
        <v>1032</v>
      </c>
      <c r="D240" s="2" t="s">
        <v>19</v>
      </c>
      <c r="E240" s="2"/>
      <c r="F240" s="2" t="s">
        <v>472</v>
      </c>
      <c r="G240" s="2" t="s">
        <v>749</v>
      </c>
      <c r="H240" s="2"/>
      <c r="I240" t="str">
        <f>IF(AND(LEN(TRIM(D240))&gt;0, E240&lt;&gt;"Y"),CONCATENATE(D240," ",F240),F240)</f>
        <v>Albany Primo</v>
      </c>
    </row>
    <row r="241" spans="1:9" ht="12.75" x14ac:dyDescent="0.2">
      <c r="A241" s="5" t="s">
        <v>473</v>
      </c>
      <c r="C241" s="5" t="s">
        <v>1046</v>
      </c>
      <c r="D241" s="2"/>
      <c r="E241" s="2" t="s">
        <v>707</v>
      </c>
      <c r="F241" s="2" t="s">
        <v>723</v>
      </c>
      <c r="G241" s="2" t="s">
        <v>31</v>
      </c>
      <c r="H241" s="2"/>
      <c r="I241" t="str">
        <f>IF(AND(LEN(TRIM(D241))&gt;0, E241&lt;&gt;"Y"),CONCATENATE(D241," ",F241),F241)</f>
        <v>Meth Lab Trailer</v>
      </c>
    </row>
    <row r="242" spans="1:9" ht="12.75" x14ac:dyDescent="0.2">
      <c r="A242" s="6" t="s">
        <v>474</v>
      </c>
      <c r="B242" s="18" t="s">
        <v>863</v>
      </c>
      <c r="C242" s="6" t="s">
        <v>950</v>
      </c>
      <c r="D242" s="7" t="s">
        <v>67</v>
      </c>
      <c r="E242" s="7"/>
      <c r="F242" s="7" t="s">
        <v>475</v>
      </c>
      <c r="G242" s="7" t="s">
        <v>52</v>
      </c>
      <c r="H242" s="7"/>
      <c r="I242" s="8" t="str">
        <f>IF(AND(LEN(TRIM(D242))&gt;0, E242&lt;&gt;"Y"),CONCATENATE(D242," ",F242),F242)</f>
        <v>Vapid Radius</v>
      </c>
    </row>
    <row r="243" spans="1:9" ht="12.75" x14ac:dyDescent="0.2">
      <c r="A243" s="5" t="s">
        <v>476</v>
      </c>
      <c r="C243" s="5" t="s">
        <v>1046</v>
      </c>
      <c r="D243" s="2" t="s">
        <v>48</v>
      </c>
      <c r="E243" s="2" t="s">
        <v>707</v>
      </c>
      <c r="F243" s="2" t="s">
        <v>477</v>
      </c>
      <c r="G243" s="2" t="s">
        <v>31</v>
      </c>
      <c r="H243" s="2"/>
      <c r="I243" t="str">
        <f>IF(AND(LEN(TRIM(D243))&gt;0, E243&lt;&gt;"Y"),CONCATENATE(D243," ",F243),F243)</f>
        <v>Rake Trailer</v>
      </c>
    </row>
    <row r="244" spans="1:9" ht="12.75" x14ac:dyDescent="0.2">
      <c r="A244" s="6" t="s">
        <v>478</v>
      </c>
      <c r="B244" s="18" t="s">
        <v>863</v>
      </c>
      <c r="C244" s="10" t="s">
        <v>978</v>
      </c>
      <c r="D244" s="7" t="s">
        <v>38</v>
      </c>
      <c r="E244" s="7"/>
      <c r="F244" s="7" t="s">
        <v>479</v>
      </c>
      <c r="G244" s="7" t="s">
        <v>72</v>
      </c>
      <c r="H244" s="7"/>
      <c r="I244" s="8" t="str">
        <f>IF(AND(LEN(TRIM(D244))&gt;0, E244&lt;&gt;"Y"),CONCATENATE(D244," ",F244),F244)</f>
        <v>Declasse Rancher XL</v>
      </c>
    </row>
    <row r="245" spans="1:9" ht="12.75" x14ac:dyDescent="0.2">
      <c r="A245" s="6" t="s">
        <v>480</v>
      </c>
      <c r="B245" s="6"/>
      <c r="C245" s="6" t="s">
        <v>1046</v>
      </c>
      <c r="D245" s="7" t="s">
        <v>38</v>
      </c>
      <c r="E245" s="7"/>
      <c r="F245" s="7" t="s">
        <v>481</v>
      </c>
      <c r="G245" s="7" t="s">
        <v>72</v>
      </c>
      <c r="H245" s="7"/>
      <c r="I245" s="8" t="str">
        <f>IF(AND(LEN(TRIM(D245))&gt;0, E245&lt;&gt;"Y"),CONCATENATE(D245," ",F245),F245)</f>
        <v>Declasse Rancher XL (Snow)</v>
      </c>
    </row>
    <row r="246" spans="1:9" ht="12.75" x14ac:dyDescent="0.2">
      <c r="A246" s="5" t="s">
        <v>482</v>
      </c>
      <c r="B246" s="18" t="s">
        <v>818</v>
      </c>
      <c r="C246" s="5" t="s">
        <v>925</v>
      </c>
      <c r="D246" s="2" t="s">
        <v>247</v>
      </c>
      <c r="E246" s="2"/>
      <c r="F246" s="2" t="s">
        <v>483</v>
      </c>
      <c r="G246" s="2" t="s">
        <v>21</v>
      </c>
      <c r="H246" s="2"/>
      <c r="I246" t="str">
        <f>IF(AND(LEN(TRIM(D246))&gt;0, E246&lt;&gt;"Y"),CONCATENATE(D246," ",F246),F246)</f>
        <v>Dewbauchee Rapid GT</v>
      </c>
    </row>
    <row r="247" spans="1:9" ht="12.75" x14ac:dyDescent="0.2">
      <c r="A247" s="5" t="s">
        <v>484</v>
      </c>
      <c r="B247" s="18" t="s">
        <v>818</v>
      </c>
      <c r="C247" s="5" t="s">
        <v>905</v>
      </c>
      <c r="D247" s="2" t="s">
        <v>247</v>
      </c>
      <c r="E247" s="2"/>
      <c r="F247" s="2" t="s">
        <v>722</v>
      </c>
      <c r="G247" s="2" t="s">
        <v>21</v>
      </c>
      <c r="H247" s="2"/>
      <c r="I247" t="str">
        <f>IF(AND(LEN(TRIM(D247))&gt;0, E247&lt;&gt;"Y"),CONCATENATE(D247," ",F247),F247)</f>
        <v>Dewbauchee Rapid GT Cabrio</v>
      </c>
    </row>
    <row r="248" spans="1:9" ht="12.75" x14ac:dyDescent="0.2">
      <c r="A248" s="5" t="s">
        <v>485</v>
      </c>
      <c r="B248" s="18" t="s">
        <v>839</v>
      </c>
      <c r="C248" s="18" t="s">
        <v>840</v>
      </c>
      <c r="D248" s="2" t="s">
        <v>55</v>
      </c>
      <c r="E248" s="2"/>
      <c r="F248" s="2" t="s">
        <v>732</v>
      </c>
      <c r="G248" s="2" t="s">
        <v>79</v>
      </c>
      <c r="H248" s="2"/>
      <c r="I248" t="str">
        <f>IF(AND(LEN(TRIM(D248))&gt;0, E248&lt;&gt;"Y"),CONCATENATE(D248," ",F248),F248)</f>
        <v>Bravado Ratloader (Rusty)</v>
      </c>
    </row>
    <row r="249" spans="1:9" ht="12.75" x14ac:dyDescent="0.2">
      <c r="A249" s="5" t="s">
        <v>487</v>
      </c>
      <c r="B249" s="18" t="s">
        <v>857</v>
      </c>
      <c r="C249" s="18" t="s">
        <v>858</v>
      </c>
      <c r="D249" s="2" t="s">
        <v>55</v>
      </c>
      <c r="E249" s="2"/>
      <c r="F249" s="2" t="s">
        <v>486</v>
      </c>
      <c r="G249" s="2" t="s">
        <v>79</v>
      </c>
      <c r="H249" s="2"/>
      <c r="I249" t="str">
        <f>IF(AND(LEN(TRIM(D249))&gt;0, E249&lt;&gt;"Y"),CONCATENATE(D249," ",F249),F249)</f>
        <v>Bravado Ratloader</v>
      </c>
    </row>
    <row r="250" spans="1:9" ht="12.75" customHeight="1" x14ac:dyDescent="0.2">
      <c r="A250" s="6" t="s">
        <v>488</v>
      </c>
      <c r="B250" s="5" t="s">
        <v>817</v>
      </c>
      <c r="C250" s="5" t="s">
        <v>1007</v>
      </c>
      <c r="D250" s="7" t="s">
        <v>43</v>
      </c>
      <c r="E250" s="7"/>
      <c r="F250" s="7" t="s">
        <v>489</v>
      </c>
      <c r="G250" s="7" t="s">
        <v>72</v>
      </c>
      <c r="H250" s="7"/>
      <c r="I250" s="8" t="str">
        <f>IF(AND(LEN(TRIM(D250))&gt;0, E250&lt;&gt;"Y"),CONCATENATE(D250," ",F250),F250)</f>
        <v>Karin Rebel (Rusty)</v>
      </c>
    </row>
    <row r="251" spans="1:9" ht="12.75" customHeight="1" x14ac:dyDescent="0.2">
      <c r="A251" s="6" t="s">
        <v>490</v>
      </c>
      <c r="B251" s="18" t="s">
        <v>855</v>
      </c>
      <c r="C251" s="6" t="s">
        <v>1033</v>
      </c>
      <c r="D251" s="7" t="s">
        <v>43</v>
      </c>
      <c r="E251" s="7"/>
      <c r="F251" s="7" t="s">
        <v>491</v>
      </c>
      <c r="G251" s="7" t="s">
        <v>72</v>
      </c>
      <c r="H251" s="7"/>
      <c r="I251" s="8" t="str">
        <f>IF(AND(LEN(TRIM(D251))&gt;0, E251&lt;&gt;"Y"),CONCATENATE(D251," ",F251),F251)</f>
        <v>Karin Rebel</v>
      </c>
    </row>
    <row r="252" spans="1:9" ht="12.75" x14ac:dyDescent="0.2">
      <c r="A252" s="5" t="s">
        <v>492</v>
      </c>
      <c r="B252" s="18" t="s">
        <v>855</v>
      </c>
      <c r="C252" s="5" t="s">
        <v>1034</v>
      </c>
      <c r="D252" s="2" t="s">
        <v>363</v>
      </c>
      <c r="E252" s="2"/>
      <c r="F252" s="2" t="s">
        <v>493</v>
      </c>
      <c r="G252" s="2" t="s">
        <v>749</v>
      </c>
      <c r="H252" s="2"/>
      <c r="I252" t="str">
        <f>IF(AND(LEN(TRIM(D252))&gt;0, E252&lt;&gt;"Y"),CONCATENATE(D252," ",F252),F252)</f>
        <v>Dundreary Regina</v>
      </c>
    </row>
    <row r="253" spans="1:9" ht="12.75" x14ac:dyDescent="0.2">
      <c r="A253" s="6" t="s">
        <v>494</v>
      </c>
      <c r="B253" s="10" t="s">
        <v>825</v>
      </c>
      <c r="C253" s="10" t="s">
        <v>837</v>
      </c>
      <c r="D253" s="7" t="s">
        <v>9</v>
      </c>
      <c r="E253" s="7"/>
      <c r="F253" s="7" t="s">
        <v>495</v>
      </c>
      <c r="G253" s="7" t="s">
        <v>748</v>
      </c>
      <c r="H253" s="7"/>
      <c r="I253" s="8" t="str">
        <f>IF(AND(LEN(TRIM(D253))&gt;0, E253&lt;&gt;"Y"),CONCATENATE(D253," ",F253),F253)</f>
        <v>Brute Rental Shuttle Bus</v>
      </c>
    </row>
    <row r="254" spans="1:9" ht="12.75" x14ac:dyDescent="0.2">
      <c r="A254" s="6" t="s">
        <v>496</v>
      </c>
      <c r="B254" s="18" t="s">
        <v>855</v>
      </c>
      <c r="C254" s="6" t="s">
        <v>1035</v>
      </c>
      <c r="D254" s="7" t="s">
        <v>38</v>
      </c>
      <c r="E254" s="7"/>
      <c r="F254" s="7" t="s">
        <v>497</v>
      </c>
      <c r="G254" s="7" t="s">
        <v>738</v>
      </c>
      <c r="H254" s="7"/>
      <c r="I254" s="8" t="str">
        <f>IF(AND(LEN(TRIM(D254))&gt;0, E254&lt;&gt;"Y"),CONCATENATE(D254," ",F254),F254)</f>
        <v>Declasse Rhapsody</v>
      </c>
    </row>
    <row r="255" spans="1:9" ht="12.75" x14ac:dyDescent="0.2">
      <c r="A255" s="6" t="s">
        <v>498</v>
      </c>
      <c r="B255" s="10" t="s">
        <v>825</v>
      </c>
      <c r="C255" s="6" t="s">
        <v>832</v>
      </c>
      <c r="D255" s="7" t="s">
        <v>12</v>
      </c>
      <c r="E255" s="7" t="s">
        <v>707</v>
      </c>
      <c r="F255" s="7" t="s">
        <v>791</v>
      </c>
      <c r="G255" s="7" t="s">
        <v>24</v>
      </c>
      <c r="H255" s="7"/>
      <c r="I255" s="8" t="str">
        <f>IF(AND(LEN(TRIM(D255))&gt;0, E255&lt;&gt;"Y"),CONCATENATE(D255," ",F255),F255)</f>
        <v>Rhino Tank</v>
      </c>
    </row>
    <row r="256" spans="1:9" ht="12.75" x14ac:dyDescent="0.2">
      <c r="A256" s="6" t="s">
        <v>499</v>
      </c>
      <c r="B256" s="6"/>
      <c r="C256" s="6" t="s">
        <v>1046</v>
      </c>
      <c r="D256" s="7" t="s">
        <v>9</v>
      </c>
      <c r="E256" s="7"/>
      <c r="F256" s="7" t="s">
        <v>740</v>
      </c>
      <c r="G256" s="7" t="s">
        <v>24</v>
      </c>
      <c r="H256" s="7"/>
      <c r="I256" s="8" t="str">
        <f>IF(AND(LEN(TRIM(D256))&gt;0, E256&lt;&gt;"Y"),CONCATENATE(D256," ",F256),F256)</f>
        <v>Brute Police Riot Van</v>
      </c>
    </row>
    <row r="257" spans="1:9" ht="12.75" x14ac:dyDescent="0.2">
      <c r="A257" s="6" t="s">
        <v>500</v>
      </c>
      <c r="B257" s="6"/>
      <c r="C257" s="6" t="s">
        <v>1046</v>
      </c>
      <c r="D257" s="7" t="s">
        <v>12</v>
      </c>
      <c r="E257" s="7" t="s">
        <v>707</v>
      </c>
      <c r="F257" s="7" t="s">
        <v>710</v>
      </c>
      <c r="G257" s="7" t="s">
        <v>748</v>
      </c>
      <c r="H257" s="7"/>
      <c r="I257" s="8" t="str">
        <f>IF(AND(LEN(TRIM(D257))&gt;0, E257&lt;&gt;"Y"),CONCATENATE(D257," ",F257),F257)</f>
        <v>Ripley (Airport Tug)</v>
      </c>
    </row>
    <row r="258" spans="1:9" ht="12.75" x14ac:dyDescent="0.2">
      <c r="A258" s="6" t="s">
        <v>501</v>
      </c>
      <c r="B258" s="5" t="s">
        <v>817</v>
      </c>
      <c r="C258" s="5" t="s">
        <v>915</v>
      </c>
      <c r="D258" s="7" t="s">
        <v>410</v>
      </c>
      <c r="E258" s="7"/>
      <c r="F258" s="7" t="s">
        <v>502</v>
      </c>
      <c r="G258" s="7" t="s">
        <v>52</v>
      </c>
      <c r="H258" s="7"/>
      <c r="I258" s="8" t="str">
        <f>IF(AND(LEN(TRIM(D258))&gt;0, E258&lt;&gt;"Y"),CONCATENATE(D258," ",F258),F258)</f>
        <v>Obey Rocoto</v>
      </c>
    </row>
    <row r="259" spans="1:9" ht="12.75" x14ac:dyDescent="0.2">
      <c r="A259" s="5" t="s">
        <v>503</v>
      </c>
      <c r="C259" s="5" t="s">
        <v>1046</v>
      </c>
      <c r="D259" s="2" t="s">
        <v>504</v>
      </c>
      <c r="E259" s="2"/>
      <c r="F259" s="2" t="s">
        <v>737</v>
      </c>
      <c r="G259" s="2" t="s">
        <v>749</v>
      </c>
      <c r="H259" s="2"/>
      <c r="I259" t="str">
        <f>IF(AND(LEN(TRIM(D259))&gt;0, E259&lt;&gt;"Y"),CONCATENATE(D259," ",F259),F259)</f>
        <v>Chariot Romero Hearse</v>
      </c>
    </row>
    <row r="260" spans="1:9" ht="12.75" x14ac:dyDescent="0.2">
      <c r="A260" s="6" t="s">
        <v>505</v>
      </c>
      <c r="B260" s="6"/>
      <c r="C260" s="6" t="s">
        <v>1046</v>
      </c>
      <c r="D260" s="7" t="s">
        <v>312</v>
      </c>
      <c r="E260" s="7"/>
      <c r="F260" s="7" t="s">
        <v>506</v>
      </c>
      <c r="G260" s="7" t="s">
        <v>744</v>
      </c>
      <c r="H260" s="7"/>
      <c r="I260" s="8" t="str">
        <f>IF(AND(LEN(TRIM(D260))&gt;0, E260&lt;&gt;"Y"),CONCATENATE(D260," ",F260),F260)</f>
        <v>Jobuilt Rubble</v>
      </c>
    </row>
    <row r="261" spans="1:9" ht="12.75" x14ac:dyDescent="0.2">
      <c r="A261" s="6" t="s">
        <v>507</v>
      </c>
      <c r="B261" s="5" t="s">
        <v>817</v>
      </c>
      <c r="C261" s="5" t="s">
        <v>916</v>
      </c>
      <c r="D261" s="7" t="s">
        <v>62</v>
      </c>
      <c r="E261" s="7"/>
      <c r="F261" s="7" t="s">
        <v>508</v>
      </c>
      <c r="G261" s="7" t="s">
        <v>17</v>
      </c>
      <c r="H261" s="7"/>
      <c r="I261" s="8" t="str">
        <f>IF(AND(LEN(TRIM(D261))&gt;0, E261&lt;&gt;"Y"),CONCATENATE(D261," ",F261),F261)</f>
        <v>Pegassi Ruffian</v>
      </c>
    </row>
    <row r="262" spans="1:9" ht="12.75" x14ac:dyDescent="0.2">
      <c r="A262" s="5" t="s">
        <v>509</v>
      </c>
      <c r="C262" s="5" t="s">
        <v>1046</v>
      </c>
      <c r="D262" s="2" t="s">
        <v>222</v>
      </c>
      <c r="E262" s="2"/>
      <c r="F262" s="2" t="s">
        <v>510</v>
      </c>
      <c r="G262" s="2" t="s">
        <v>88</v>
      </c>
      <c r="H262" s="2"/>
      <c r="I262" t="str">
        <f>IF(AND(LEN(TRIM(D262))&gt;0, E262&lt;&gt;"Y"),CONCATENATE(D262," ",F262),F262)</f>
        <v>Imponte Ruiner</v>
      </c>
    </row>
    <row r="263" spans="1:9" ht="12.75" x14ac:dyDescent="0.2">
      <c r="A263" s="5" t="s">
        <v>511</v>
      </c>
      <c r="B263" s="18" t="s">
        <v>856</v>
      </c>
      <c r="C263" s="5" t="s">
        <v>1021</v>
      </c>
      <c r="D263" s="2" t="s">
        <v>55</v>
      </c>
      <c r="E263" s="2"/>
      <c r="F263" s="2" t="s">
        <v>1051</v>
      </c>
      <c r="G263" s="2" t="s">
        <v>127</v>
      </c>
      <c r="H263" s="2"/>
      <c r="I263" t="str">
        <f>IF(AND(LEN(TRIM(D263))&gt;0, E263&lt;&gt;"Y"),CONCATENATE(D263," ",F263),F263)</f>
        <v>Bravado Rumpo (Plain/Weazel)</v>
      </c>
    </row>
    <row r="264" spans="1:9" ht="12.75" x14ac:dyDescent="0.2">
      <c r="A264" s="5" t="s">
        <v>512</v>
      </c>
      <c r="C264" s="5" t="s">
        <v>1046</v>
      </c>
      <c r="D264" s="2" t="s">
        <v>55</v>
      </c>
      <c r="E264" s="2"/>
      <c r="F264" s="2" t="s">
        <v>513</v>
      </c>
      <c r="G264" s="2" t="s">
        <v>127</v>
      </c>
      <c r="H264" s="2"/>
      <c r="I264" t="str">
        <f>IF(AND(LEN(TRIM(D264))&gt;0, E264&lt;&gt;"Y"),CONCATENATE(D264," ",F264),F264)</f>
        <v>Bravado Rumpo (Deludamol)</v>
      </c>
    </row>
    <row r="265" spans="1:9" ht="12.75" x14ac:dyDescent="0.2">
      <c r="A265" s="5" t="s">
        <v>514</v>
      </c>
      <c r="C265" s="5" t="s">
        <v>1046</v>
      </c>
      <c r="D265" s="2" t="s">
        <v>38</v>
      </c>
      <c r="E265" s="2"/>
      <c r="F265" s="2" t="s">
        <v>515</v>
      </c>
      <c r="G265" s="2" t="s">
        <v>88</v>
      </c>
      <c r="H265" s="2"/>
      <c r="I265" t="str">
        <f>IF(AND(LEN(TRIM(D265))&gt;0, E265&lt;&gt;"Y"),CONCATENATE(D265," ",F265),F265)</f>
        <v>Declasse Sabre Turbo</v>
      </c>
    </row>
    <row r="266" spans="1:9" ht="12.75" customHeight="1" x14ac:dyDescent="0.2">
      <c r="A266" s="5" t="s">
        <v>516</v>
      </c>
      <c r="B266" s="5" t="s">
        <v>817</v>
      </c>
      <c r="C266" s="5" t="s">
        <v>917</v>
      </c>
      <c r="D266" s="2" t="s">
        <v>67</v>
      </c>
      <c r="E266" s="2"/>
      <c r="F266" s="2" t="s">
        <v>517</v>
      </c>
      <c r="G266" s="2" t="s">
        <v>79</v>
      </c>
      <c r="H266" s="2"/>
      <c r="I266" t="str">
        <f>IF(AND(LEN(TRIM(D266))&gt;0, E266&lt;&gt;"Y"),CONCATENATE(D266," ",F266),F266)</f>
        <v>Vapid Sadler</v>
      </c>
    </row>
    <row r="267" spans="1:9" ht="12.75" customHeight="1" x14ac:dyDescent="0.2">
      <c r="A267" s="5" t="s">
        <v>518</v>
      </c>
      <c r="C267" s="5" t="s">
        <v>1046</v>
      </c>
      <c r="D267" s="2" t="s">
        <v>67</v>
      </c>
      <c r="E267" s="2"/>
      <c r="F267" s="2" t="s">
        <v>519</v>
      </c>
      <c r="G267" s="2" t="s">
        <v>79</v>
      </c>
      <c r="H267" s="2"/>
      <c r="I267" t="str">
        <f>IF(AND(LEN(TRIM(D267))&gt;0, E267&lt;&gt;"Y"),CONCATENATE(D267," ",F267),F267)</f>
        <v>Vapid Sadler (Snow)</v>
      </c>
    </row>
    <row r="268" spans="1:9" ht="12.75" customHeight="1" x14ac:dyDescent="0.2">
      <c r="A268" s="6" t="s">
        <v>520</v>
      </c>
      <c r="B268" s="5" t="s">
        <v>817</v>
      </c>
      <c r="C268" s="5" t="s">
        <v>918</v>
      </c>
      <c r="D268" s="7" t="s">
        <v>275</v>
      </c>
      <c r="E268" s="7"/>
      <c r="F268" s="7" t="s">
        <v>521</v>
      </c>
      <c r="G268" s="7" t="s">
        <v>17</v>
      </c>
      <c r="H268" s="7"/>
      <c r="I268" s="8" t="str">
        <f>IF(AND(LEN(TRIM(D268))&gt;0, E268&lt;&gt;"Y"),CONCATENATE(D268," ",F268),F268)</f>
        <v>Maibatsu Sanchez (Graphics)</v>
      </c>
    </row>
    <row r="269" spans="1:9" ht="12.75" customHeight="1" x14ac:dyDescent="0.2">
      <c r="A269" s="6" t="s">
        <v>522</v>
      </c>
      <c r="B269" s="5" t="s">
        <v>817</v>
      </c>
      <c r="C269" s="5" t="s">
        <v>1008</v>
      </c>
      <c r="D269" s="7" t="s">
        <v>275</v>
      </c>
      <c r="E269" s="7"/>
      <c r="F269" s="7" t="s">
        <v>523</v>
      </c>
      <c r="G269" s="7" t="s">
        <v>17</v>
      </c>
      <c r="H269" s="7"/>
      <c r="I269" s="8" t="str">
        <f>IF(AND(LEN(TRIM(D269))&gt;0, E269&lt;&gt;"Y"),CONCATENATE(D269," ",F269),F269)</f>
        <v>Maibatsu Sanchez</v>
      </c>
    </row>
    <row r="270" spans="1:9" ht="12.75" customHeight="1" x14ac:dyDescent="0.2">
      <c r="A270" s="6" t="s">
        <v>524</v>
      </c>
      <c r="B270" s="5" t="s">
        <v>817</v>
      </c>
      <c r="C270" s="18" t="s">
        <v>919</v>
      </c>
      <c r="D270" s="7" t="s">
        <v>67</v>
      </c>
      <c r="E270" s="7"/>
      <c r="F270" s="7" t="s">
        <v>525</v>
      </c>
      <c r="G270" s="7" t="s">
        <v>72</v>
      </c>
      <c r="H270" s="7"/>
      <c r="I270" s="8" t="str">
        <f>IF(AND(LEN(TRIM(D270))&gt;0, E270&lt;&gt;"Y"),CONCATENATE(D270," ",F270),F270)</f>
        <v>Vapid Sandking XL</v>
      </c>
    </row>
    <row r="271" spans="1:9" ht="12.75" customHeight="1" x14ac:dyDescent="0.2">
      <c r="A271" s="6" t="s">
        <v>526</v>
      </c>
      <c r="B271" s="5" t="s">
        <v>817</v>
      </c>
      <c r="C271" s="18" t="s">
        <v>976</v>
      </c>
      <c r="D271" s="7" t="s">
        <v>67</v>
      </c>
      <c r="E271" s="7"/>
      <c r="F271" s="7" t="s">
        <v>527</v>
      </c>
      <c r="G271" s="7" t="s">
        <v>72</v>
      </c>
      <c r="H271" s="7"/>
      <c r="I271" s="8" t="str">
        <f>IF(AND(LEN(TRIM(D271))&gt;0, E271&lt;&gt;"Y"),CONCATENATE(D271," ",F271),F271)</f>
        <v>Vapid Sandking</v>
      </c>
    </row>
    <row r="272" spans="1:9" s="9" customFormat="1" ht="15" x14ac:dyDescent="0.25">
      <c r="A272" s="5" t="s">
        <v>528</v>
      </c>
      <c r="B272" s="13" t="s">
        <v>825</v>
      </c>
      <c r="C272" s="5" t="s">
        <v>833</v>
      </c>
      <c r="D272" s="2" t="s">
        <v>160</v>
      </c>
      <c r="E272" s="2"/>
      <c r="F272" s="2" t="s">
        <v>529</v>
      </c>
      <c r="G272" s="2" t="s">
        <v>28</v>
      </c>
      <c r="H272" s="2"/>
      <c r="I272" t="str">
        <f>IF(AND(LEN(TRIM(D272))&gt;0, E272&lt;&gt;"Y"),CONCATENATE(D272," ",F272),F272)</f>
        <v>Buckingham Savage</v>
      </c>
    </row>
    <row r="273" spans="1:9" ht="12.75" x14ac:dyDescent="0.2">
      <c r="A273" s="5" t="s">
        <v>530</v>
      </c>
      <c r="B273" s="18" t="s">
        <v>856</v>
      </c>
      <c r="C273" s="5" t="s">
        <v>1022</v>
      </c>
      <c r="D273" s="2" t="s">
        <v>215</v>
      </c>
      <c r="E273" s="2"/>
      <c r="F273" s="2" t="s">
        <v>531</v>
      </c>
      <c r="G273" s="2" t="s">
        <v>749</v>
      </c>
      <c r="H273" s="2"/>
      <c r="I273" t="str">
        <f>IF(AND(LEN(TRIM(D273))&gt;0, E273&lt;&gt;"Y"),CONCATENATE(D273," ",F273),F273)</f>
        <v>Benefactor Schafter</v>
      </c>
    </row>
    <row r="274" spans="1:9" ht="12.75" x14ac:dyDescent="0.2">
      <c r="A274" s="5" t="s">
        <v>532</v>
      </c>
      <c r="B274" s="5" t="s">
        <v>817</v>
      </c>
      <c r="C274" s="18" t="s">
        <v>977</v>
      </c>
      <c r="D274" s="2" t="s">
        <v>215</v>
      </c>
      <c r="E274" s="2"/>
      <c r="F274" s="2" t="s">
        <v>533</v>
      </c>
      <c r="G274" s="2" t="s">
        <v>21</v>
      </c>
      <c r="H274" s="2"/>
      <c r="I274" t="str">
        <f>IF(AND(LEN(TRIM(D274))&gt;0, E274&lt;&gt;"Y"),CONCATENATE(D274," ",F274),F274)</f>
        <v>Benefactor Schwartzer</v>
      </c>
    </row>
    <row r="275" spans="1:9" ht="12.75" x14ac:dyDescent="0.2">
      <c r="A275" s="6" t="s">
        <v>534</v>
      </c>
      <c r="B275" s="18" t="s">
        <v>838</v>
      </c>
      <c r="C275" s="6" t="s">
        <v>954</v>
      </c>
      <c r="D275" s="7" t="s">
        <v>103</v>
      </c>
      <c r="E275" s="7" t="s">
        <v>707</v>
      </c>
      <c r="F275" s="7" t="s">
        <v>535</v>
      </c>
      <c r="G275" s="7" t="s">
        <v>703</v>
      </c>
      <c r="H275" s="7"/>
      <c r="I275" s="8" t="str">
        <f>IF(AND(LEN(TRIM(D275))&gt;0, E275&lt;&gt;"Y"),CONCATENATE(D275," ",F275),F275)</f>
        <v>Scorcher</v>
      </c>
    </row>
    <row r="276" spans="1:9" ht="12.75" x14ac:dyDescent="0.2">
      <c r="A276" s="6" t="s">
        <v>536</v>
      </c>
      <c r="B276" s="6"/>
      <c r="C276" s="6" t="s">
        <v>1046</v>
      </c>
      <c r="D276" s="7" t="s">
        <v>67</v>
      </c>
      <c r="E276" s="7"/>
      <c r="F276" s="7" t="s">
        <v>537</v>
      </c>
      <c r="G276" s="7" t="s">
        <v>744</v>
      </c>
      <c r="H276" s="7"/>
      <c r="I276" s="8" t="str">
        <f>IF(AND(LEN(TRIM(D276))&gt;0, E276&lt;&gt;"Y"),CONCATENATE(D276," ",F276),F276)</f>
        <v>Vapid Scrap Truck</v>
      </c>
    </row>
    <row r="277" spans="1:9" ht="12.75" x14ac:dyDescent="0.2">
      <c r="A277" s="5" t="s">
        <v>538</v>
      </c>
      <c r="B277" s="18" t="s">
        <v>823</v>
      </c>
      <c r="C277" s="5" t="s">
        <v>889</v>
      </c>
      <c r="D277" s="2" t="s">
        <v>539</v>
      </c>
      <c r="E277" s="2"/>
      <c r="F277" s="2" t="s">
        <v>540</v>
      </c>
      <c r="G277" s="2" t="s">
        <v>199</v>
      </c>
      <c r="H277" s="2"/>
      <c r="I277" t="str">
        <f>IF(AND(LEN(TRIM(D277))&gt;0, E277&lt;&gt;"Y"),CONCATENATE(D277," ",F277),F277)</f>
        <v>Speedophile Seashark</v>
      </c>
    </row>
    <row r="278" spans="1:9" ht="12.75" x14ac:dyDescent="0.2">
      <c r="A278" s="5" t="s">
        <v>541</v>
      </c>
      <c r="C278" s="5" t="s">
        <v>1046</v>
      </c>
      <c r="D278" s="2" t="s">
        <v>539</v>
      </c>
      <c r="E278" s="2"/>
      <c r="F278" s="2" t="s">
        <v>542</v>
      </c>
      <c r="G278" s="2" t="s">
        <v>199</v>
      </c>
      <c r="H278" s="2"/>
      <c r="I278" t="str">
        <f>IF(AND(LEN(TRIM(D278))&gt;0, E278&lt;&gt;"Y"),CONCATENATE(D278," ",F278),F278)</f>
        <v>Speedophile Seashark (Lifeguard)</v>
      </c>
    </row>
    <row r="279" spans="1:9" ht="12.75" x14ac:dyDescent="0.2">
      <c r="A279" s="6" t="s">
        <v>543</v>
      </c>
      <c r="B279" s="18" t="s">
        <v>856</v>
      </c>
      <c r="C279" s="6" t="s">
        <v>1023</v>
      </c>
      <c r="D279" s="7" t="s">
        <v>109</v>
      </c>
      <c r="E279" s="7"/>
      <c r="F279" s="7" t="s">
        <v>544</v>
      </c>
      <c r="G279" s="7" t="s">
        <v>52</v>
      </c>
      <c r="H279" s="7"/>
      <c r="I279" s="8" t="str">
        <f>IF(AND(LEN(TRIM(D279))&gt;0, E279&lt;&gt;"Y"),CONCATENATE(D279," ",F279),F279)</f>
        <v>Canis Seminole</v>
      </c>
    </row>
    <row r="280" spans="1:9" ht="12.75" x14ac:dyDescent="0.2">
      <c r="A280" s="18" t="s">
        <v>545</v>
      </c>
      <c r="B280" s="18" t="s">
        <v>859</v>
      </c>
      <c r="C280" s="18" t="s">
        <v>1010</v>
      </c>
      <c r="D280" s="2" t="s">
        <v>414</v>
      </c>
      <c r="E280" s="2"/>
      <c r="F280" s="2" t="s">
        <v>548</v>
      </c>
      <c r="G280" s="2" t="s">
        <v>739</v>
      </c>
      <c r="H280" s="2"/>
      <c r="I280" t="str">
        <f>IF(AND(LEN(TRIM(D280))&gt;0, E280&lt;&gt;"Y"),CONCATENATE(D280," ",F280),F280)</f>
        <v>Ubermacht Sentinel XS</v>
      </c>
    </row>
    <row r="281" spans="1:9" ht="12.75" x14ac:dyDescent="0.2">
      <c r="A281" s="18" t="s">
        <v>547</v>
      </c>
      <c r="B281" s="18"/>
      <c r="C281" s="18" t="s">
        <v>1046</v>
      </c>
      <c r="D281" s="2" t="s">
        <v>414</v>
      </c>
      <c r="E281" s="2"/>
      <c r="F281" s="2" t="s">
        <v>546</v>
      </c>
      <c r="G281" s="2" t="s">
        <v>739</v>
      </c>
      <c r="H281" s="2"/>
      <c r="I281" t="str">
        <f>IF(AND(LEN(TRIM(D281))&gt;0, E281&lt;&gt;"Y"),CONCATENATE(D281," ",F281),F281)</f>
        <v>Ubermacht Sentinel</v>
      </c>
    </row>
    <row r="282" spans="1:9" ht="12.75" x14ac:dyDescent="0.2">
      <c r="A282" s="6" t="s">
        <v>549</v>
      </c>
      <c r="B282" s="6"/>
      <c r="C282" s="6" t="s">
        <v>1046</v>
      </c>
      <c r="D282" s="7" t="s">
        <v>215</v>
      </c>
      <c r="E282" s="7"/>
      <c r="F282" s="7" t="s">
        <v>550</v>
      </c>
      <c r="G282" s="7" t="s">
        <v>52</v>
      </c>
      <c r="H282" s="7"/>
      <c r="I282" s="8" t="str">
        <f>IF(AND(LEN(TRIM(D282))&gt;0, E282&lt;&gt;"Y"),CONCATENATE(D282," ",F282),F282)</f>
        <v>Benefactor Serrano</v>
      </c>
    </row>
    <row r="283" spans="1:9" ht="12.75" x14ac:dyDescent="0.2">
      <c r="A283" s="6" t="s">
        <v>551</v>
      </c>
      <c r="B283" s="18" t="s">
        <v>819</v>
      </c>
      <c r="C283" s="6" t="s">
        <v>988</v>
      </c>
      <c r="D283" s="7" t="s">
        <v>160</v>
      </c>
      <c r="E283" s="7"/>
      <c r="F283" s="7" t="s">
        <v>552</v>
      </c>
      <c r="G283" s="7" t="s">
        <v>162</v>
      </c>
      <c r="H283" s="7"/>
      <c r="I283" s="8" t="str">
        <f>IF(AND(LEN(TRIM(D283))&gt;0, E283&lt;&gt;"Y"),CONCATENATE(D283," ",F283),F283)</f>
        <v>Buckingham Shamal</v>
      </c>
    </row>
    <row r="284" spans="1:9" ht="15" customHeight="1" x14ac:dyDescent="0.2">
      <c r="A284" s="6" t="s">
        <v>553</v>
      </c>
      <c r="B284" s="6"/>
      <c r="C284" s="6" t="s">
        <v>1046</v>
      </c>
      <c r="D284" s="7" t="s">
        <v>67</v>
      </c>
      <c r="E284" s="7"/>
      <c r="F284" s="7" t="s">
        <v>554</v>
      </c>
      <c r="G284" s="7" t="s">
        <v>24</v>
      </c>
      <c r="H284" s="7"/>
      <c r="I284" s="8" t="str">
        <f>IF(AND(LEN(TRIM(D284))&gt;0, E284&lt;&gt;"Y"),CONCATENATE(D284," ",F284),F284)</f>
        <v>Vapid Sheriff Cruiser</v>
      </c>
    </row>
    <row r="285" spans="1:9" ht="12.75" x14ac:dyDescent="0.2">
      <c r="A285" s="6" t="s">
        <v>555</v>
      </c>
      <c r="B285" s="6"/>
      <c r="C285" s="6" t="s">
        <v>1046</v>
      </c>
      <c r="D285" s="7" t="s">
        <v>38</v>
      </c>
      <c r="E285" s="7"/>
      <c r="F285" s="7" t="s">
        <v>556</v>
      </c>
      <c r="G285" s="7" t="s">
        <v>24</v>
      </c>
      <c r="H285" s="7"/>
      <c r="I285" s="8" t="str">
        <f>IF(AND(LEN(TRIM(D285))&gt;0, E285&lt;&gt;"Y"),CONCATENATE(D285," ",F285),F285)</f>
        <v>Declasse Sheriff SUV</v>
      </c>
    </row>
    <row r="286" spans="1:9" ht="12.75" x14ac:dyDescent="0.2">
      <c r="A286" s="13" t="s">
        <v>802</v>
      </c>
      <c r="B286" s="13"/>
      <c r="C286" s="13" t="s">
        <v>1046</v>
      </c>
      <c r="D286" s="2" t="s">
        <v>26</v>
      </c>
      <c r="E286" s="2"/>
      <c r="F286" s="2" t="s">
        <v>803</v>
      </c>
      <c r="G286" s="2" t="s">
        <v>28</v>
      </c>
      <c r="H286" s="2"/>
      <c r="I286" t="str">
        <f>IF(AND(LEN(TRIM(D286))&gt;0, E286&lt;&gt;"Y"),CONCATENATE(D286," ",F286),F286)</f>
        <v>Western Maverick (Sheriff)</v>
      </c>
    </row>
    <row r="287" spans="1:9" ht="12.75" customHeight="1" x14ac:dyDescent="0.2">
      <c r="A287" s="5" t="s">
        <v>557</v>
      </c>
      <c r="C287" s="5" t="s">
        <v>1046</v>
      </c>
      <c r="D287" s="2" t="s">
        <v>12</v>
      </c>
      <c r="E287" s="2"/>
      <c r="F287" s="2" t="s">
        <v>558</v>
      </c>
      <c r="G287" s="2" t="s">
        <v>28</v>
      </c>
      <c r="H287" s="2"/>
      <c r="I287" t="str">
        <f>IF(AND(LEN(TRIM(D287))&gt;0, E287&lt;&gt;"Y"),CONCATENATE(D287," ",F287),F287)</f>
        <v>HVY Skylift</v>
      </c>
    </row>
    <row r="288" spans="1:9" ht="12.75" customHeight="1" x14ac:dyDescent="0.2">
      <c r="A288" s="5" t="s">
        <v>559</v>
      </c>
      <c r="B288" s="18" t="s">
        <v>857</v>
      </c>
      <c r="C288" s="5" t="s">
        <v>1013</v>
      </c>
      <c r="D288" s="2" t="s">
        <v>67</v>
      </c>
      <c r="E288" s="2"/>
      <c r="F288" s="2" t="s">
        <v>560</v>
      </c>
      <c r="G288" s="2" t="s">
        <v>88</v>
      </c>
      <c r="H288" s="2"/>
      <c r="I288" t="str">
        <f>IF(AND(LEN(TRIM(D288))&gt;0, E288&lt;&gt;"Y"),CONCATENATE(D288," ",F288),F288)</f>
        <v>Vapid Slamvan</v>
      </c>
    </row>
    <row r="289" spans="1:9" ht="12.75" x14ac:dyDescent="0.2">
      <c r="A289" s="5" t="s">
        <v>561</v>
      </c>
      <c r="C289" s="5" t="s">
        <v>1046</v>
      </c>
      <c r="D289" s="2" t="s">
        <v>67</v>
      </c>
      <c r="E289" s="2"/>
      <c r="F289" s="2" t="s">
        <v>562</v>
      </c>
      <c r="G289" s="2" t="s">
        <v>88</v>
      </c>
      <c r="H289" s="2"/>
      <c r="I289" t="str">
        <f>IF(AND(LEN(TRIM(D289))&gt;0, E289&lt;&gt;"Y"),CONCATENATE(D289," ",F289),F289)</f>
        <v>Vapid Slamvan (Lost MC)</v>
      </c>
    </row>
    <row r="290" spans="1:9" ht="12.75" x14ac:dyDescent="0.2">
      <c r="A290" s="6" t="s">
        <v>563</v>
      </c>
      <c r="B290" s="10" t="s">
        <v>854</v>
      </c>
      <c r="C290" s="6" t="s">
        <v>1039</v>
      </c>
      <c r="D290" s="7" t="s">
        <v>26</v>
      </c>
      <c r="E290" s="7"/>
      <c r="F290" s="7" t="s">
        <v>564</v>
      </c>
      <c r="G290" s="7" t="s">
        <v>17</v>
      </c>
      <c r="H290" s="7"/>
      <c r="I290" s="8" t="str">
        <f>IF(AND(LEN(TRIM(D290))&gt;0, E290&lt;&gt;"Y"),CONCATENATE(D290," ",F290),F290)</f>
        <v>Western Sovereign</v>
      </c>
    </row>
    <row r="291" spans="1:9" ht="12.75" x14ac:dyDescent="0.2">
      <c r="A291" s="5" t="s">
        <v>565</v>
      </c>
      <c r="B291" s="18" t="s">
        <v>823</v>
      </c>
      <c r="C291" s="5" t="s">
        <v>890</v>
      </c>
      <c r="D291" s="2" t="s">
        <v>62</v>
      </c>
      <c r="E291" s="2"/>
      <c r="F291" s="2" t="s">
        <v>566</v>
      </c>
      <c r="G291" s="2" t="s">
        <v>199</v>
      </c>
      <c r="H291" s="2"/>
      <c r="I291" t="str">
        <f>IF(AND(LEN(TRIM(D291))&gt;0, E291&lt;&gt;"Y"),CONCATENATE(D291," ",F291),F291)</f>
        <v>Pegassi Speeder</v>
      </c>
    </row>
    <row r="292" spans="1:9" ht="12.75" x14ac:dyDescent="0.2">
      <c r="A292" s="5" t="s">
        <v>567</v>
      </c>
      <c r="C292" s="5" t="s">
        <v>1046</v>
      </c>
      <c r="D292" s="2" t="s">
        <v>67</v>
      </c>
      <c r="E292" s="2"/>
      <c r="F292" s="2" t="s">
        <v>568</v>
      </c>
      <c r="G292" s="2" t="s">
        <v>127</v>
      </c>
      <c r="H292" s="2"/>
      <c r="I292" t="str">
        <f>IF(AND(LEN(TRIM(D292))&gt;0, E292&lt;&gt;"Y"),CONCATENATE(D292," ",F292),F292)</f>
        <v>Vapid Speedo</v>
      </c>
    </row>
    <row r="293" spans="1:9" ht="12.75" x14ac:dyDescent="0.2">
      <c r="A293" s="5" t="s">
        <v>569</v>
      </c>
      <c r="C293" s="5" t="s">
        <v>1046</v>
      </c>
      <c r="D293" s="2" t="s">
        <v>67</v>
      </c>
      <c r="E293" s="2"/>
      <c r="F293" s="2" t="s">
        <v>570</v>
      </c>
      <c r="G293" s="2" t="s">
        <v>127</v>
      </c>
      <c r="H293" s="2"/>
      <c r="I293" t="str">
        <f>IF(AND(LEN(TRIM(D293))&gt;0, E293&lt;&gt;"Y"),CONCATENATE(D293," ",F293),F293)</f>
        <v>Vapid Speedo (Clown)</v>
      </c>
    </row>
    <row r="294" spans="1:9" ht="12.75" x14ac:dyDescent="0.2">
      <c r="A294" s="5" t="s">
        <v>571</v>
      </c>
      <c r="B294" s="18" t="s">
        <v>823</v>
      </c>
      <c r="C294" s="5" t="s">
        <v>891</v>
      </c>
      <c r="D294" s="2" t="s">
        <v>307</v>
      </c>
      <c r="E294" s="2"/>
      <c r="F294" s="2" t="s">
        <v>572</v>
      </c>
      <c r="G294" s="2" t="s">
        <v>199</v>
      </c>
      <c r="H294" s="2"/>
      <c r="I294" t="str">
        <f>IF(AND(LEN(TRIM(D294))&gt;0, E294&lt;&gt;"Y"),CONCATENATE(D294," ",F294),F294)</f>
        <v>Shitzu Squalo</v>
      </c>
    </row>
    <row r="295" spans="1:9" ht="12.75" x14ac:dyDescent="0.2">
      <c r="A295" s="5" t="s">
        <v>573</v>
      </c>
      <c r="B295" s="18" t="s">
        <v>841</v>
      </c>
      <c r="C295" s="18" t="s">
        <v>852</v>
      </c>
      <c r="D295" s="2" t="s">
        <v>38</v>
      </c>
      <c r="E295" s="2"/>
      <c r="F295" s="2" t="s">
        <v>574</v>
      </c>
      <c r="G295" s="2" t="s">
        <v>88</v>
      </c>
      <c r="H295" s="2"/>
      <c r="I295" t="str">
        <f>IF(AND(LEN(TRIM(D295))&gt;0, E295&lt;&gt;"Y"),CONCATENATE(D295," ",F295),F295)</f>
        <v>Declasse Stallion</v>
      </c>
    </row>
    <row r="296" spans="1:9" ht="12.75" x14ac:dyDescent="0.2">
      <c r="A296" s="5" t="s">
        <v>575</v>
      </c>
      <c r="B296" s="18" t="s">
        <v>841</v>
      </c>
      <c r="C296" s="18" t="s">
        <v>842</v>
      </c>
      <c r="D296" s="2" t="s">
        <v>38</v>
      </c>
      <c r="E296" s="2"/>
      <c r="F296" s="2" t="s">
        <v>576</v>
      </c>
      <c r="G296" s="2" t="s">
        <v>88</v>
      </c>
      <c r="H296" s="2"/>
      <c r="I296" t="str">
        <f>IF(AND(LEN(TRIM(D296))&gt;0, E296&lt;&gt;"Y"),CONCATENATE(D296," ",F296),F296)</f>
        <v>Declasse Stallion (Race)</v>
      </c>
    </row>
    <row r="297" spans="1:9" ht="12.75" x14ac:dyDescent="0.2">
      <c r="A297" s="5" t="s">
        <v>577</v>
      </c>
      <c r="B297" s="18" t="s">
        <v>863</v>
      </c>
      <c r="C297" s="5" t="s">
        <v>843</v>
      </c>
      <c r="D297" s="2" t="s">
        <v>67</v>
      </c>
      <c r="E297" s="2"/>
      <c r="F297" s="2" t="s">
        <v>578</v>
      </c>
      <c r="G297" s="2" t="s">
        <v>749</v>
      </c>
      <c r="H297" s="2"/>
      <c r="I297" t="str">
        <f>IF(AND(LEN(TRIM(D297))&gt;0, E297&lt;&gt;"Y"),CONCATENATE(D297," ",F297),F297)</f>
        <v>Vapid Stanier</v>
      </c>
    </row>
    <row r="298" spans="1:9" ht="12.75" x14ac:dyDescent="0.2">
      <c r="A298" s="6" t="s">
        <v>579</v>
      </c>
      <c r="B298" s="18" t="s">
        <v>818</v>
      </c>
      <c r="C298" s="10" t="s">
        <v>844</v>
      </c>
      <c r="D298" s="7" t="s">
        <v>149</v>
      </c>
      <c r="E298" s="7"/>
      <c r="F298" s="7" t="s">
        <v>580</v>
      </c>
      <c r="G298" s="7" t="s">
        <v>166</v>
      </c>
      <c r="H298" s="7"/>
      <c r="I298" s="8" t="str">
        <f>IF(AND(LEN(TRIM(D298))&gt;0, E298&lt;&gt;"Y"),CONCATENATE(D298," ",F298),F298)</f>
        <v>Grotti Stinger</v>
      </c>
    </row>
    <row r="299" spans="1:9" ht="12.75" x14ac:dyDescent="0.2">
      <c r="A299" s="6" t="s">
        <v>581</v>
      </c>
      <c r="B299" s="18" t="s">
        <v>818</v>
      </c>
      <c r="C299" s="10" t="s">
        <v>906</v>
      </c>
      <c r="D299" s="7" t="s">
        <v>149</v>
      </c>
      <c r="E299" s="7"/>
      <c r="F299" s="7" t="s">
        <v>582</v>
      </c>
      <c r="G299" s="7" t="s">
        <v>166</v>
      </c>
      <c r="H299" s="7"/>
      <c r="I299" s="8" t="str">
        <f>IF(AND(LEN(TRIM(D299))&gt;0, E299&lt;&gt;"Y"),CONCATENATE(D299," ",F299),F299)</f>
        <v>Grotti Stinger GT</v>
      </c>
    </row>
    <row r="300" spans="1:9" ht="12.75" x14ac:dyDescent="0.2">
      <c r="A300" s="6" t="s">
        <v>583</v>
      </c>
      <c r="B300" s="6"/>
      <c r="C300" s="6" t="s">
        <v>1046</v>
      </c>
      <c r="D300" s="7" t="s">
        <v>9</v>
      </c>
      <c r="E300" s="7"/>
      <c r="F300" s="7" t="s">
        <v>584</v>
      </c>
      <c r="G300" s="7" t="s">
        <v>744</v>
      </c>
      <c r="H300" s="7"/>
      <c r="I300" s="8" t="str">
        <f>IF(AND(LEN(TRIM(D300))&gt;0, E300&lt;&gt;"Y"),CONCATENATE(D300," ",F300),F300)</f>
        <v>Brute Stockade</v>
      </c>
    </row>
    <row r="301" spans="1:9" ht="12.75" x14ac:dyDescent="0.2">
      <c r="A301" s="6" t="s">
        <v>585</v>
      </c>
      <c r="B301" s="6"/>
      <c r="C301" s="6" t="s">
        <v>1046</v>
      </c>
      <c r="D301" s="7" t="s">
        <v>9</v>
      </c>
      <c r="E301" s="7"/>
      <c r="F301" s="7" t="s">
        <v>586</v>
      </c>
      <c r="G301" s="7" t="s">
        <v>744</v>
      </c>
      <c r="H301" s="7"/>
      <c r="I301" s="8" t="str">
        <f>IF(AND(LEN(TRIM(D301))&gt;0, E301&lt;&gt;"Y"),CONCATENATE(D301," ",F301),F301)</f>
        <v>Brute Stockade (Snow)</v>
      </c>
    </row>
    <row r="302" spans="1:9" ht="12.75" x14ac:dyDescent="0.2">
      <c r="A302" s="5" t="s">
        <v>587</v>
      </c>
      <c r="B302" s="18" t="s">
        <v>863</v>
      </c>
      <c r="C302" s="5" t="s">
        <v>845</v>
      </c>
      <c r="D302" s="2" t="s">
        <v>351</v>
      </c>
      <c r="E302" s="2"/>
      <c r="F302" s="2" t="s">
        <v>588</v>
      </c>
      <c r="G302" s="2" t="s">
        <v>749</v>
      </c>
      <c r="H302" s="2"/>
      <c r="I302" t="str">
        <f>IF(AND(LEN(TRIM(D302))&gt;0, E302&lt;&gt;"Y"),CONCATENATE(D302," ",F302),F302)</f>
        <v>Zirconium Stratum</v>
      </c>
    </row>
    <row r="303" spans="1:9" ht="12.75" x14ac:dyDescent="0.2">
      <c r="A303" s="5" t="s">
        <v>589</v>
      </c>
      <c r="B303" s="5" t="s">
        <v>817</v>
      </c>
      <c r="C303" s="5" t="s">
        <v>846</v>
      </c>
      <c r="D303" s="2" t="s">
        <v>363</v>
      </c>
      <c r="E303" s="2"/>
      <c r="F303" s="2" t="s">
        <v>590</v>
      </c>
      <c r="G303" s="2" t="s">
        <v>749</v>
      </c>
      <c r="H303" s="2"/>
      <c r="I303" t="str">
        <f>IF(AND(LEN(TRIM(D303))&gt;0, E303&lt;&gt;"Y"),CONCATENATE(D303," ",F303),F303)</f>
        <v>Dundreary Stretch</v>
      </c>
    </row>
    <row r="304" spans="1:9" ht="12.75" x14ac:dyDescent="0.2">
      <c r="A304" s="6" t="s">
        <v>591</v>
      </c>
      <c r="B304" s="18" t="s">
        <v>819</v>
      </c>
      <c r="C304" s="6" t="s">
        <v>847</v>
      </c>
      <c r="D304" s="7" t="s">
        <v>26</v>
      </c>
      <c r="E304" s="7"/>
      <c r="F304" s="7" t="s">
        <v>592</v>
      </c>
      <c r="G304" s="7" t="s">
        <v>162</v>
      </c>
      <c r="H304" s="7"/>
      <c r="I304" s="8" t="str">
        <f>IF(AND(LEN(TRIM(D304))&gt;0, E304&lt;&gt;"Y"),CONCATENATE(D304," ",F304),F304)</f>
        <v>Western Mallard Stunt Plane</v>
      </c>
    </row>
    <row r="305" spans="1:9" ht="12.75" customHeight="1" x14ac:dyDescent="0.2">
      <c r="A305" s="5" t="s">
        <v>593</v>
      </c>
      <c r="C305" s="5" t="s">
        <v>1046</v>
      </c>
      <c r="D305" s="2" t="s">
        <v>594</v>
      </c>
      <c r="E305" s="2" t="s">
        <v>707</v>
      </c>
      <c r="F305" s="2" t="s">
        <v>595</v>
      </c>
      <c r="G305" s="2" t="s">
        <v>199</v>
      </c>
      <c r="H305" s="2"/>
      <c r="I305" t="str">
        <f>IF(AND(LEN(TRIM(D305))&gt;0, E305&lt;&gt;"Y"),CONCATENATE(D305," ",F305),F305)</f>
        <v>Submersible</v>
      </c>
    </row>
    <row r="306" spans="1:9" ht="12.75" customHeight="1" x14ac:dyDescent="0.2">
      <c r="A306" s="5" t="s">
        <v>596</v>
      </c>
      <c r="B306" s="18" t="s">
        <v>823</v>
      </c>
      <c r="C306" s="18" t="s">
        <v>824</v>
      </c>
      <c r="D306" s="2" t="s">
        <v>594</v>
      </c>
      <c r="E306" s="2" t="s">
        <v>707</v>
      </c>
      <c r="F306" s="2" t="s">
        <v>709</v>
      </c>
      <c r="G306" s="2" t="s">
        <v>199</v>
      </c>
      <c r="H306" s="2"/>
      <c r="I306" t="str">
        <f>IF(AND(LEN(TRIM(D306))&gt;0, E306&lt;&gt;"Y"),CONCATENATE(D306," ",F306),F306)</f>
        <v>Kraken Sub</v>
      </c>
    </row>
    <row r="307" spans="1:9" ht="12.75" customHeight="1" x14ac:dyDescent="0.2">
      <c r="A307" s="5" t="s">
        <v>597</v>
      </c>
      <c r="C307" s="5" t="s">
        <v>1046</v>
      </c>
      <c r="D307" s="2" t="s">
        <v>43</v>
      </c>
      <c r="E307" s="2"/>
      <c r="F307" s="2" t="s">
        <v>598</v>
      </c>
      <c r="G307" s="2" t="s">
        <v>21</v>
      </c>
      <c r="H307" s="2"/>
      <c r="I307" t="str">
        <f>IF(AND(LEN(TRIM(D307))&gt;0, E307&lt;&gt;"Y"),CONCATENATE(D307," ",F307),F307)</f>
        <v>Karin Sultan</v>
      </c>
    </row>
    <row r="308" spans="1:9" ht="12.75" customHeight="1" x14ac:dyDescent="0.2">
      <c r="A308" s="5" t="s">
        <v>599</v>
      </c>
      <c r="B308" s="18" t="s">
        <v>823</v>
      </c>
      <c r="C308" s="5" t="s">
        <v>848</v>
      </c>
      <c r="D308" s="2" t="s">
        <v>307</v>
      </c>
      <c r="E308" s="2"/>
      <c r="F308" s="2" t="s">
        <v>600</v>
      </c>
      <c r="G308" s="2" t="s">
        <v>199</v>
      </c>
      <c r="H308" s="2"/>
      <c r="I308" t="str">
        <f>IF(AND(LEN(TRIM(D308))&gt;0, E308&lt;&gt;"Y"),CONCATENATE(D308," ",F308),F308)</f>
        <v>Shitzu Suntrap</v>
      </c>
    </row>
    <row r="309" spans="1:9" ht="12.75" x14ac:dyDescent="0.2">
      <c r="A309" s="5" t="s">
        <v>601</v>
      </c>
      <c r="B309" s="18" t="s">
        <v>818</v>
      </c>
      <c r="C309" s="18" t="s">
        <v>849</v>
      </c>
      <c r="D309" s="2" t="s">
        <v>176</v>
      </c>
      <c r="E309" s="2"/>
      <c r="F309" s="2" t="s">
        <v>602</v>
      </c>
      <c r="G309" s="2" t="s">
        <v>749</v>
      </c>
      <c r="H309" s="2"/>
      <c r="I309" t="str">
        <f>IF(AND(LEN(TRIM(D309))&gt;0, E309&lt;&gt;"Y"),CONCATENATE(D309," ",F309),F309)</f>
        <v>Enus Super Diamond</v>
      </c>
    </row>
    <row r="310" spans="1:9" ht="12.75" x14ac:dyDescent="0.2">
      <c r="A310" s="5" t="s">
        <v>603</v>
      </c>
      <c r="B310" s="18" t="s">
        <v>818</v>
      </c>
      <c r="C310" s="18" t="s">
        <v>953</v>
      </c>
      <c r="D310" s="2" t="s">
        <v>215</v>
      </c>
      <c r="E310" s="2"/>
      <c r="F310" s="2" t="s">
        <v>604</v>
      </c>
      <c r="G310" s="2" t="s">
        <v>21</v>
      </c>
      <c r="H310" s="2"/>
      <c r="I310" t="str">
        <f>IF(AND(LEN(TRIM(D310))&gt;0, E310&lt;&gt;"Y"),CONCATENATE(D310," ",F310),F310)</f>
        <v>Benefactor Surano</v>
      </c>
    </row>
    <row r="311" spans="1:9" ht="12.75" x14ac:dyDescent="0.2">
      <c r="A311" s="5" t="s">
        <v>605</v>
      </c>
      <c r="B311" s="18" t="s">
        <v>855</v>
      </c>
      <c r="C311" s="5" t="s">
        <v>850</v>
      </c>
      <c r="D311" s="2" t="s">
        <v>70</v>
      </c>
      <c r="E311" s="2"/>
      <c r="F311" s="2" t="s">
        <v>606</v>
      </c>
      <c r="G311" s="2" t="s">
        <v>127</v>
      </c>
      <c r="H311" s="2"/>
      <c r="I311" t="str">
        <f>IF(AND(LEN(TRIM(D311))&gt;0, E311&lt;&gt;"Y"),CONCATENATE(D311," ",F311),F311)</f>
        <v>BF Surfer</v>
      </c>
    </row>
    <row r="312" spans="1:9" ht="12.75" x14ac:dyDescent="0.2">
      <c r="A312" s="5" t="s">
        <v>607</v>
      </c>
      <c r="C312" s="5" t="s">
        <v>1046</v>
      </c>
      <c r="D312" s="2" t="s">
        <v>70</v>
      </c>
      <c r="E312" s="2"/>
      <c r="F312" s="2" t="s">
        <v>608</v>
      </c>
      <c r="G312" s="2" t="s">
        <v>127</v>
      </c>
      <c r="H312" s="2"/>
      <c r="I312" t="str">
        <f>IF(AND(LEN(TRIM(D312))&gt;0, E312&lt;&gt;"Y"),CONCATENATE(D312," ",F312),F312)</f>
        <v>BF Surfer (Rusty)</v>
      </c>
    </row>
    <row r="313" spans="1:9" ht="12.75" customHeight="1" x14ac:dyDescent="0.2">
      <c r="A313" s="5" t="s">
        <v>609</v>
      </c>
      <c r="B313" s="18" t="s">
        <v>856</v>
      </c>
      <c r="C313" s="5" t="s">
        <v>851</v>
      </c>
      <c r="D313" s="2" t="s">
        <v>280</v>
      </c>
      <c r="E313" s="2"/>
      <c r="F313" s="2" t="s">
        <v>610</v>
      </c>
      <c r="G313" s="2" t="s">
        <v>749</v>
      </c>
      <c r="H313" s="2"/>
      <c r="I313" t="str">
        <f>IF(AND(LEN(TRIM(D313))&gt;0, E313&lt;&gt;"Y"),CONCATENATE(D313," ",F313),F313)</f>
        <v>Cheval Surge</v>
      </c>
    </row>
    <row r="314" spans="1:9" ht="12.75" customHeight="1" x14ac:dyDescent="0.25">
      <c r="A314" s="9" t="s">
        <v>765</v>
      </c>
      <c r="B314" s="9" t="s">
        <v>822</v>
      </c>
      <c r="C314" s="9" t="s">
        <v>834</v>
      </c>
      <c r="D314" s="9" t="s">
        <v>160</v>
      </c>
      <c r="E314" s="9"/>
      <c r="F314" s="9" t="s">
        <v>769</v>
      </c>
      <c r="G314" s="9" t="s">
        <v>28</v>
      </c>
      <c r="H314" s="9"/>
      <c r="I314" s="9" t="str">
        <f>IF(AND(LEN(TRIM(D314))&gt;0, E314&lt;&gt;"Y"),CONCATENATE(D314," ",F314),F314)</f>
        <v>Buckingham Swift</v>
      </c>
    </row>
    <row r="315" spans="1:9" ht="12.75" customHeight="1" x14ac:dyDescent="0.25">
      <c r="A315" s="9" t="s">
        <v>805</v>
      </c>
      <c r="B315" s="10" t="s">
        <v>821</v>
      </c>
      <c r="C315" s="9" t="s">
        <v>835</v>
      </c>
      <c r="D315" s="9" t="s">
        <v>160</v>
      </c>
      <c r="E315" s="9"/>
      <c r="F315" s="9" t="s">
        <v>806</v>
      </c>
      <c r="G315" s="9" t="s">
        <v>28</v>
      </c>
      <c r="H315" s="9"/>
      <c r="I315" s="9" t="str">
        <f>IF(AND(LEN(TRIM(D315))&gt;0, E315&lt;&gt;"Y"),CONCATENATE(D315," ",F315),F315)</f>
        <v>Buckingham Swift Deluxe</v>
      </c>
    </row>
    <row r="316" spans="1:9" ht="12.75" customHeight="1" x14ac:dyDescent="0.2">
      <c r="A316" s="5" t="s">
        <v>611</v>
      </c>
      <c r="C316" s="5" t="s">
        <v>1046</v>
      </c>
      <c r="D316" s="2" t="s">
        <v>9</v>
      </c>
      <c r="E316" s="2"/>
      <c r="F316" s="2" t="s">
        <v>612</v>
      </c>
      <c r="G316" s="2" t="s">
        <v>127</v>
      </c>
      <c r="H316" s="2"/>
      <c r="I316" t="str">
        <f>IF(AND(LEN(TRIM(D316))&gt;0, E316&lt;&gt;"Y"),CONCATENATE(D316," ",F316),F316)</f>
        <v>Brute Taco Van</v>
      </c>
    </row>
    <row r="317" spans="1:9" ht="12.75" x14ac:dyDescent="0.2">
      <c r="A317" s="5" t="s">
        <v>613</v>
      </c>
      <c r="B317" s="18" t="s">
        <v>855</v>
      </c>
      <c r="C317" s="5" t="s">
        <v>1036</v>
      </c>
      <c r="D317" s="2" t="s">
        <v>410</v>
      </c>
      <c r="E317" s="2"/>
      <c r="F317" s="2" t="s">
        <v>614</v>
      </c>
      <c r="G317" s="2" t="s">
        <v>749</v>
      </c>
      <c r="H317" s="2"/>
      <c r="I317" t="str">
        <f>IF(AND(LEN(TRIM(D317))&gt;0, E317&lt;&gt;"Y"),CONCATENATE(D317," ",F317),F317)</f>
        <v>Obey Tailgater</v>
      </c>
    </row>
    <row r="318" spans="1:9" ht="12.75" x14ac:dyDescent="0.2">
      <c r="A318" s="5" t="s">
        <v>615</v>
      </c>
      <c r="C318" s="5" t="s">
        <v>1046</v>
      </c>
      <c r="D318" s="2" t="s">
        <v>312</v>
      </c>
      <c r="E318" s="2" t="s">
        <v>707</v>
      </c>
      <c r="F318" s="2" t="s">
        <v>782</v>
      </c>
      <c r="G318" s="2" t="s">
        <v>31</v>
      </c>
      <c r="H318" s="2"/>
      <c r="I318" t="str">
        <f>IF(AND(LEN(TRIM(D318))&gt;0, E318&lt;&gt;"Y"),CONCATENATE(D318," ",F318),F318)</f>
        <v>Petrol Tanker Trailer (RON)</v>
      </c>
    </row>
    <row r="319" spans="1:9" ht="12.75" customHeight="1" x14ac:dyDescent="0.25">
      <c r="A319" s="9" t="s">
        <v>766</v>
      </c>
      <c r="B319" s="9"/>
      <c r="C319" s="9" t="s">
        <v>1046</v>
      </c>
      <c r="D319" s="2" t="s">
        <v>312</v>
      </c>
      <c r="E319" s="2" t="s">
        <v>707</v>
      </c>
      <c r="F319" s="9" t="s">
        <v>781</v>
      </c>
      <c r="G319" s="9" t="s">
        <v>31</v>
      </c>
      <c r="H319" s="9"/>
      <c r="I319" s="9" t="str">
        <f>IF(AND(LEN(TRIM(D319))&gt;0, E319&lt;&gt;"Y"),CONCATENATE(D319," ",F319),F319)</f>
        <v>Petrol Tanker Trailer (Plain)</v>
      </c>
    </row>
    <row r="320" spans="1:9" ht="12.75" customHeight="1" x14ac:dyDescent="0.25">
      <c r="A320" s="9" t="s">
        <v>767</v>
      </c>
      <c r="B320" s="9"/>
      <c r="C320" s="9" t="s">
        <v>1046</v>
      </c>
      <c r="D320" s="9"/>
      <c r="E320" s="9"/>
      <c r="F320" s="9" t="s">
        <v>780</v>
      </c>
      <c r="G320" s="9" t="s">
        <v>770</v>
      </c>
      <c r="H320" s="9"/>
      <c r="I320" s="9" t="str">
        <f>IF(AND(LEN(TRIM(D320))&gt;0, E320&lt;&gt;"Y"),CONCATENATE(D320," ",F320),F320)</f>
        <v>Oil Tanker Car</v>
      </c>
    </row>
    <row r="321" spans="1:9" ht="12.75" customHeight="1" x14ac:dyDescent="0.2">
      <c r="A321" s="5" t="s">
        <v>616</v>
      </c>
      <c r="C321" s="5" t="s">
        <v>1046</v>
      </c>
      <c r="D321" s="2" t="s">
        <v>67</v>
      </c>
      <c r="E321" s="2"/>
      <c r="F321" s="2" t="s">
        <v>617</v>
      </c>
      <c r="G321" s="2" t="s">
        <v>749</v>
      </c>
      <c r="H321" s="2"/>
      <c r="I321" t="str">
        <f>IF(AND(LEN(TRIM(D321))&gt;0, E321&lt;&gt;"Y"),CONCATENATE(D321," ",F321),F321)</f>
        <v>Vapid Stanier (Taxi)</v>
      </c>
    </row>
    <row r="322" spans="1:9" ht="12.75" customHeight="1" x14ac:dyDescent="0.2">
      <c r="A322" s="6" t="s">
        <v>618</v>
      </c>
      <c r="B322" s="10" t="s">
        <v>825</v>
      </c>
      <c r="C322" s="6" t="s">
        <v>885</v>
      </c>
      <c r="D322" s="7" t="s">
        <v>43</v>
      </c>
      <c r="E322" s="7"/>
      <c r="F322" s="7" t="s">
        <v>720</v>
      </c>
      <c r="G322" s="7" t="s">
        <v>72</v>
      </c>
      <c r="H322" s="7"/>
      <c r="I322" s="8" t="str">
        <f>IF(AND(LEN(TRIM(D322))&gt;0, E322&lt;&gt;"Y"),CONCATENATE(D322," ",F322),F322)</f>
        <v>Karin Technical</v>
      </c>
    </row>
    <row r="323" spans="1:9" ht="12.75" customHeight="1" x14ac:dyDescent="0.2">
      <c r="A323" s="6" t="s">
        <v>619</v>
      </c>
      <c r="B323" s="18" t="s">
        <v>870</v>
      </c>
      <c r="C323" s="6" t="s">
        <v>922</v>
      </c>
      <c r="D323" s="7" t="s">
        <v>15</v>
      </c>
      <c r="E323" s="7"/>
      <c r="F323" s="7" t="s">
        <v>620</v>
      </c>
      <c r="G323" s="7" t="s">
        <v>17</v>
      </c>
      <c r="H323" s="7"/>
      <c r="I323" s="8" t="str">
        <f>IF(AND(LEN(TRIM(D323))&gt;0, E323&lt;&gt;"Y"),CONCATENATE(D323," ",F323),F323)</f>
        <v>Dinka Thrust</v>
      </c>
    </row>
    <row r="324" spans="1:9" ht="12.75" customHeight="1" x14ac:dyDescent="0.2">
      <c r="A324" s="6" t="s">
        <v>621</v>
      </c>
      <c r="B324" s="6"/>
      <c r="C324" s="6" t="s">
        <v>1046</v>
      </c>
      <c r="D324" s="7" t="s">
        <v>9</v>
      </c>
      <c r="E324" s="7"/>
      <c r="F324" s="7" t="s">
        <v>704</v>
      </c>
      <c r="G324" s="7" t="s">
        <v>744</v>
      </c>
      <c r="H324" s="7"/>
      <c r="I324" s="8" t="str">
        <f>IF(AND(LEN(TRIM(D324))&gt;0, E324&lt;&gt;"Y"),CONCATENATE(D324," ",F324),F324)</f>
        <v>Brute Tipper (2 Axle)</v>
      </c>
    </row>
    <row r="325" spans="1:9" ht="12.75" customHeight="1" x14ac:dyDescent="0.2">
      <c r="A325" s="6" t="s">
        <v>622</v>
      </c>
      <c r="B325" s="6"/>
      <c r="C325" s="6" t="s">
        <v>1046</v>
      </c>
      <c r="D325" s="7" t="s">
        <v>9</v>
      </c>
      <c r="E325" s="7"/>
      <c r="F325" s="7" t="s">
        <v>705</v>
      </c>
      <c r="G325" s="7" t="s">
        <v>744</v>
      </c>
      <c r="H325" s="7"/>
      <c r="I325" s="8" t="str">
        <f>IF(AND(LEN(TRIM(D325))&gt;0, E325&lt;&gt;"Y"),CONCATENATE(D325," ",F325),F325)</f>
        <v>Brute Tipper (3 Axle)</v>
      </c>
    </row>
    <row r="326" spans="1:9" ht="12.75" x14ac:dyDescent="0.2">
      <c r="A326" s="6" t="s">
        <v>623</v>
      </c>
      <c r="B326" s="18" t="s">
        <v>819</v>
      </c>
      <c r="C326" s="6" t="s">
        <v>989</v>
      </c>
      <c r="D326" s="7" t="s">
        <v>206</v>
      </c>
      <c r="E326" s="7"/>
      <c r="F326" s="7" t="s">
        <v>624</v>
      </c>
      <c r="G326" s="7" t="s">
        <v>162</v>
      </c>
      <c r="H326" s="7"/>
      <c r="I326" s="8" t="str">
        <f>IF(AND(LEN(TRIM(D326))&gt;0, E326&lt;&gt;"Y"),CONCATENATE(D326," ",F326),F326)</f>
        <v>Mammoth Titan</v>
      </c>
    </row>
    <row r="327" spans="1:9" ht="12.75" x14ac:dyDescent="0.2">
      <c r="A327" s="6" t="s">
        <v>625</v>
      </c>
      <c r="B327" s="6"/>
      <c r="C327" s="6" t="s">
        <v>1046</v>
      </c>
      <c r="D327" s="7" t="s">
        <v>38</v>
      </c>
      <c r="E327" s="7"/>
      <c r="F327" s="7" t="s">
        <v>714</v>
      </c>
      <c r="G327" s="7" t="s">
        <v>166</v>
      </c>
      <c r="H327" s="7"/>
      <c r="I327" s="8" t="str">
        <f>IF(AND(LEN(TRIM(D327))&gt;0, E327&lt;&gt;"Y"),CONCATENATE(D327," ",F327),F327)</f>
        <v>Declasse Tornado</v>
      </c>
    </row>
    <row r="328" spans="1:9" ht="12.75" x14ac:dyDescent="0.2">
      <c r="A328" s="6" t="s">
        <v>626</v>
      </c>
      <c r="B328" s="6"/>
      <c r="C328" s="6" t="s">
        <v>1046</v>
      </c>
      <c r="D328" s="7" t="s">
        <v>38</v>
      </c>
      <c r="E328" s="7"/>
      <c r="F328" s="7" t="s">
        <v>716</v>
      </c>
      <c r="G328" s="7" t="s">
        <v>166</v>
      </c>
      <c r="H328" s="7"/>
      <c r="I328" s="8" t="str">
        <f>IF(AND(LEN(TRIM(D328))&gt;0, E328&lt;&gt;"Y"),CONCATENATE(D328," ",F328),F328)</f>
        <v>Declasse Tornado Cabrio</v>
      </c>
    </row>
    <row r="329" spans="1:9" ht="12.75" x14ac:dyDescent="0.2">
      <c r="A329" s="6" t="s">
        <v>627</v>
      </c>
      <c r="B329" s="6"/>
      <c r="C329" s="6" t="s">
        <v>1046</v>
      </c>
      <c r="D329" s="7" t="s">
        <v>38</v>
      </c>
      <c r="E329" s="7"/>
      <c r="F329" s="7" t="s">
        <v>715</v>
      </c>
      <c r="G329" s="7" t="s">
        <v>166</v>
      </c>
      <c r="H329" s="7"/>
      <c r="I329" s="8" t="str">
        <f>IF(AND(LEN(TRIM(D329))&gt;0, E329&lt;&gt;"Y"),CONCATENATE(D329," ",F329),F329)</f>
        <v>Declasse Tornado (Rusty)</v>
      </c>
    </row>
    <row r="330" spans="1:9" ht="12.75" x14ac:dyDescent="0.2">
      <c r="A330" s="6" t="s">
        <v>628</v>
      </c>
      <c r="B330" s="6"/>
      <c r="C330" s="6" t="s">
        <v>1046</v>
      </c>
      <c r="D330" s="7" t="s">
        <v>38</v>
      </c>
      <c r="E330" s="7"/>
      <c r="F330" s="7" t="s">
        <v>717</v>
      </c>
      <c r="G330" s="7" t="s">
        <v>166</v>
      </c>
      <c r="H330" s="7"/>
      <c r="I330" s="8" t="str">
        <f>IF(AND(LEN(TRIM(D330))&gt;0, E330&lt;&gt;"Y"),CONCATENATE(D330," ",F330),F330)</f>
        <v>Declasse Tornado Cabrio (Rusty)</v>
      </c>
    </row>
    <row r="331" spans="1:9" ht="12.75" x14ac:dyDescent="0.2">
      <c r="A331" s="6" t="s">
        <v>629</v>
      </c>
      <c r="B331" s="6"/>
      <c r="C331" s="6" t="s">
        <v>1046</v>
      </c>
      <c r="D331" s="7" t="s">
        <v>9</v>
      </c>
      <c r="E331" s="7"/>
      <c r="F331" s="7" t="s">
        <v>630</v>
      </c>
      <c r="G331" s="7" t="s">
        <v>748</v>
      </c>
      <c r="H331" s="7"/>
      <c r="I331" s="8" t="str">
        <f>IF(AND(LEN(TRIM(D331))&gt;0, E331&lt;&gt;"Y"),CONCATENATE(D331," ",F331),F331)</f>
        <v>Brute Tourbus</v>
      </c>
    </row>
    <row r="332" spans="1:9" ht="12.75" x14ac:dyDescent="0.2">
      <c r="A332" s="6" t="s">
        <v>631</v>
      </c>
      <c r="B332" s="6"/>
      <c r="C332" s="6" t="s">
        <v>1046</v>
      </c>
      <c r="D332" s="7" t="s">
        <v>67</v>
      </c>
      <c r="E332" s="7"/>
      <c r="F332" s="7" t="s">
        <v>632</v>
      </c>
      <c r="G332" s="7" t="s">
        <v>744</v>
      </c>
      <c r="H332" s="7"/>
      <c r="I332" s="8" t="str">
        <f>IF(AND(LEN(TRIM(D332))&gt;0, E332&lt;&gt;"Y"),CONCATENATE(D332," ",F332),F332)</f>
        <v>Vapid Tow Truck</v>
      </c>
    </row>
    <row r="333" spans="1:9" ht="12.75" x14ac:dyDescent="0.2">
      <c r="A333" s="6" t="s">
        <v>633</v>
      </c>
      <c r="B333" s="6"/>
      <c r="C333" s="6" t="s">
        <v>1046</v>
      </c>
      <c r="D333" s="7" t="s">
        <v>67</v>
      </c>
      <c r="E333" s="7"/>
      <c r="F333" s="7" t="s">
        <v>634</v>
      </c>
      <c r="G333" s="7" t="s">
        <v>744</v>
      </c>
      <c r="H333" s="7"/>
      <c r="I333" s="8" t="str">
        <f>IF(AND(LEN(TRIM(D333))&gt;0, E333&lt;&gt;"Y"),CONCATENATE(D333," ",F333),F333)</f>
        <v>Vapid Tow Truck (Old)</v>
      </c>
    </row>
    <row r="334" spans="1:9" ht="12.75" x14ac:dyDescent="0.2">
      <c r="A334" s="5" t="s">
        <v>635</v>
      </c>
      <c r="C334" s="5" t="s">
        <v>1046</v>
      </c>
      <c r="D334" s="2" t="s">
        <v>12</v>
      </c>
      <c r="E334" s="2" t="s">
        <v>707</v>
      </c>
      <c r="F334" s="2" t="s">
        <v>636</v>
      </c>
      <c r="G334" s="2" t="s">
        <v>31</v>
      </c>
      <c r="H334" s="2"/>
      <c r="I334" t="str">
        <f>IF(AND(LEN(TRIM(D334))&gt;0, E334&lt;&gt;"Y"),CONCATENATE(D334," ",F334),F334)</f>
        <v>Car Transport Trailer (Empty)</v>
      </c>
    </row>
    <row r="335" spans="1:9" ht="12.75" x14ac:dyDescent="0.2">
      <c r="A335" s="5" t="s">
        <v>637</v>
      </c>
      <c r="C335" s="5" t="s">
        <v>1046</v>
      </c>
      <c r="D335" s="2" t="s">
        <v>12</v>
      </c>
      <c r="E335" s="2" t="s">
        <v>707</v>
      </c>
      <c r="F335" s="2" t="s">
        <v>105</v>
      </c>
      <c r="G335" s="2" t="s">
        <v>31</v>
      </c>
      <c r="H335" s="2"/>
      <c r="I335" t="str">
        <f>IF(AND(LEN(TRIM(D335))&gt;0, E335&lt;&gt;"Y"),CONCATENATE(D335," ",F335),F335)</f>
        <v>Boat Trailer</v>
      </c>
    </row>
    <row r="336" spans="1:9" ht="12.75" x14ac:dyDescent="0.2">
      <c r="A336" s="5" t="s">
        <v>638</v>
      </c>
      <c r="C336" s="5" t="s">
        <v>1046</v>
      </c>
      <c r="D336" s="2" t="s">
        <v>12</v>
      </c>
      <c r="E336" s="2" t="s">
        <v>707</v>
      </c>
      <c r="F336" s="2" t="s">
        <v>639</v>
      </c>
      <c r="G336" s="2" t="s">
        <v>31</v>
      </c>
      <c r="H336" s="2"/>
      <c r="I336" t="str">
        <f>IF(AND(LEN(TRIM(D336))&gt;0, E336&lt;&gt;"Y"),CONCATENATE(D336," ",F336),F336)</f>
        <v>Car Transport Trailer</v>
      </c>
    </row>
    <row r="337" spans="1:9" ht="12.75" x14ac:dyDescent="0.2">
      <c r="A337" s="6" t="s">
        <v>640</v>
      </c>
      <c r="B337" s="6"/>
      <c r="C337" s="6" t="s">
        <v>1046</v>
      </c>
      <c r="D337" s="7" t="s">
        <v>48</v>
      </c>
      <c r="E337" s="7"/>
      <c r="F337" s="7" t="s">
        <v>641</v>
      </c>
      <c r="G337" s="7" t="s">
        <v>748</v>
      </c>
      <c r="H337" s="7"/>
      <c r="I337" s="8" t="str">
        <f>IF(AND(LEN(TRIM(D337))&gt;0, E337&lt;&gt;"Y"),CONCATENATE(D337," ",F337),F337)</f>
        <v>Stanley Tractor (Rusty)</v>
      </c>
    </row>
    <row r="338" spans="1:9" ht="12.75" x14ac:dyDescent="0.2">
      <c r="A338" s="6" t="s">
        <v>642</v>
      </c>
      <c r="B338" s="6"/>
      <c r="C338" s="6" t="s">
        <v>1046</v>
      </c>
      <c r="D338" s="7" t="s">
        <v>48</v>
      </c>
      <c r="E338" s="7"/>
      <c r="F338" s="7" t="s">
        <v>643</v>
      </c>
      <c r="G338" s="7" t="s">
        <v>748</v>
      </c>
      <c r="H338" s="7"/>
      <c r="I338" s="8" t="str">
        <f>IF(AND(LEN(TRIM(D338))&gt;0, E338&lt;&gt;"Y"),CONCATENATE(D338," ",F338),F338)</f>
        <v>Stanley Fieldmaster Tractor</v>
      </c>
    </row>
    <row r="339" spans="1:9" ht="12.75" x14ac:dyDescent="0.2">
      <c r="A339" s="6" t="s">
        <v>644</v>
      </c>
      <c r="B339" s="6"/>
      <c r="C339" s="6" t="s">
        <v>1046</v>
      </c>
      <c r="D339" s="7" t="s">
        <v>48</v>
      </c>
      <c r="E339" s="7"/>
      <c r="F339" s="7" t="s">
        <v>645</v>
      </c>
      <c r="G339" s="7" t="s">
        <v>748</v>
      </c>
      <c r="H339" s="7"/>
      <c r="I339" s="8" t="str">
        <f>IF(AND(LEN(TRIM(D339))&gt;0, E339&lt;&gt;"Y"),CONCATENATE(D339," ",F339),F339)</f>
        <v>Stanley Fieldmaster Tractor (Snow)</v>
      </c>
    </row>
    <row r="340" spans="1:9" ht="12.75" x14ac:dyDescent="0.2">
      <c r="A340" s="5" t="s">
        <v>646</v>
      </c>
      <c r="C340" s="5" t="s">
        <v>1046</v>
      </c>
      <c r="D340" s="2" t="s">
        <v>12</v>
      </c>
      <c r="E340" s="2" t="s">
        <v>707</v>
      </c>
      <c r="F340" s="2" t="s">
        <v>647</v>
      </c>
      <c r="G340" s="2" t="s">
        <v>31</v>
      </c>
      <c r="H340" s="2"/>
      <c r="I340" t="str">
        <f>IF(AND(LEN(TRIM(D340))&gt;0, E340&lt;&gt;"Y"),CONCATENATE(D340," ",F340),F340)</f>
        <v>Logging Trailer</v>
      </c>
    </row>
    <row r="341" spans="1:9" ht="12.75" x14ac:dyDescent="0.2">
      <c r="A341" s="5" t="s">
        <v>648</v>
      </c>
      <c r="C341" s="5" t="s">
        <v>1046</v>
      </c>
      <c r="D341" s="2" t="s">
        <v>312</v>
      </c>
      <c r="E341" s="2" t="s">
        <v>707</v>
      </c>
      <c r="F341" s="2" t="s">
        <v>649</v>
      </c>
      <c r="G341" s="2" t="s">
        <v>31</v>
      </c>
      <c r="H341" s="2"/>
      <c r="I341" t="str">
        <f>IF(AND(LEN(TRIM(D341))&gt;0, E341&lt;&gt;"Y"),CONCATENATE(D341," ",F341),F341)</f>
        <v>Plain Trailer</v>
      </c>
    </row>
    <row r="342" spans="1:9" ht="12.75" x14ac:dyDescent="0.2">
      <c r="A342" s="5" t="s">
        <v>650</v>
      </c>
      <c r="C342" s="5" t="s">
        <v>1046</v>
      </c>
      <c r="D342" s="2" t="s">
        <v>312</v>
      </c>
      <c r="E342" s="2" t="s">
        <v>707</v>
      </c>
      <c r="F342" s="2" t="s">
        <v>795</v>
      </c>
      <c r="G342" s="2" t="s">
        <v>31</v>
      </c>
      <c r="H342" s="2"/>
      <c r="I342" t="str">
        <f>IF(AND(LEN(TRIM(D342))&gt;0, E342&lt;&gt;"Y"),CONCATENATE(D342," ",F342),F342)</f>
        <v>Commercial Trailer (Graphics 1)</v>
      </c>
    </row>
    <row r="343" spans="1:9" ht="12.75" x14ac:dyDescent="0.2">
      <c r="A343" s="5" t="s">
        <v>651</v>
      </c>
      <c r="C343" s="5" t="s">
        <v>1046</v>
      </c>
      <c r="D343" s="2" t="s">
        <v>312</v>
      </c>
      <c r="E343" s="2" t="s">
        <v>707</v>
      </c>
      <c r="F343" s="2" t="s">
        <v>794</v>
      </c>
      <c r="G343" s="2" t="s">
        <v>31</v>
      </c>
      <c r="H343" s="2"/>
      <c r="I343" t="str">
        <f>IF(AND(LEN(TRIM(D343))&gt;0, E343&lt;&gt;"Y"),CONCATENATE(D343," ",F343),F343)</f>
        <v>Commercial Trailer (Graphics 2)</v>
      </c>
    </row>
    <row r="344" spans="1:9" ht="12.75" customHeight="1" x14ac:dyDescent="0.2">
      <c r="A344" s="5" t="s">
        <v>652</v>
      </c>
      <c r="C344" s="5" t="s">
        <v>1046</v>
      </c>
      <c r="D344" s="2" t="s">
        <v>312</v>
      </c>
      <c r="E344" s="2" t="s">
        <v>707</v>
      </c>
      <c r="F344" s="2" t="s">
        <v>718</v>
      </c>
      <c r="G344" s="2" t="s">
        <v>31</v>
      </c>
      <c r="H344" s="2"/>
      <c r="I344" t="str">
        <f>IF(AND(LEN(TRIM(D344))&gt;0, E344&lt;&gt;"Y"),CONCATENATE(D344," ",F344),F344)</f>
        <v>Small Trailer</v>
      </c>
    </row>
    <row r="345" spans="1:9" ht="12.75" customHeight="1" x14ac:dyDescent="0.2">
      <c r="A345" s="6" t="s">
        <v>653</v>
      </c>
      <c r="B345" s="6"/>
      <c r="C345" s="6" t="s">
        <v>1046</v>
      </c>
      <c r="D345" s="7" t="s">
        <v>312</v>
      </c>
      <c r="E345" s="7"/>
      <c r="F345" s="2" t="s">
        <v>654</v>
      </c>
      <c r="G345" s="7" t="s">
        <v>748</v>
      </c>
      <c r="H345" s="7"/>
      <c r="I345" s="8" t="str">
        <f>IF(AND(LEN(TRIM(D345))&gt;0, E345&lt;&gt;"Y"),CONCATENATE(D345," ",F346),F346)</f>
        <v>Jobuilt Trashmaster (Rusty)</v>
      </c>
    </row>
    <row r="346" spans="1:9" ht="12.75" customHeight="1" x14ac:dyDescent="0.25">
      <c r="A346" s="9" t="s">
        <v>768</v>
      </c>
      <c r="B346" s="9"/>
      <c r="C346" s="9" t="s">
        <v>1046</v>
      </c>
      <c r="D346" s="9" t="s">
        <v>312</v>
      </c>
      <c r="E346" s="9"/>
      <c r="F346" s="7" t="s">
        <v>783</v>
      </c>
      <c r="G346" s="9" t="s">
        <v>748</v>
      </c>
      <c r="H346" s="9"/>
      <c r="I346" s="9" t="e">
        <f>IF(AND(LEN(TRIM(D346))&gt;0, E346&lt;&gt;"Y"),CONCATENATE(D346," ",#REF!),#REF!)</f>
        <v>#REF!</v>
      </c>
    </row>
    <row r="347" spans="1:9" ht="12.75" x14ac:dyDescent="0.2">
      <c r="A347" s="5" t="s">
        <v>655</v>
      </c>
      <c r="C347" s="5" t="s">
        <v>1046</v>
      </c>
      <c r="D347" s="2" t="s">
        <v>12</v>
      </c>
      <c r="E347" s="2" t="s">
        <v>707</v>
      </c>
      <c r="F347" s="2" t="s">
        <v>1053</v>
      </c>
      <c r="G347" s="2" t="s">
        <v>31</v>
      </c>
      <c r="H347" s="2"/>
      <c r="I347" t="str">
        <f>IF(AND(LEN(TRIM(D347))&gt;0, E347&lt;&gt;"Y"),CONCATENATE(D347," ",F347),F347)</f>
        <v>Flatbed Trailer 2</v>
      </c>
    </row>
    <row r="348" spans="1:9" ht="12.75" customHeight="1" x14ac:dyDescent="0.2">
      <c r="A348" s="6" t="s">
        <v>656</v>
      </c>
      <c r="B348" s="18" t="s">
        <v>838</v>
      </c>
      <c r="C348" s="6" t="s">
        <v>955</v>
      </c>
      <c r="D348" s="7" t="s">
        <v>103</v>
      </c>
      <c r="E348" s="7" t="s">
        <v>707</v>
      </c>
      <c r="F348" s="7" t="s">
        <v>743</v>
      </c>
      <c r="G348" s="7" t="s">
        <v>703</v>
      </c>
      <c r="H348" s="7"/>
      <c r="I348" s="8" t="str">
        <f>IF(AND(LEN(TRIM(D348))&gt;0, E348&lt;&gt;"Y"),CONCATENATE(D348," ",F348),F348)</f>
        <v>Whippet Race</v>
      </c>
    </row>
    <row r="349" spans="1:9" ht="12.75" x14ac:dyDescent="0.2">
      <c r="A349" s="6" t="s">
        <v>657</v>
      </c>
      <c r="B349" s="18" t="s">
        <v>838</v>
      </c>
      <c r="C349" s="6" t="s">
        <v>956</v>
      </c>
      <c r="D349" s="7" t="s">
        <v>103</v>
      </c>
      <c r="E349" s="7" t="s">
        <v>707</v>
      </c>
      <c r="F349" s="7" t="s">
        <v>741</v>
      </c>
      <c r="G349" s="7" t="s">
        <v>703</v>
      </c>
      <c r="H349" s="7"/>
      <c r="I349" s="8" t="str">
        <f>IF(AND(LEN(TRIM(D349))&gt;0, E349&lt;&gt;"Y"),CONCATENATE(D349," ",F349),F349)</f>
        <v>Endurex Race</v>
      </c>
    </row>
    <row r="350" spans="1:9" ht="12.75" x14ac:dyDescent="0.2">
      <c r="A350" s="6" t="s">
        <v>658</v>
      </c>
      <c r="B350" s="18" t="s">
        <v>838</v>
      </c>
      <c r="C350" s="6" t="s">
        <v>957</v>
      </c>
      <c r="D350" s="7" t="s">
        <v>103</v>
      </c>
      <c r="E350" s="7" t="s">
        <v>707</v>
      </c>
      <c r="F350" s="7" t="s">
        <v>742</v>
      </c>
      <c r="G350" s="7" t="s">
        <v>703</v>
      </c>
      <c r="H350" s="7"/>
      <c r="I350" s="8" t="str">
        <f>IF(AND(LEN(TRIM(D350))&gt;0, E350&lt;&gt;"Y"),CONCATENATE(D350," ",F350),F350)</f>
        <v>Tri-Cycles Race</v>
      </c>
    </row>
    <row r="351" spans="1:9" ht="12.75" x14ac:dyDescent="0.2">
      <c r="A351" s="5" t="s">
        <v>659</v>
      </c>
      <c r="B351" s="18" t="s">
        <v>823</v>
      </c>
      <c r="C351" s="5" t="s">
        <v>892</v>
      </c>
      <c r="D351" s="2" t="s">
        <v>307</v>
      </c>
      <c r="E351" s="2"/>
      <c r="F351" s="2" t="s">
        <v>660</v>
      </c>
      <c r="G351" s="2" t="s">
        <v>199</v>
      </c>
      <c r="H351" s="2"/>
      <c r="I351" t="str">
        <f>IF(AND(LEN(TRIM(D351))&gt;0, E351&lt;&gt;"Y"),CONCATENATE(D351," ",F351),F351)</f>
        <v>Shitzu Tropic</v>
      </c>
    </row>
    <row r="352" spans="1:9" ht="12.75" x14ac:dyDescent="0.2">
      <c r="A352" s="5" t="s">
        <v>661</v>
      </c>
      <c r="B352" s="18" t="s">
        <v>871</v>
      </c>
      <c r="C352" s="5" t="s">
        <v>928</v>
      </c>
      <c r="D352" s="2" t="s">
        <v>149</v>
      </c>
      <c r="E352" s="2"/>
      <c r="F352" s="2" t="s">
        <v>662</v>
      </c>
      <c r="G352" s="2" t="s">
        <v>7</v>
      </c>
      <c r="H352" s="2"/>
      <c r="I352" t="str">
        <f>IF(AND(LEN(TRIM(D352))&gt;0, E352&lt;&gt;"Y"),CONCATENATE(D352," ",F352),F352)</f>
        <v>Grotti Turismo R</v>
      </c>
    </row>
    <row r="353" spans="1:9" ht="12.75" x14ac:dyDescent="0.2">
      <c r="A353" s="5" t="s">
        <v>663</v>
      </c>
      <c r="C353" s="5" t="s">
        <v>1046</v>
      </c>
      <c r="D353" s="2" t="s">
        <v>312</v>
      </c>
      <c r="E353" s="2" t="s">
        <v>707</v>
      </c>
      <c r="F353" s="2" t="s">
        <v>664</v>
      </c>
      <c r="G353" s="2" t="s">
        <v>31</v>
      </c>
      <c r="H353" s="2"/>
      <c r="I353" t="str">
        <f>IF(AND(LEN(TRIM(D353))&gt;0, E353&lt;&gt;"Y"),CONCATENATE(D353," ",F353),F353)</f>
        <v>Fame or Shame Trailer</v>
      </c>
    </row>
    <row r="354" spans="1:9" ht="12.75" x14ac:dyDescent="0.2">
      <c r="A354" s="6" t="s">
        <v>665</v>
      </c>
      <c r="B354" s="6"/>
      <c r="C354" s="6" t="s">
        <v>1046</v>
      </c>
      <c r="D354" s="7" t="s">
        <v>67</v>
      </c>
      <c r="E354" s="7"/>
      <c r="F354" s="7" t="s">
        <v>666</v>
      </c>
      <c r="G354" s="7" t="s">
        <v>748</v>
      </c>
      <c r="H354" s="7"/>
      <c r="I354" s="8" t="str">
        <f>IF(AND(LEN(TRIM(D354))&gt;0, E354&lt;&gt;"Y"),CONCATENATE(D354," ",F354),F354)</f>
        <v>Vapid Telephone Utility</v>
      </c>
    </row>
    <row r="355" spans="1:9" ht="12.75" x14ac:dyDescent="0.2">
      <c r="A355" s="6" t="s">
        <v>667</v>
      </c>
      <c r="B355" s="6"/>
      <c r="C355" s="6" t="s">
        <v>1046</v>
      </c>
      <c r="D355" s="7" t="s">
        <v>67</v>
      </c>
      <c r="E355" s="7"/>
      <c r="F355" s="7" t="s">
        <v>668</v>
      </c>
      <c r="G355" s="7" t="s">
        <v>748</v>
      </c>
      <c r="H355" s="7"/>
      <c r="I355" s="8" t="str">
        <f>IF(AND(LEN(TRIM(D355))&gt;0, E355&lt;&gt;"Y"),CONCATENATE(D355," ",F355),F355)</f>
        <v>Vapid Plumbing Utility</v>
      </c>
    </row>
    <row r="356" spans="1:9" ht="12.75" x14ac:dyDescent="0.2">
      <c r="A356" s="6" t="s">
        <v>669</v>
      </c>
      <c r="B356" s="6"/>
      <c r="C356" s="6" t="s">
        <v>1046</v>
      </c>
      <c r="D356" s="7" t="s">
        <v>67</v>
      </c>
      <c r="E356" s="7"/>
      <c r="F356" s="7" t="s">
        <v>670</v>
      </c>
      <c r="G356" s="7" t="s">
        <v>748</v>
      </c>
      <c r="H356" s="7"/>
      <c r="I356" s="8" t="str">
        <f>IF(AND(LEN(TRIM(D356))&gt;0, E356&lt;&gt;"Y"),CONCATENATE(D356," ",F356),F356)</f>
        <v>Vapid Pickup Utility</v>
      </c>
    </row>
    <row r="357" spans="1:9" ht="12.75" x14ac:dyDescent="0.2">
      <c r="A357" s="5" t="s">
        <v>671</v>
      </c>
      <c r="B357" s="18" t="s">
        <v>818</v>
      </c>
      <c r="C357" s="18" t="s">
        <v>939</v>
      </c>
      <c r="D357" s="2" t="s">
        <v>62</v>
      </c>
      <c r="E357" s="2"/>
      <c r="F357" s="2" t="s">
        <v>672</v>
      </c>
      <c r="G357" s="2" t="s">
        <v>7</v>
      </c>
      <c r="H357" s="2"/>
      <c r="I357" t="str">
        <f>IF(AND(LEN(TRIM(D357))&gt;0, E357&lt;&gt;"Y"),CONCATENATE(D357," ",F357),F357)</f>
        <v>Pegassi Vacca</v>
      </c>
    </row>
    <row r="358" spans="1:9" s="9" customFormat="1" ht="15.75" customHeight="1" x14ac:dyDescent="0.25">
      <c r="A358" s="6" t="s">
        <v>673</v>
      </c>
      <c r="B358" s="5" t="s">
        <v>817</v>
      </c>
      <c r="C358" s="5" t="s">
        <v>940</v>
      </c>
      <c r="D358" s="7" t="s">
        <v>307</v>
      </c>
      <c r="E358" s="7"/>
      <c r="F358" s="7" t="s">
        <v>674</v>
      </c>
      <c r="G358" s="7" t="s">
        <v>17</v>
      </c>
      <c r="H358" s="7"/>
      <c r="I358" s="8" t="str">
        <f>IF(AND(LEN(TRIM(D358))&gt;0, E358&lt;&gt;"Y"),CONCATENATE(D358," ",F358),F358)</f>
        <v>Shitzu Vader</v>
      </c>
    </row>
    <row r="359" spans="1:9" s="9" customFormat="1" ht="15.75" customHeight="1" x14ac:dyDescent="0.25">
      <c r="A359" s="5" t="s">
        <v>675</v>
      </c>
      <c r="B359" s="18" t="s">
        <v>825</v>
      </c>
      <c r="C359" s="5" t="s">
        <v>836</v>
      </c>
      <c r="D359" s="2" t="s">
        <v>160</v>
      </c>
      <c r="E359" s="2"/>
      <c r="F359" s="2" t="s">
        <v>676</v>
      </c>
      <c r="G359" s="2" t="s">
        <v>28</v>
      </c>
      <c r="H359" s="2"/>
      <c r="I359" t="str">
        <f>IF(AND(LEN(TRIM(D359))&gt;0, E359&lt;&gt;"Y"),CONCATENATE(D359," ",F359),F359)</f>
        <v>Buckingham Valkyrie</v>
      </c>
    </row>
    <row r="360" spans="1:9" s="9" customFormat="1" ht="15" x14ac:dyDescent="0.25">
      <c r="A360" s="6" t="s">
        <v>677</v>
      </c>
      <c r="B360" s="18" t="s">
        <v>819</v>
      </c>
      <c r="C360" s="6" t="s">
        <v>990</v>
      </c>
      <c r="D360" s="7" t="s">
        <v>312</v>
      </c>
      <c r="E360" s="7"/>
      <c r="F360" s="7" t="s">
        <v>721</v>
      </c>
      <c r="G360" s="7" t="s">
        <v>162</v>
      </c>
      <c r="H360" s="7"/>
      <c r="I360" s="8" t="str">
        <f>IF(AND(LEN(TRIM(D360))&gt;0, E360&lt;&gt;"Y"),CONCATENATE(D360," ",F360),F360)</f>
        <v>Jobuilt Velum (4 Seater)</v>
      </c>
    </row>
    <row r="361" spans="1:9" s="9" customFormat="1" ht="15" x14ac:dyDescent="0.25">
      <c r="A361" s="6" t="s">
        <v>678</v>
      </c>
      <c r="B361" s="18" t="s">
        <v>819</v>
      </c>
      <c r="C361" s="6" t="s">
        <v>991</v>
      </c>
      <c r="D361" s="7" t="s">
        <v>312</v>
      </c>
      <c r="E361" s="7"/>
      <c r="F361" s="7" t="s">
        <v>719</v>
      </c>
      <c r="G361" s="7" t="s">
        <v>162</v>
      </c>
      <c r="H361" s="7"/>
      <c r="I361" s="8" t="str">
        <f>IF(AND(LEN(TRIM(D361))&gt;0, E361&lt;&gt;"Y"),CONCATENATE(D361," ",F361),F361)</f>
        <v>Jobuilt Velum (5 Seater)</v>
      </c>
    </row>
    <row r="362" spans="1:9" s="9" customFormat="1" ht="15.75" customHeight="1" x14ac:dyDescent="0.25">
      <c r="A362" s="6" t="s">
        <v>679</v>
      </c>
      <c r="B362" s="10" t="s">
        <v>820</v>
      </c>
      <c r="C362" s="6" t="s">
        <v>992</v>
      </c>
      <c r="D362" s="7" t="s">
        <v>160</v>
      </c>
      <c r="E362" s="7"/>
      <c r="F362" s="7" t="s">
        <v>680</v>
      </c>
      <c r="G362" s="7" t="s">
        <v>162</v>
      </c>
      <c r="H362" s="7"/>
      <c r="I362" s="8" t="str">
        <f>IF(AND(LEN(TRIM(D362))&gt;0, E362&lt;&gt;"Y"),CONCATENATE(D362," ",F362),F362)</f>
        <v>Buckingham Vestra</v>
      </c>
    </row>
    <row r="363" spans="1:9" s="9" customFormat="1" ht="15.75" customHeight="1" x14ac:dyDescent="0.25">
      <c r="A363" s="5" t="s">
        <v>681</v>
      </c>
      <c r="B363" s="5" t="s">
        <v>817</v>
      </c>
      <c r="C363" s="5" t="s">
        <v>941</v>
      </c>
      <c r="D363" s="2" t="s">
        <v>38</v>
      </c>
      <c r="E363" s="2"/>
      <c r="F363" s="2" t="s">
        <v>682</v>
      </c>
      <c r="G363" s="2" t="s">
        <v>88</v>
      </c>
      <c r="H363" s="2"/>
      <c r="I363" t="str">
        <f>IF(AND(LEN(TRIM(D363))&gt;0, E363&lt;&gt;"Y"),CONCATENATE(D363," ",F363),F363)</f>
        <v>Declasse Vigero</v>
      </c>
    </row>
    <row r="364" spans="1:9" s="9" customFormat="1" ht="15.75" customHeight="1" x14ac:dyDescent="0.25">
      <c r="A364" s="19" t="s">
        <v>813</v>
      </c>
      <c r="B364" s="19" t="s">
        <v>868</v>
      </c>
      <c r="C364" s="19" t="s">
        <v>934</v>
      </c>
      <c r="D364" s="9" t="s">
        <v>19</v>
      </c>
      <c r="F364" s="9" t="s">
        <v>814</v>
      </c>
      <c r="G364" s="9" t="s">
        <v>88</v>
      </c>
      <c r="I364" s="19" t="str">
        <f>IF(AND(LEN(TRIM(D364))&gt;0, E364&lt;&gt;"Y"),CONCATENATE(D364," ",F364),F364)</f>
        <v>Albany Virgo</v>
      </c>
    </row>
    <row r="365" spans="1:9" s="9" customFormat="1" ht="15.75" customHeight="1" x14ac:dyDescent="0.25">
      <c r="A365" s="5" t="s">
        <v>683</v>
      </c>
      <c r="B365" s="18" t="s">
        <v>818</v>
      </c>
      <c r="C365" s="5" t="s">
        <v>920</v>
      </c>
      <c r="D365" s="2" t="s">
        <v>684</v>
      </c>
      <c r="E365" s="2"/>
      <c r="F365" s="2" t="s">
        <v>685</v>
      </c>
      <c r="G365" s="2" t="s">
        <v>7</v>
      </c>
      <c r="H365" s="2"/>
      <c r="I365" t="str">
        <f>IF(AND(LEN(TRIM(D365))&gt;0, E365&lt;&gt;"Y"),CONCATENATE(D365," ",F365),F365)</f>
        <v>Coil Voltic</v>
      </c>
    </row>
    <row r="366" spans="1:9" s="9" customFormat="1" ht="15.75" customHeight="1" x14ac:dyDescent="0.25">
      <c r="A366" s="5" t="s">
        <v>686</v>
      </c>
      <c r="B366" s="5"/>
      <c r="C366" s="5" t="s">
        <v>1046</v>
      </c>
      <c r="D366" s="2" t="s">
        <v>38</v>
      </c>
      <c r="E366" s="2"/>
      <c r="F366" s="2" t="s">
        <v>687</v>
      </c>
      <c r="G366" s="2" t="s">
        <v>88</v>
      </c>
      <c r="H366" s="2"/>
      <c r="I366" t="str">
        <f>IF(AND(LEN(TRIM(D366))&gt;0, E366&lt;&gt;"Y"),CONCATENATE(D366," ",F366),F366)</f>
        <v>Declasse Voodoo</v>
      </c>
    </row>
    <row r="367" spans="1:9" s="9" customFormat="1" ht="15.75" customHeight="1" x14ac:dyDescent="0.25">
      <c r="A367" s="5" t="s">
        <v>688</v>
      </c>
      <c r="B367" s="18" t="s">
        <v>855</v>
      </c>
      <c r="C367" s="5" t="s">
        <v>1037</v>
      </c>
      <c r="D367" s="2" t="s">
        <v>689</v>
      </c>
      <c r="E367" s="2"/>
      <c r="F367" s="2" t="s">
        <v>690</v>
      </c>
      <c r="G367" s="2" t="s">
        <v>749</v>
      </c>
      <c r="H367" s="2"/>
      <c r="I367" t="str">
        <f>IF(AND(LEN(TRIM(D367))&gt;0, E367&lt;&gt;"Y"),CONCATENATE(D367," ",F367),F367)</f>
        <v>Vulcar Warrener</v>
      </c>
    </row>
    <row r="368" spans="1:9" s="9" customFormat="1" ht="15.75" customHeight="1" x14ac:dyDescent="0.25">
      <c r="A368" s="5" t="s">
        <v>691</v>
      </c>
      <c r="B368" s="18" t="s">
        <v>863</v>
      </c>
      <c r="C368" s="18" t="s">
        <v>866</v>
      </c>
      <c r="D368" s="2" t="s">
        <v>19</v>
      </c>
      <c r="E368" s="2"/>
      <c r="F368" s="2" t="s">
        <v>692</v>
      </c>
      <c r="G368" s="2" t="s">
        <v>749</v>
      </c>
      <c r="H368" s="2"/>
      <c r="I368" t="str">
        <f>IF(AND(LEN(TRIM(D368))&gt;0, E368&lt;&gt;"Y"),CONCATENATE(D368," ",F368),F368)</f>
        <v>Albany Washington</v>
      </c>
    </row>
    <row r="369" spans="1:9" s="9" customFormat="1" ht="15.75" customHeight="1" x14ac:dyDescent="0.25">
      <c r="A369" s="19" t="s">
        <v>815</v>
      </c>
      <c r="B369" s="19" t="s">
        <v>868</v>
      </c>
      <c r="C369" s="19" t="s">
        <v>935</v>
      </c>
      <c r="D369" s="9" t="s">
        <v>176</v>
      </c>
      <c r="F369" s="9" t="s">
        <v>816</v>
      </c>
      <c r="G369" s="9" t="s">
        <v>739</v>
      </c>
      <c r="I369" s="9" t="str">
        <f>IF(AND(LEN(TRIM(D369))&gt;0, E369&lt;&gt;"Y"),CONCATENATE(D369," ",F369),F369)</f>
        <v>Enus Windsor</v>
      </c>
    </row>
    <row r="370" spans="1:9" s="9" customFormat="1" ht="15.75" customHeight="1" x14ac:dyDescent="0.25">
      <c r="A370" s="5" t="s">
        <v>693</v>
      </c>
      <c r="B370" s="18" t="s">
        <v>855</v>
      </c>
      <c r="C370" s="5" t="s">
        <v>1038</v>
      </c>
      <c r="D370" s="2" t="s">
        <v>55</v>
      </c>
      <c r="E370" s="2"/>
      <c r="F370" s="2" t="s">
        <v>694</v>
      </c>
      <c r="G370" s="2" t="s">
        <v>127</v>
      </c>
      <c r="H370" s="2"/>
      <c r="I370" t="str">
        <f>IF(AND(LEN(TRIM(D370))&gt;0, E370&lt;&gt;"Y"),CONCATENATE(D370," ",F370),F370)</f>
        <v>Bravado Youga</v>
      </c>
    </row>
    <row r="371" spans="1:9" s="9" customFormat="1" ht="15.75" customHeight="1" x14ac:dyDescent="0.25">
      <c r="A371" s="5" t="s">
        <v>695</v>
      </c>
      <c r="B371" s="18" t="s">
        <v>870</v>
      </c>
      <c r="C371" s="5" t="s">
        <v>867</v>
      </c>
      <c r="D371" s="2" t="s">
        <v>62</v>
      </c>
      <c r="E371" s="2"/>
      <c r="F371" s="2" t="s">
        <v>696</v>
      </c>
      <c r="G371" s="2" t="s">
        <v>7</v>
      </c>
      <c r="H371" s="2"/>
      <c r="I371" t="str">
        <f>IF(AND(LEN(TRIM(D371))&gt;0, E371&lt;&gt;"Y"),CONCATENATE(D371," ",F371),F371)</f>
        <v>Pegassi Zentorno</v>
      </c>
    </row>
    <row r="372" spans="1:9" s="9" customFormat="1" ht="15.75" customHeight="1" x14ac:dyDescent="0.25">
      <c r="A372" s="5" t="s">
        <v>697</v>
      </c>
      <c r="B372" s="5" t="s">
        <v>817</v>
      </c>
      <c r="C372" s="13" t="s">
        <v>942</v>
      </c>
      <c r="D372" s="2" t="s">
        <v>414</v>
      </c>
      <c r="E372" s="2"/>
      <c r="F372" s="2" t="s">
        <v>698</v>
      </c>
      <c r="G372" s="2" t="s">
        <v>739</v>
      </c>
      <c r="H372" s="2"/>
      <c r="I372" t="str">
        <f>IF(AND(LEN(TRIM(D372))&gt;0, E372&lt;&gt;"Y"),CONCATENATE(D372," ",F372),F372)</f>
        <v>Ubermacht Zion</v>
      </c>
    </row>
    <row r="373" spans="1:9" s="9" customFormat="1" ht="15.75" customHeight="1" x14ac:dyDescent="0.25">
      <c r="A373" s="5" t="s">
        <v>699</v>
      </c>
      <c r="B373" s="5" t="s">
        <v>817</v>
      </c>
      <c r="C373" s="13" t="s">
        <v>943</v>
      </c>
      <c r="D373" s="2" t="s">
        <v>414</v>
      </c>
      <c r="E373" s="2"/>
      <c r="F373" s="2" t="s">
        <v>700</v>
      </c>
      <c r="G373" s="2" t="s">
        <v>739</v>
      </c>
      <c r="H373" s="2"/>
      <c r="I373" t="str">
        <f>IF(AND(LEN(TRIM(D373))&gt;0, E373&lt;&gt;"Y"),CONCATENATE(D373," ",F373),F373)</f>
        <v>Ubermacht Zion Cabrio</v>
      </c>
    </row>
    <row r="374" spans="1:9" s="9" customFormat="1" ht="15.75" customHeight="1" x14ac:dyDescent="0.25">
      <c r="A374" s="6" t="s">
        <v>701</v>
      </c>
      <c r="B374" s="18" t="s">
        <v>818</v>
      </c>
      <c r="C374" s="10" t="s">
        <v>926</v>
      </c>
      <c r="D374" s="7" t="s">
        <v>5</v>
      </c>
      <c r="E374" s="7"/>
      <c r="F374" s="7" t="s">
        <v>702</v>
      </c>
      <c r="G374" s="7" t="s">
        <v>166</v>
      </c>
      <c r="H374" s="7"/>
      <c r="I374" s="8" t="str">
        <f>IF(AND(LEN(TRIM(D374))&gt;0, E374&lt;&gt;"Y"),CONCATENATE(D374," ",F374),F374)</f>
        <v>Truffade Z-Type</v>
      </c>
    </row>
  </sheetData>
  <sortState ref="A4:I374">
    <sortCondition ref="A4:A374"/>
    <sortCondition ref="B4:B374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2015-06-29T08:55:25Z</dcterms:modified>
</cp:coreProperties>
</file>