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ScriptHook\samples\EnhancedNativeTrainer\Documents\"/>
    </mc:Choice>
  </mc:AlternateContent>
  <bookViews>
    <workbookView xWindow="0" yWindow="0" windowWidth="25125" windowHeight="14220"/>
  </bookViews>
  <sheets>
    <sheet name="ped_ids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J18" i="1"/>
  <c r="J28" i="1"/>
  <c r="J29" i="1"/>
  <c r="J30" i="1"/>
  <c r="J34" i="1"/>
  <c r="J36" i="1"/>
  <c r="J38" i="1"/>
  <c r="H257" i="1"/>
  <c r="H164" i="1"/>
  <c r="H209" i="1"/>
  <c r="H43" i="1"/>
  <c r="H464" i="1"/>
  <c r="H233" i="1"/>
  <c r="H433" i="1"/>
  <c r="H162" i="1"/>
  <c r="H497" i="1"/>
  <c r="H378" i="1"/>
  <c r="H208" i="1"/>
  <c r="H45" i="1"/>
  <c r="H496" i="1"/>
  <c r="H128" i="1"/>
  <c r="H463" i="1"/>
  <c r="H44" i="1"/>
  <c r="H207" i="1"/>
  <c r="H188" i="1"/>
  <c r="H379" i="1"/>
  <c r="H432" i="1"/>
  <c r="H265" i="1"/>
  <c r="H46" i="1"/>
  <c r="H670" i="1"/>
  <c r="J670" i="1" l="1"/>
  <c r="J46" i="1"/>
  <c r="J265" i="1"/>
  <c r="J432" i="1"/>
  <c r="J379" i="1"/>
  <c r="J188" i="1"/>
  <c r="J207" i="1"/>
  <c r="J44" i="1"/>
  <c r="J463" i="1"/>
  <c r="J128" i="1"/>
  <c r="J496" i="1"/>
  <c r="J45" i="1"/>
  <c r="J208" i="1"/>
  <c r="J378" i="1"/>
  <c r="J497" i="1"/>
  <c r="J162" i="1"/>
  <c r="J433" i="1"/>
  <c r="J233" i="1"/>
  <c r="J464" i="1"/>
  <c r="J43" i="1"/>
  <c r="J209" i="1"/>
  <c r="J164" i="1"/>
  <c r="J257" i="1"/>
  <c r="D3" i="1"/>
  <c r="G4" i="1"/>
  <c r="G3" i="1"/>
  <c r="F3" i="1"/>
  <c r="D4" i="1" l="1"/>
  <c r="D5" i="1"/>
  <c r="D6" i="1"/>
  <c r="D8" i="1"/>
  <c r="D11" i="1"/>
  <c r="D12" i="1"/>
  <c r="D14" i="1"/>
  <c r="D16" i="1"/>
  <c r="D21" i="1"/>
  <c r="D7" i="1"/>
  <c r="D20" i="1"/>
  <c r="D10" i="1"/>
  <c r="D13" i="1"/>
  <c r="D15" i="1"/>
  <c r="D22" i="1"/>
  <c r="D27" i="1"/>
  <c r="D35" i="1"/>
  <c r="D19" i="1"/>
  <c r="D26" i="1"/>
  <c r="D31" i="1"/>
  <c r="D33" i="1"/>
  <c r="D9" i="1"/>
  <c r="D23" i="1"/>
  <c r="D25" i="1"/>
  <c r="D32" i="1"/>
  <c r="D37" i="1"/>
  <c r="D17" i="1"/>
  <c r="D42" i="1"/>
  <c r="D60" i="1"/>
  <c r="D78" i="1"/>
  <c r="D81" i="1"/>
  <c r="D82" i="1"/>
  <c r="D97" i="1"/>
  <c r="D108" i="1"/>
  <c r="D109" i="1"/>
  <c r="D117" i="1"/>
  <c r="D152" i="1"/>
  <c r="D158" i="1"/>
  <c r="D160" i="1"/>
  <c r="D165" i="1"/>
  <c r="D190" i="1"/>
  <c r="D203" i="1"/>
  <c r="D218" i="1"/>
  <c r="D506" i="1"/>
  <c r="D220" i="1"/>
  <c r="D223" i="1"/>
  <c r="D234" i="1"/>
  <c r="D256" i="1"/>
  <c r="D264" i="1"/>
  <c r="D282" i="1"/>
  <c r="D301" i="1"/>
  <c r="D303" i="1"/>
  <c r="D307" i="1"/>
  <c r="D354" i="1"/>
  <c r="D325" i="1"/>
  <c r="D329" i="1"/>
  <c r="D356" i="1"/>
  <c r="D361" i="1"/>
  <c r="D362" i="1"/>
  <c r="D392" i="1"/>
  <c r="D404" i="1"/>
  <c r="D646" i="1"/>
  <c r="D410" i="1"/>
  <c r="D418" i="1"/>
  <c r="D420" i="1"/>
  <c r="D446" i="1"/>
  <c r="D258" i="1"/>
  <c r="D259" i="1"/>
  <c r="D436" i="1"/>
  <c r="D123" i="1"/>
  <c r="D671" i="1"/>
  <c r="D505" i="1"/>
  <c r="D514" i="1"/>
  <c r="D523" i="1"/>
  <c r="D531" i="1"/>
  <c r="D547" i="1"/>
  <c r="D366" i="1"/>
  <c r="D578" i="1"/>
  <c r="D596" i="1"/>
  <c r="D608" i="1"/>
  <c r="D130" i="1"/>
  <c r="D624" i="1"/>
  <c r="D632" i="1"/>
  <c r="D637" i="1"/>
  <c r="D641" i="1"/>
  <c r="D663" i="1"/>
  <c r="D103" i="1"/>
  <c r="D104" i="1"/>
  <c r="D675" i="1"/>
  <c r="D688" i="1"/>
  <c r="D700" i="1"/>
  <c r="D39" i="1"/>
  <c r="D40" i="1"/>
  <c r="D41" i="1"/>
  <c r="D51" i="1"/>
  <c r="D52" i="1"/>
  <c r="D53" i="1"/>
  <c r="D54" i="1"/>
  <c r="D55" i="1"/>
  <c r="D47" i="1"/>
  <c r="D48" i="1"/>
  <c r="D49" i="1"/>
  <c r="D50" i="1"/>
  <c r="D56" i="1"/>
  <c r="D57" i="1"/>
  <c r="D58" i="1"/>
  <c r="D59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9" i="1"/>
  <c r="D80" i="1"/>
  <c r="D84" i="1"/>
  <c r="D83" i="1"/>
  <c r="D85" i="1"/>
  <c r="D86" i="1"/>
  <c r="D87" i="1"/>
  <c r="D88" i="1"/>
  <c r="D90" i="1"/>
  <c r="D91" i="1"/>
  <c r="D92" i="1"/>
  <c r="D93" i="1"/>
  <c r="D381" i="1"/>
  <c r="D95" i="1"/>
  <c r="D96" i="1"/>
  <c r="D105" i="1"/>
  <c r="D98" i="1"/>
  <c r="D99" i="1"/>
  <c r="D102" i="1"/>
  <c r="D106" i="1"/>
  <c r="D107" i="1"/>
  <c r="D678" i="1"/>
  <c r="D679" i="1"/>
  <c r="D110" i="1"/>
  <c r="D111" i="1"/>
  <c r="D112" i="1"/>
  <c r="D113" i="1"/>
  <c r="D116" i="1"/>
  <c r="D118" i="1"/>
  <c r="D119" i="1"/>
  <c r="D114" i="1"/>
  <c r="D115" i="1"/>
  <c r="D120" i="1"/>
  <c r="D121" i="1"/>
  <c r="D124" i="1"/>
  <c r="D125" i="1"/>
  <c r="D126" i="1"/>
  <c r="D127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5" i="1"/>
  <c r="D146" i="1"/>
  <c r="D147" i="1"/>
  <c r="D148" i="1"/>
  <c r="D144" i="1"/>
  <c r="D149" i="1"/>
  <c r="D150" i="1"/>
  <c r="D151" i="1"/>
  <c r="D153" i="1"/>
  <c r="D154" i="1"/>
  <c r="D155" i="1"/>
  <c r="D156" i="1"/>
  <c r="D157" i="1"/>
  <c r="D159" i="1"/>
  <c r="D161" i="1"/>
  <c r="D163" i="1"/>
  <c r="D166" i="1"/>
  <c r="D692" i="1"/>
  <c r="D693" i="1"/>
  <c r="D167" i="1"/>
  <c r="D171" i="1"/>
  <c r="D168" i="1"/>
  <c r="D170" i="1"/>
  <c r="D169" i="1"/>
  <c r="D172" i="1"/>
  <c r="D189" i="1"/>
  <c r="D337" i="1"/>
  <c r="D173" i="1"/>
  <c r="D175" i="1"/>
  <c r="D176" i="1"/>
  <c r="D174" i="1"/>
  <c r="D177" i="1"/>
  <c r="D178" i="1"/>
  <c r="D179" i="1"/>
  <c r="D94" i="1"/>
  <c r="D344" i="1"/>
  <c r="D180" i="1"/>
  <c r="D181" i="1"/>
  <c r="D182" i="1"/>
  <c r="D183" i="1"/>
  <c r="D184" i="1"/>
  <c r="D185" i="1"/>
  <c r="D186" i="1"/>
  <c r="D187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4" i="1"/>
  <c r="D205" i="1"/>
  <c r="D206" i="1"/>
  <c r="D216" i="1"/>
  <c r="D298" i="1"/>
  <c r="D210" i="1"/>
  <c r="D211" i="1"/>
  <c r="D212" i="1"/>
  <c r="D213" i="1"/>
  <c r="D214" i="1"/>
  <c r="D215" i="1"/>
  <c r="D217" i="1"/>
  <c r="D507" i="1"/>
  <c r="D219" i="1"/>
  <c r="D222" i="1"/>
  <c r="D224" i="1"/>
  <c r="D225" i="1"/>
  <c r="D228" i="1"/>
  <c r="D229" i="1"/>
  <c r="D230" i="1"/>
  <c r="D226" i="1"/>
  <c r="D227" i="1"/>
  <c r="D231" i="1"/>
  <c r="D232" i="1"/>
  <c r="D235" i="1"/>
  <c r="D236" i="1"/>
  <c r="D239" i="1"/>
  <c r="D241" i="1"/>
  <c r="D242" i="1"/>
  <c r="D243" i="1"/>
  <c r="D244" i="1"/>
  <c r="D245" i="1"/>
  <c r="D246" i="1"/>
  <c r="D247" i="1"/>
  <c r="D249" i="1"/>
  <c r="D248" i="1"/>
  <c r="D252" i="1"/>
  <c r="D253" i="1"/>
  <c r="D254" i="1"/>
  <c r="D255" i="1"/>
  <c r="D266" i="1"/>
  <c r="D267" i="1"/>
  <c r="D89" i="1"/>
  <c r="D260" i="1"/>
  <c r="D261" i="1"/>
  <c r="D262" i="1"/>
  <c r="D263" i="1"/>
  <c r="D468" i="1"/>
  <c r="D268" i="1"/>
  <c r="D269" i="1"/>
  <c r="D270" i="1"/>
  <c r="D271" i="1"/>
  <c r="D272" i="1"/>
  <c r="D273" i="1"/>
  <c r="D274" i="1"/>
  <c r="D275" i="1"/>
  <c r="D276" i="1"/>
  <c r="D289" i="1"/>
  <c r="D277" i="1"/>
  <c r="D250" i="1"/>
  <c r="D251" i="1"/>
  <c r="D278" i="1"/>
  <c r="D279" i="1"/>
  <c r="D280" i="1"/>
  <c r="D281" i="1"/>
  <c r="D283" i="1"/>
  <c r="D284" i="1"/>
  <c r="D285" i="1"/>
  <c r="D286" i="1"/>
  <c r="D287" i="1"/>
  <c r="D288" i="1"/>
  <c r="D665" i="1"/>
  <c r="D290" i="1"/>
  <c r="D292" i="1"/>
  <c r="D291" i="1"/>
  <c r="D293" i="1"/>
  <c r="D294" i="1"/>
  <c r="D295" i="1"/>
  <c r="D296" i="1"/>
  <c r="D297" i="1"/>
  <c r="D299" i="1"/>
  <c r="D300" i="1"/>
  <c r="D302" i="1"/>
  <c r="D304" i="1"/>
  <c r="D305" i="1"/>
  <c r="D306" i="1"/>
  <c r="D353" i="1"/>
  <c r="D355" i="1"/>
  <c r="D308" i="1"/>
  <c r="D309" i="1"/>
  <c r="D310" i="1"/>
  <c r="D311" i="1"/>
  <c r="D313" i="1"/>
  <c r="D314" i="1"/>
  <c r="D315" i="1"/>
  <c r="D316" i="1"/>
  <c r="D317" i="1"/>
  <c r="D318" i="1"/>
  <c r="D319" i="1"/>
  <c r="D322" i="1"/>
  <c r="D323" i="1"/>
  <c r="D324" i="1"/>
  <c r="D326" i="1"/>
  <c r="D327" i="1"/>
  <c r="D328" i="1"/>
  <c r="D320" i="1"/>
  <c r="D321" i="1"/>
  <c r="D330" i="1"/>
  <c r="D331" i="1"/>
  <c r="D333" i="1"/>
  <c r="D334" i="1"/>
  <c r="D335" i="1"/>
  <c r="D336" i="1"/>
  <c r="D312" i="1"/>
  <c r="D338" i="1"/>
  <c r="D339" i="1"/>
  <c r="D341" i="1"/>
  <c r="D342" i="1"/>
  <c r="D340" i="1"/>
  <c r="D343" i="1"/>
  <c r="D345" i="1"/>
  <c r="D346" i="1"/>
  <c r="D347" i="1"/>
  <c r="D348" i="1"/>
  <c r="D349" i="1"/>
  <c r="D351" i="1"/>
  <c r="D352" i="1"/>
  <c r="D358" i="1"/>
  <c r="D359" i="1"/>
  <c r="D357" i="1"/>
  <c r="D360" i="1"/>
  <c r="D363" i="1"/>
  <c r="D364" i="1"/>
  <c r="D456" i="1"/>
  <c r="D457" i="1"/>
  <c r="D369" i="1"/>
  <c r="D370" i="1"/>
  <c r="D371" i="1"/>
  <c r="D372" i="1"/>
  <c r="D373" i="1"/>
  <c r="D374" i="1"/>
  <c r="D375" i="1"/>
  <c r="D376" i="1"/>
  <c r="D377" i="1"/>
  <c r="D380" i="1"/>
  <c r="D382" i="1"/>
  <c r="D389" i="1"/>
  <c r="D391" i="1"/>
  <c r="D385" i="1"/>
  <c r="D383" i="1"/>
  <c r="D384" i="1"/>
  <c r="D387" i="1"/>
  <c r="D386" i="1"/>
  <c r="D388" i="1"/>
  <c r="D390" i="1"/>
  <c r="D393" i="1"/>
  <c r="D394" i="1"/>
  <c r="D395" i="1"/>
  <c r="D398" i="1"/>
  <c r="D399" i="1"/>
  <c r="D400" i="1"/>
  <c r="D401" i="1"/>
  <c r="D402" i="1"/>
  <c r="D403" i="1"/>
  <c r="D405" i="1"/>
  <c r="D406" i="1"/>
  <c r="D407" i="1"/>
  <c r="D645" i="1"/>
  <c r="D647" i="1"/>
  <c r="D648" i="1"/>
  <c r="D409" i="1"/>
  <c r="D411" i="1"/>
  <c r="D412" i="1"/>
  <c r="D413" i="1"/>
  <c r="D414" i="1"/>
  <c r="D415" i="1"/>
  <c r="D416" i="1"/>
  <c r="D417" i="1"/>
  <c r="D419" i="1"/>
  <c r="D421" i="1"/>
  <c r="D422" i="1"/>
  <c r="D423" i="1"/>
  <c r="D424" i="1"/>
  <c r="D425" i="1"/>
  <c r="D426" i="1"/>
  <c r="D368" i="1"/>
  <c r="D427" i="1"/>
  <c r="D428" i="1"/>
  <c r="D429" i="1"/>
  <c r="D430" i="1"/>
  <c r="D431" i="1"/>
  <c r="D437" i="1"/>
  <c r="D438" i="1"/>
  <c r="D439" i="1"/>
  <c r="D440" i="1"/>
  <c r="D441" i="1"/>
  <c r="D447" i="1"/>
  <c r="D442" i="1"/>
  <c r="D443" i="1"/>
  <c r="D444" i="1"/>
  <c r="D445" i="1"/>
  <c r="D448" i="1"/>
  <c r="D449" i="1"/>
  <c r="D450" i="1"/>
  <c r="D451" i="1"/>
  <c r="D452" i="1"/>
  <c r="D240" i="1"/>
  <c r="D453" i="1"/>
  <c r="D454" i="1"/>
  <c r="D455" i="1"/>
  <c r="D458" i="1"/>
  <c r="D459" i="1"/>
  <c r="D460" i="1"/>
  <c r="D461" i="1"/>
  <c r="D462" i="1"/>
  <c r="D465" i="1"/>
  <c r="D466" i="1"/>
  <c r="D473" i="1"/>
  <c r="D469" i="1"/>
  <c r="D471" i="1"/>
  <c r="D470" i="1"/>
  <c r="D472" i="1"/>
  <c r="D467" i="1"/>
  <c r="D476" i="1"/>
  <c r="D477" i="1"/>
  <c r="D474" i="1"/>
  <c r="D475" i="1"/>
  <c r="D100" i="1"/>
  <c r="D101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122" i="1"/>
  <c r="D493" i="1"/>
  <c r="D494" i="1"/>
  <c r="D495" i="1"/>
  <c r="D498" i="1"/>
  <c r="D499" i="1"/>
  <c r="D672" i="1"/>
  <c r="D500" i="1"/>
  <c r="D502" i="1"/>
  <c r="D501" i="1"/>
  <c r="D503" i="1"/>
  <c r="D504" i="1"/>
  <c r="D508" i="1"/>
  <c r="D510" i="1"/>
  <c r="D509" i="1"/>
  <c r="D511" i="1"/>
  <c r="D513" i="1"/>
  <c r="D512" i="1"/>
  <c r="D515" i="1"/>
  <c r="D516" i="1"/>
  <c r="D517" i="1"/>
  <c r="D518" i="1"/>
  <c r="D519" i="1"/>
  <c r="D520" i="1"/>
  <c r="D521" i="1"/>
  <c r="D522" i="1"/>
  <c r="D526" i="1"/>
  <c r="D524" i="1"/>
  <c r="D525" i="1"/>
  <c r="D527" i="1"/>
  <c r="D529" i="1"/>
  <c r="D530" i="1"/>
  <c r="D528" i="1"/>
  <c r="D534" i="1"/>
  <c r="D536" i="1"/>
  <c r="D537" i="1"/>
  <c r="D535" i="1"/>
  <c r="D532" i="1"/>
  <c r="D533" i="1"/>
  <c r="D538" i="1"/>
  <c r="D539" i="1"/>
  <c r="D540" i="1"/>
  <c r="D541" i="1"/>
  <c r="D543" i="1"/>
  <c r="D544" i="1"/>
  <c r="D545" i="1"/>
  <c r="D546" i="1"/>
  <c r="D542" i="1"/>
  <c r="D365" i="1"/>
  <c r="D367" i="1"/>
  <c r="D548" i="1"/>
  <c r="D549" i="1"/>
  <c r="D550" i="1"/>
  <c r="D551" i="1"/>
  <c r="D556" i="1"/>
  <c r="D561" i="1"/>
  <c r="D557" i="1"/>
  <c r="D558" i="1"/>
  <c r="D559" i="1"/>
  <c r="D560" i="1"/>
  <c r="D562" i="1"/>
  <c r="D563" i="1"/>
  <c r="D564" i="1"/>
  <c r="D565" i="1"/>
  <c r="D566" i="1"/>
  <c r="D567" i="1"/>
  <c r="D606" i="1"/>
  <c r="D221" i="1"/>
  <c r="D568" i="1"/>
  <c r="D569" i="1"/>
  <c r="D570" i="1"/>
  <c r="D332" i="1"/>
  <c r="D571" i="1"/>
  <c r="D572" i="1"/>
  <c r="D573" i="1"/>
  <c r="D552" i="1"/>
  <c r="D553" i="1"/>
  <c r="D554" i="1"/>
  <c r="D555" i="1"/>
  <c r="D574" i="1"/>
  <c r="D575" i="1"/>
  <c r="D576" i="1"/>
  <c r="D577" i="1"/>
  <c r="D579" i="1"/>
  <c r="D580" i="1"/>
  <c r="D581" i="1"/>
  <c r="D582" i="1"/>
  <c r="D583" i="1"/>
  <c r="D588" i="1"/>
  <c r="D584" i="1"/>
  <c r="D585" i="1"/>
  <c r="D586" i="1"/>
  <c r="D587" i="1"/>
  <c r="D594" i="1"/>
  <c r="D595" i="1"/>
  <c r="D599" i="1"/>
  <c r="D600" i="1"/>
  <c r="D601" i="1"/>
  <c r="D589" i="1"/>
  <c r="D590" i="1"/>
  <c r="D591" i="1"/>
  <c r="D592" i="1"/>
  <c r="D597" i="1"/>
  <c r="D598" i="1"/>
  <c r="D602" i="1"/>
  <c r="D603" i="1"/>
  <c r="D604" i="1"/>
  <c r="D605" i="1"/>
  <c r="D593" i="1"/>
  <c r="D607" i="1"/>
  <c r="D609" i="1"/>
  <c r="D129" i="1"/>
  <c r="D610" i="1"/>
  <c r="D611" i="1"/>
  <c r="D396" i="1"/>
  <c r="D397" i="1"/>
  <c r="D618" i="1"/>
  <c r="D619" i="1"/>
  <c r="D620" i="1"/>
  <c r="D622" i="1"/>
  <c r="D621" i="1"/>
  <c r="D623" i="1"/>
  <c r="D625" i="1"/>
  <c r="D612" i="1"/>
  <c r="D613" i="1"/>
  <c r="D614" i="1"/>
  <c r="D615" i="1"/>
  <c r="D616" i="1"/>
  <c r="D617" i="1"/>
  <c r="D694" i="1"/>
  <c r="D695" i="1"/>
  <c r="D626" i="1"/>
  <c r="D627" i="1"/>
  <c r="D628" i="1"/>
  <c r="D629" i="1"/>
  <c r="D630" i="1"/>
  <c r="D631" i="1"/>
  <c r="D633" i="1"/>
  <c r="D634" i="1"/>
  <c r="D635" i="1"/>
  <c r="D636" i="1"/>
  <c r="D350" i="1"/>
  <c r="D638" i="1"/>
  <c r="D642" i="1"/>
  <c r="D639" i="1"/>
  <c r="D640" i="1"/>
  <c r="D643" i="1"/>
  <c r="D644" i="1"/>
  <c r="D649" i="1"/>
  <c r="D237" i="1"/>
  <c r="D238" i="1"/>
  <c r="D650" i="1"/>
  <c r="D651" i="1"/>
  <c r="D652" i="1"/>
  <c r="D653" i="1"/>
  <c r="D655" i="1"/>
  <c r="D656" i="1"/>
  <c r="D654" i="1"/>
  <c r="D657" i="1"/>
  <c r="D658" i="1"/>
  <c r="D659" i="1"/>
  <c r="D660" i="1"/>
  <c r="D661" i="1"/>
  <c r="D662" i="1"/>
  <c r="D664" i="1"/>
  <c r="D666" i="1"/>
  <c r="D667" i="1"/>
  <c r="D668" i="1"/>
  <c r="D669" i="1"/>
  <c r="D673" i="1"/>
  <c r="D674" i="1"/>
  <c r="D676" i="1"/>
  <c r="D677" i="1"/>
  <c r="D680" i="1"/>
  <c r="D681" i="1"/>
  <c r="D682" i="1"/>
  <c r="D683" i="1"/>
  <c r="D684" i="1"/>
  <c r="D685" i="1"/>
  <c r="D686" i="1"/>
  <c r="D687" i="1"/>
  <c r="D689" i="1"/>
  <c r="D690" i="1"/>
  <c r="D691" i="1"/>
  <c r="D408" i="1"/>
  <c r="D696" i="1"/>
  <c r="D434" i="1"/>
  <c r="D435" i="1"/>
  <c r="D697" i="1"/>
  <c r="D698" i="1"/>
  <c r="D699" i="1"/>
  <c r="D701" i="1"/>
  <c r="F231" i="1"/>
  <c r="I282" i="1"/>
  <c r="F402" i="1"/>
  <c r="F571" i="1"/>
  <c r="F151" i="1"/>
  <c r="F4" i="1"/>
  <c r="F298" i="1"/>
  <c r="I667" i="1"/>
  <c r="I633" i="1"/>
  <c r="F492" i="1"/>
  <c r="I455" i="1"/>
  <c r="I118" i="1"/>
  <c r="F669" i="1"/>
  <c r="G5" i="1"/>
  <c r="F50" i="1"/>
  <c r="F259" i="1"/>
  <c r="F405" i="1"/>
  <c r="I114" i="1"/>
  <c r="F586" i="1"/>
  <c r="I441" i="1"/>
  <c r="F637" i="1"/>
  <c r="F320" i="1"/>
  <c r="I57" i="1"/>
  <c r="I243" i="1"/>
  <c r="I93" i="1"/>
  <c r="F538" i="1"/>
  <c r="F87" i="1"/>
  <c r="F384" i="1"/>
  <c r="F386" i="1"/>
  <c r="F546" i="1"/>
  <c r="F171" i="1"/>
  <c r="F272" i="1"/>
  <c r="F651" i="1"/>
  <c r="I194" i="1"/>
  <c r="I138" i="1"/>
  <c r="I320" i="1"/>
  <c r="I528" i="1"/>
  <c r="F450" i="1"/>
  <c r="I287" i="1"/>
  <c r="I358" i="1"/>
  <c r="F360" i="1"/>
  <c r="I173" i="1"/>
  <c r="F150" i="1"/>
  <c r="F438" i="1"/>
  <c r="F667" i="1"/>
  <c r="F418" i="1"/>
  <c r="I512" i="1"/>
  <c r="I576" i="1"/>
  <c r="I183" i="1"/>
  <c r="H340" i="1"/>
  <c r="F561" i="1"/>
  <c r="I69" i="1"/>
  <c r="G159" i="1"/>
  <c r="F364" i="1"/>
  <c r="I132" i="1"/>
  <c r="H276" i="1"/>
  <c r="H577" i="1"/>
  <c r="F105" i="1"/>
  <c r="F452" i="1"/>
  <c r="I686" i="1"/>
  <c r="I280" i="1"/>
  <c r="F229" i="1"/>
  <c r="I412" i="1"/>
  <c r="G388" i="1"/>
  <c r="I135" i="1"/>
  <c r="F197" i="1"/>
  <c r="F597" i="1"/>
  <c r="I646" i="1"/>
  <c r="H303" i="1"/>
  <c r="I406" i="1"/>
  <c r="I195" i="1"/>
  <c r="I143" i="1"/>
  <c r="G236" i="1"/>
  <c r="H627" i="1"/>
  <c r="F630" i="1"/>
  <c r="I281" i="1"/>
  <c r="H269" i="1"/>
  <c r="I408" i="1"/>
  <c r="H326" i="1"/>
  <c r="I266" i="1"/>
  <c r="H49" i="1"/>
  <c r="H374" i="1"/>
  <c r="G646" i="1"/>
  <c r="F550" i="1"/>
  <c r="I86" i="1"/>
  <c r="I160" i="1"/>
  <c r="F390" i="1"/>
  <c r="F656" i="1"/>
  <c r="F191" i="1"/>
  <c r="H427" i="1"/>
  <c r="F408" i="1"/>
  <c r="I477" i="1"/>
  <c r="F91" i="1"/>
  <c r="F335" i="1"/>
  <c r="I557" i="1"/>
  <c r="G428" i="1"/>
  <c r="F395" i="1"/>
  <c r="I444" i="1"/>
  <c r="I319" i="1"/>
  <c r="G580" i="1"/>
  <c r="H564" i="1"/>
  <c r="H656" i="1"/>
  <c r="H701" i="1"/>
  <c r="G84" i="1"/>
  <c r="G576" i="1"/>
  <c r="I590" i="1"/>
  <c r="H506" i="1"/>
  <c r="H454" i="1"/>
  <c r="H360" i="1"/>
  <c r="I612" i="1"/>
  <c r="G122" i="1"/>
  <c r="H513" i="1"/>
  <c r="G332" i="1"/>
  <c r="I39" i="1"/>
  <c r="F456" i="1"/>
  <c r="I217" i="1"/>
  <c r="I338" i="1"/>
  <c r="I252" i="1"/>
  <c r="H407" i="1"/>
  <c r="H580" i="1"/>
  <c r="I361" i="1"/>
  <c r="H505" i="1"/>
  <c r="I199" i="1"/>
  <c r="H190" i="1"/>
  <c r="G528" i="1"/>
  <c r="H300" i="1"/>
  <c r="F294" i="1"/>
  <c r="F110" i="1"/>
  <c r="F56" i="1"/>
  <c r="F340" i="1"/>
  <c r="I611" i="1"/>
  <c r="F487" i="1"/>
  <c r="I331" i="1"/>
  <c r="F476" i="1"/>
  <c r="I340" i="1"/>
  <c r="F535" i="1"/>
  <c r="I310" i="1"/>
  <c r="F107" i="1"/>
  <c r="F124" i="1"/>
  <c r="I126" i="1"/>
  <c r="F416" i="1"/>
  <c r="F226" i="1"/>
  <c r="F201" i="1"/>
  <c r="F200" i="1"/>
  <c r="F163" i="1"/>
  <c r="F42" i="1"/>
  <c r="F404" i="1"/>
  <c r="I178" i="1"/>
  <c r="F342" i="1"/>
  <c r="F92" i="1"/>
  <c r="I83" i="1"/>
  <c r="F144" i="1"/>
  <c r="F458" i="1"/>
  <c r="I383" i="1"/>
  <c r="I410" i="1"/>
  <c r="I186" i="1"/>
  <c r="F581" i="1"/>
  <c r="F165" i="1"/>
  <c r="I181" i="1"/>
  <c r="H403" i="1"/>
  <c r="F653" i="1"/>
  <c r="I534" i="1"/>
  <c r="F461" i="1"/>
  <c r="I492" i="1"/>
  <c r="F373" i="1"/>
  <c r="F97" i="1"/>
  <c r="F254" i="1"/>
  <c r="I163" i="1"/>
  <c r="F355" i="1"/>
  <c r="F530" i="1"/>
  <c r="I263" i="1"/>
  <c r="I493" i="1"/>
  <c r="G380" i="1"/>
  <c r="I671" i="1"/>
  <c r="I249" i="1"/>
  <c r="F60" i="1"/>
  <c r="F478" i="1"/>
  <c r="I473" i="1"/>
  <c r="I587" i="1"/>
  <c r="I529" i="1"/>
  <c r="F133" i="1"/>
  <c r="F119" i="1"/>
  <c r="I299" i="1"/>
  <c r="F393" i="1"/>
  <c r="I499" i="1"/>
  <c r="F291" i="1"/>
  <c r="I635" i="1"/>
  <c r="I343" i="1"/>
  <c r="I428" i="1"/>
  <c r="I625" i="1"/>
  <c r="I121" i="1"/>
  <c r="H620" i="1"/>
  <c r="H319" i="1"/>
  <c r="I283" i="1"/>
  <c r="I133" i="1"/>
  <c r="G474" i="1"/>
  <c r="H210" i="1"/>
  <c r="I591" i="1"/>
  <c r="I445" i="1"/>
  <c r="G98" i="1"/>
  <c r="H382" i="1"/>
  <c r="G405" i="1"/>
  <c r="I303" i="1"/>
  <c r="G672" i="1"/>
  <c r="G230" i="1"/>
  <c r="G700" i="1"/>
  <c r="F643" i="1"/>
  <c r="F631" i="1"/>
  <c r="F611" i="1"/>
  <c r="I122" i="1"/>
  <c r="F250" i="1"/>
  <c r="I269" i="1"/>
  <c r="H111" i="1"/>
  <c r="I327" i="1"/>
  <c r="I694" i="1"/>
  <c r="F483" i="1"/>
  <c r="I294" i="1"/>
  <c r="H304" i="1"/>
  <c r="H509" i="1"/>
  <c r="I82" i="1"/>
  <c r="I643" i="1"/>
  <c r="H614" i="1"/>
  <c r="H418" i="1"/>
  <c r="G439" i="1"/>
  <c r="F49" i="1"/>
  <c r="F304" i="1"/>
  <c r="I227" i="1"/>
  <c r="F599" i="1"/>
  <c r="F131" i="1"/>
  <c r="F225" i="1"/>
  <c r="F494" i="1"/>
  <c r="F551" i="1"/>
  <c r="I562" i="1"/>
  <c r="I651" i="1"/>
  <c r="I479" i="1"/>
  <c r="F297" i="1"/>
  <c r="F587" i="1"/>
  <c r="F537" i="1"/>
  <c r="I416" i="1"/>
  <c r="F529" i="1"/>
  <c r="I234" i="1"/>
  <c r="F103" i="1"/>
  <c r="F267" i="1"/>
  <c r="I480" i="1"/>
  <c r="F112" i="1"/>
  <c r="F374" i="1"/>
  <c r="F237" i="1"/>
  <c r="H234" i="1"/>
  <c r="F657" i="1"/>
  <c r="I51" i="1"/>
  <c r="F203" i="1"/>
  <c r="I678" i="1"/>
  <c r="F401" i="1"/>
  <c r="I609" i="1"/>
  <c r="F149" i="1"/>
  <c r="F362" i="1"/>
  <c r="F658" i="1"/>
  <c r="F116" i="1"/>
  <c r="F605" i="1"/>
  <c r="F372" i="1"/>
  <c r="I372" i="1"/>
  <c r="F190" i="1"/>
  <c r="F114" i="1"/>
  <c r="F205" i="1"/>
  <c r="F610" i="1"/>
  <c r="F690" i="1"/>
  <c r="I400" i="1"/>
  <c r="I377" i="1"/>
  <c r="F692" i="1"/>
  <c r="F40" i="1"/>
  <c r="F552" i="1"/>
  <c r="I3" i="1"/>
  <c r="F292" i="1"/>
  <c r="F251" i="1"/>
  <c r="F426" i="1"/>
  <c r="I248" i="1"/>
  <c r="F145" i="1"/>
  <c r="F620" i="1"/>
  <c r="I216" i="1"/>
  <c r="F167" i="1"/>
  <c r="H426" i="1"/>
  <c r="I223" i="1"/>
  <c r="F109" i="1"/>
  <c r="F399" i="1"/>
  <c r="F520" i="1"/>
  <c r="F102" i="1"/>
  <c r="I172" i="1"/>
  <c r="I460" i="1"/>
  <c r="F595" i="1"/>
  <c r="I202" i="1"/>
  <c r="I613" i="1"/>
  <c r="F122" i="1"/>
  <c r="I55" i="1"/>
  <c r="H348" i="1"/>
  <c r="I427" i="1"/>
  <c r="F63" i="1"/>
  <c r="I91" i="1"/>
  <c r="F503" i="1"/>
  <c r="I5" i="1"/>
  <c r="I685" i="1"/>
  <c r="I589" i="1"/>
  <c r="I356" i="1"/>
  <c r="I486" i="1"/>
  <c r="I608" i="1"/>
  <c r="I117" i="1"/>
  <c r="F574" i="1"/>
  <c r="I110" i="1"/>
  <c r="I666" i="1"/>
  <c r="I663" i="1"/>
  <c r="I535" i="1"/>
  <c r="H219" i="1"/>
  <c r="I417" i="1"/>
  <c r="F177" i="1"/>
  <c r="F115" i="1"/>
  <c r="F117" i="1"/>
  <c r="F585" i="1"/>
  <c r="I349" i="1"/>
  <c r="F403" i="1"/>
  <c r="I360" i="1"/>
  <c r="F266" i="1"/>
  <c r="I371" i="1"/>
  <c r="H615" i="1"/>
  <c r="F580" i="1"/>
  <c r="H438" i="1"/>
  <c r="F194" i="1"/>
  <c r="H600" i="1"/>
  <c r="I599" i="1"/>
  <c r="G551" i="1"/>
  <c r="I98" i="1"/>
  <c r="H457" i="1"/>
  <c r="I597" i="1"/>
  <c r="H367" i="1"/>
  <c r="H140" i="1"/>
  <c r="G322" i="1"/>
  <c r="H502" i="1"/>
  <c r="G219" i="1"/>
  <c r="H563" i="1"/>
  <c r="I569" i="1"/>
  <c r="I628" i="1"/>
  <c r="I501" i="1"/>
  <c r="F154" i="1"/>
  <c r="I459" i="1"/>
  <c r="I402" i="1"/>
  <c r="I536" i="1"/>
  <c r="I80" i="1"/>
  <c r="F663" i="1"/>
  <c r="H539" i="1"/>
  <c r="F583" i="1"/>
  <c r="I231" i="1"/>
  <c r="I64" i="1"/>
  <c r="I404" i="1"/>
  <c r="H292" i="1"/>
  <c r="I85" i="1"/>
  <c r="I500" i="1"/>
  <c r="I434" i="1"/>
  <c r="H621" i="1"/>
  <c r="I224" i="1"/>
  <c r="I214" i="1"/>
  <c r="I438" i="1"/>
  <c r="G671" i="1"/>
  <c r="G604" i="1"/>
  <c r="I509" i="1"/>
  <c r="I701" i="1"/>
  <c r="I681" i="1"/>
  <c r="I95" i="1"/>
  <c r="H213" i="1"/>
  <c r="H609" i="1"/>
  <c r="G654" i="1"/>
  <c r="G361" i="1"/>
  <c r="H517" i="1"/>
  <c r="I552" i="1"/>
  <c r="I504" i="1"/>
  <c r="I507" i="1"/>
  <c r="H253" i="1"/>
  <c r="F120" i="1"/>
  <c r="F664" i="1"/>
  <c r="F241" i="1"/>
  <c r="I688" i="1"/>
  <c r="I582" i="1"/>
  <c r="I586" i="1"/>
  <c r="I72" i="1"/>
  <c r="H76" i="1"/>
  <c r="H684" i="1"/>
  <c r="G413" i="1"/>
  <c r="F168" i="1"/>
  <c r="F635" i="1"/>
  <c r="F228" i="1"/>
  <c r="F541" i="1"/>
  <c r="F560" i="1"/>
  <c r="F485" i="1"/>
  <c r="I692" i="1"/>
  <c r="F157" i="1"/>
  <c r="I336" i="1"/>
  <c r="I614" i="1"/>
  <c r="F356" i="1"/>
  <c r="I420" i="1"/>
  <c r="G100" i="1"/>
  <c r="F383" i="1"/>
  <c r="F576" i="1"/>
  <c r="F411" i="1"/>
  <c r="I184" i="1"/>
  <c r="F568" i="1"/>
  <c r="F470" i="1"/>
  <c r="I147" i="1"/>
  <c r="I241" i="1"/>
  <c r="F213" i="1"/>
  <c r="I645" i="1"/>
  <c r="I304" i="1"/>
  <c r="H92" i="1"/>
  <c r="G101" i="1"/>
  <c r="F398" i="1"/>
  <c r="F316" i="1"/>
  <c r="F562" i="1"/>
  <c r="I106" i="1"/>
  <c r="I596" i="1"/>
  <c r="H404" i="1"/>
  <c r="I510" i="1"/>
  <c r="I171" i="1"/>
  <c r="F523" i="1"/>
  <c r="F138" i="1"/>
  <c r="F700" i="1"/>
  <c r="H440" i="1"/>
  <c r="F604" i="1"/>
  <c r="F224" i="1"/>
  <c r="I474" i="1"/>
  <c r="F187" i="1"/>
  <c r="F671" i="1"/>
  <c r="F339" i="1"/>
  <c r="F387" i="1"/>
  <c r="I654" i="1"/>
  <c r="I640" i="1"/>
  <c r="F486" i="1"/>
  <c r="I385" i="1"/>
  <c r="F61" i="1"/>
  <c r="F55" i="1"/>
  <c r="H372" i="1"/>
  <c r="F368" i="1"/>
  <c r="I476" i="1"/>
  <c r="H478" i="1"/>
  <c r="H667" i="1"/>
  <c r="F158" i="1"/>
  <c r="F558" i="1"/>
  <c r="I487" i="1"/>
  <c r="I268" i="1"/>
  <c r="I87" i="1"/>
  <c r="F490" i="1"/>
  <c r="I490" i="1"/>
  <c r="F290" i="1"/>
  <c r="H677" i="1"/>
  <c r="I396" i="1"/>
  <c r="I296" i="1"/>
  <c r="H220" i="1"/>
  <c r="I170" i="1"/>
  <c r="G400" i="1"/>
  <c r="F569" i="1"/>
  <c r="H258" i="1"/>
  <c r="H131" i="1"/>
  <c r="I235" i="1"/>
  <c r="G569" i="1"/>
  <c r="H567" i="1"/>
  <c r="G119" i="1"/>
  <c r="H160" i="1"/>
  <c r="H487" i="1"/>
  <c r="I693" i="1"/>
  <c r="I391" i="1"/>
  <c r="G688" i="1"/>
  <c r="F275" i="1"/>
  <c r="F273" i="1"/>
  <c r="I155" i="1"/>
  <c r="I255" i="1"/>
  <c r="I665" i="1"/>
  <c r="G60" i="1"/>
  <c r="F345" i="1"/>
  <c r="I632" i="1"/>
  <c r="I620" i="1"/>
  <c r="H635" i="1"/>
  <c r="I541" i="1"/>
  <c r="H261" i="1"/>
  <c r="I148" i="1"/>
  <c r="H40" i="1"/>
  <c r="I53" i="1"/>
  <c r="H429" i="1"/>
  <c r="I359" i="1"/>
  <c r="H441" i="1"/>
  <c r="H351" i="1"/>
  <c r="F413" i="1"/>
  <c r="F417" i="1"/>
  <c r="F655" i="1"/>
  <c r="F111" i="1"/>
  <c r="I491" i="1"/>
  <c r="I274" i="1"/>
  <c r="F397" i="1"/>
  <c r="I568" i="1"/>
  <c r="I41" i="1"/>
  <c r="F52" i="1"/>
  <c r="I388" i="1"/>
  <c r="F86" i="1"/>
  <c r="F410" i="1"/>
  <c r="F589" i="1"/>
  <c r="I669" i="1"/>
  <c r="I315" i="1"/>
  <c r="F547" i="1"/>
  <c r="F39" i="1"/>
  <c r="H474" i="1"/>
  <c r="I421" i="1"/>
  <c r="F481" i="1"/>
  <c r="H414" i="1"/>
  <c r="I107" i="1"/>
  <c r="H471" i="1"/>
  <c r="I111" i="1"/>
  <c r="I332" i="1"/>
  <c r="H637" i="1"/>
  <c r="F518" i="1"/>
  <c r="H310" i="1"/>
  <c r="G203" i="1"/>
  <c r="H97" i="1"/>
  <c r="H391" i="1"/>
  <c r="G645" i="1"/>
  <c r="I600" i="1"/>
  <c r="G389" i="1"/>
  <c r="H197" i="1"/>
  <c r="G40" i="1"/>
  <c r="F600" i="1"/>
  <c r="H139" i="1"/>
  <c r="I619" i="1"/>
  <c r="H435" i="1"/>
  <c r="H460" i="1"/>
  <c r="I511" i="1"/>
  <c r="H535" i="1"/>
  <c r="I60" i="1"/>
  <c r="F400" i="1"/>
  <c r="H229" i="1"/>
  <c r="G275" i="1"/>
  <c r="F582" i="1"/>
  <c r="H84" i="1"/>
  <c r="G237" i="1"/>
  <c r="H617" i="1"/>
  <c r="H168" i="1"/>
  <c r="G114" i="1"/>
  <c r="I604" i="1"/>
  <c r="F242" i="1"/>
  <c r="I554" i="1"/>
  <c r="I47" i="1"/>
  <c r="F132" i="1"/>
  <c r="I238" i="1"/>
  <c r="G534" i="1"/>
  <c r="H586" i="1"/>
  <c r="H248" i="1"/>
  <c r="H592" i="1"/>
  <c r="I267" i="1"/>
  <c r="H68" i="1"/>
  <c r="I182" i="1"/>
  <c r="I505" i="1"/>
  <c r="I465" i="1"/>
  <c r="H337" i="1"/>
  <c r="H447" i="1"/>
  <c r="H381" i="1"/>
  <c r="H243" i="1"/>
  <c r="F153" i="1"/>
  <c r="I585" i="1"/>
  <c r="F176" i="1"/>
  <c r="I141" i="1"/>
  <c r="F507" i="1"/>
  <c r="H371" i="1"/>
  <c r="I494" i="1"/>
  <c r="F482" i="1"/>
  <c r="F274" i="1"/>
  <c r="I298" i="1"/>
  <c r="F307" i="1"/>
  <c r="I629" i="1"/>
  <c r="I446" i="1"/>
  <c r="I571" i="1"/>
  <c r="I652" i="1"/>
  <c r="H225" i="1"/>
  <c r="F306" i="1"/>
  <c r="F642" i="1"/>
  <c r="F474" i="1"/>
  <c r="I489" i="1"/>
  <c r="F440" i="1"/>
  <c r="I618" i="1"/>
  <c r="I369" i="1"/>
  <c r="I115" i="1"/>
  <c r="H42" i="1"/>
  <c r="H4" i="1"/>
  <c r="I316" i="1"/>
  <c r="F424" i="1"/>
  <c r="I546" i="1"/>
  <c r="H177" i="1"/>
  <c r="I247" i="1"/>
  <c r="I88" i="1"/>
  <c r="H594" i="1"/>
  <c r="H439" i="1"/>
  <c r="H316" i="1"/>
  <c r="I522" i="1"/>
  <c r="H552" i="1"/>
  <c r="H659" i="1"/>
  <c r="F239" i="1"/>
  <c r="F578" i="1"/>
  <c r="F186" i="1"/>
  <c r="H272" i="1"/>
  <c r="F693" i="1"/>
  <c r="I470" i="1"/>
  <c r="F198" i="1"/>
  <c r="I553" i="1"/>
  <c r="H99" i="1"/>
  <c r="G601" i="1"/>
  <c r="G323" i="1"/>
  <c r="H607" i="1"/>
  <c r="G118" i="1"/>
  <c r="G632" i="1"/>
  <c r="H628" i="1"/>
  <c r="H467" i="1"/>
  <c r="F143" i="1"/>
  <c r="H105" i="1"/>
  <c r="I225" i="1"/>
  <c r="F346" i="1"/>
  <c r="I561" i="1"/>
  <c r="I653" i="1"/>
  <c r="I592" i="1"/>
  <c r="H172" i="1"/>
  <c r="F146" i="1"/>
  <c r="H431" i="1"/>
  <c r="G103" i="1"/>
  <c r="I447" i="1"/>
  <c r="H376" i="1"/>
  <c r="G486" i="1"/>
  <c r="I520" i="1"/>
  <c r="H339" i="1"/>
  <c r="H585" i="1"/>
  <c r="H114" i="1"/>
  <c r="I577" i="1"/>
  <c r="G120" i="1"/>
  <c r="F173" i="1"/>
  <c r="I168" i="1"/>
  <c r="F632" i="1"/>
  <c r="F147" i="1"/>
  <c r="H665" i="1"/>
  <c r="H516" i="1"/>
  <c r="F359" i="1"/>
  <c r="H155" i="1"/>
  <c r="I508" i="1"/>
  <c r="I442" i="1"/>
  <c r="I201" i="1"/>
  <c r="I482" i="1"/>
  <c r="F336" i="1"/>
  <c r="G136" i="1"/>
  <c r="I348" i="1"/>
  <c r="I363" i="1"/>
  <c r="I157" i="1"/>
  <c r="F348" i="1"/>
  <c r="F601" i="1"/>
  <c r="F409" i="1"/>
  <c r="I52" i="1"/>
  <c r="F436" i="1"/>
  <c r="I191" i="1"/>
  <c r="H642" i="1"/>
  <c r="F108" i="1"/>
  <c r="F549" i="1"/>
  <c r="I161" i="1"/>
  <c r="F121" i="1"/>
  <c r="I193" i="1"/>
  <c r="F662" i="1"/>
  <c r="H511" i="1"/>
  <c r="I485" i="1"/>
  <c r="H108" i="1"/>
  <c r="F182" i="1"/>
  <c r="H259" i="1"/>
  <c r="I617" i="1"/>
  <c r="I624" i="1"/>
  <c r="H591" i="1"/>
  <c r="H222" i="1"/>
  <c r="I344" i="1"/>
  <c r="H215" i="1"/>
  <c r="H437" i="1"/>
  <c r="G259" i="1"/>
  <c r="G104" i="1"/>
  <c r="I687" i="1"/>
  <c r="G343" i="1"/>
  <c r="I424" i="1"/>
  <c r="G174" i="1"/>
  <c r="F421" i="1"/>
  <c r="I443" i="1"/>
  <c r="G193" i="1"/>
  <c r="H65" i="1"/>
  <c r="F672" i="1"/>
  <c r="H260" i="1"/>
  <c r="H163" i="1"/>
  <c r="G326" i="1"/>
  <c r="I384" i="1"/>
  <c r="H373" i="1"/>
  <c r="I270" i="1"/>
  <c r="I664" i="1"/>
  <c r="G376" i="1"/>
  <c r="H436" i="1"/>
  <c r="I452" i="1"/>
  <c r="H480" i="1"/>
  <c r="H611" i="1"/>
  <c r="I598" i="1"/>
  <c r="F407" i="1"/>
  <c r="H532" i="1"/>
  <c r="I200" i="1"/>
  <c r="F521" i="1"/>
  <c r="G153" i="1"/>
  <c r="H152" i="1"/>
  <c r="H75" i="1"/>
  <c r="I119" i="1"/>
  <c r="I239" i="1"/>
  <c r="G431" i="1"/>
  <c r="G556" i="1"/>
  <c r="H626" i="1"/>
  <c r="H649" i="1"/>
  <c r="G149" i="1"/>
  <c r="G249" i="1"/>
  <c r="H53" i="1"/>
  <c r="I279" i="1"/>
  <c r="F285" i="1"/>
  <c r="F305" i="1"/>
  <c r="I696" i="1"/>
  <c r="G306" i="1"/>
  <c r="F5" i="1"/>
  <c r="I284" i="1"/>
  <c r="F636" i="1"/>
  <c r="I250" i="1"/>
  <c r="G697" i="1"/>
  <c r="F504" i="1"/>
  <c r="F343" i="1"/>
  <c r="I341" i="1"/>
  <c r="F590" i="1"/>
  <c r="F289" i="1"/>
  <c r="F584" i="1"/>
  <c r="I321" i="1"/>
  <c r="I659" i="1"/>
  <c r="I375" i="1"/>
  <c r="F166" i="1"/>
  <c r="F644" i="1"/>
  <c r="I109" i="1"/>
  <c r="I196" i="1"/>
  <c r="F654" i="1"/>
  <c r="F54" i="1"/>
  <c r="H317" i="1"/>
  <c r="H345" i="1"/>
  <c r="F315" i="1"/>
  <c r="F227" i="1"/>
  <c r="I84" i="1"/>
  <c r="I308" i="1"/>
  <c r="I286" i="1"/>
  <c r="I242" i="1"/>
  <c r="F462" i="1"/>
  <c r="I149" i="1"/>
  <c r="I660" i="1"/>
  <c r="H118" i="1"/>
  <c r="H515" i="1"/>
  <c r="H503" i="1"/>
  <c r="G204" i="1"/>
  <c r="H663" i="1"/>
  <c r="F113" i="1"/>
  <c r="F57" i="1"/>
  <c r="I426" i="1"/>
  <c r="H549" i="1"/>
  <c r="I543" i="1"/>
  <c r="I547" i="1"/>
  <c r="I306" i="1"/>
  <c r="I198" i="1"/>
  <c r="H246" i="1"/>
  <c r="I430" i="1"/>
  <c r="H283" i="1"/>
  <c r="H475" i="1"/>
  <c r="H305" i="1"/>
  <c r="H694" i="1"/>
  <c r="H688" i="1"/>
  <c r="H129" i="1"/>
  <c r="G586" i="1"/>
  <c r="H422" i="1"/>
  <c r="G88" i="1"/>
  <c r="F423" i="1"/>
  <c r="I150" i="1"/>
  <c r="I346" i="1"/>
  <c r="G340" i="1"/>
  <c r="I437" i="1"/>
  <c r="I527" i="1"/>
  <c r="H572" i="1"/>
  <c r="H173" i="1"/>
  <c r="G313" i="1"/>
  <c r="H499" i="1"/>
  <c r="I81" i="1"/>
  <c r="I555" i="1"/>
  <c r="I601" i="1"/>
  <c r="H358" i="1"/>
  <c r="H443" i="1"/>
  <c r="H124" i="1"/>
  <c r="G695" i="1"/>
  <c r="G452" i="1"/>
  <c r="I96" i="1"/>
  <c r="I220" i="1"/>
  <c r="H109" i="1"/>
  <c r="I422" i="1"/>
  <c r="I673" i="1"/>
  <c r="F388" i="1"/>
  <c r="F650" i="1"/>
  <c r="F649" i="1"/>
  <c r="H294" i="1"/>
  <c r="H181" i="1"/>
  <c r="G451" i="1"/>
  <c r="H681" i="1"/>
  <c r="H328" i="1"/>
  <c r="F220" i="1"/>
  <c r="G492" i="1"/>
  <c r="G85" i="1"/>
  <c r="I125" i="1"/>
  <c r="G113" i="1"/>
  <c r="G250" i="1"/>
  <c r="G618" i="1"/>
  <c r="F219" i="1"/>
  <c r="I435" i="1"/>
  <c r="H120" i="1"/>
  <c r="H123" i="1"/>
  <c r="H664" i="1"/>
  <c r="H275" i="1"/>
  <c r="I368" i="1"/>
  <c r="G537" i="1"/>
  <c r="I253" i="1"/>
  <c r="I65" i="1"/>
  <c r="G154" i="1"/>
  <c r="G479" i="1"/>
  <c r="G308" i="1"/>
  <c r="G99" i="1"/>
  <c r="G588" i="1"/>
  <c r="H651" i="1"/>
  <c r="G686" i="1"/>
  <c r="I353" i="1"/>
  <c r="G462" i="1"/>
  <c r="F139" i="1"/>
  <c r="I677" i="1"/>
  <c r="I108" i="1"/>
  <c r="H673" i="1"/>
  <c r="F99" i="1"/>
  <c r="I236" i="1"/>
  <c r="F353" i="1"/>
  <c r="I228" i="1"/>
  <c r="I79" i="1"/>
  <c r="I695" i="1"/>
  <c r="H613" i="1"/>
  <c r="F475" i="1"/>
  <c r="H141" i="1"/>
  <c r="F531" i="1"/>
  <c r="I123" i="1"/>
  <c r="I300" i="1"/>
  <c r="I4" i="1"/>
  <c r="I297" i="1"/>
  <c r="F178" i="1"/>
  <c r="I423" i="1"/>
  <c r="F666" i="1"/>
  <c r="F477" i="1"/>
  <c r="F123" i="1"/>
  <c r="I472" i="1"/>
  <c r="I393" i="1"/>
  <c r="H446" i="1"/>
  <c r="I700" i="1"/>
  <c r="H281" i="1"/>
  <c r="I551" i="1"/>
  <c r="F214" i="1"/>
  <c r="H647" i="1"/>
  <c r="I409" i="1"/>
  <c r="F480" i="1"/>
  <c r="I179" i="1"/>
  <c r="I273" i="1"/>
  <c r="I302" i="1"/>
  <c r="F557" i="1"/>
  <c r="H308" i="1"/>
  <c r="H396" i="1"/>
  <c r="I588" i="1"/>
  <c r="H62" i="1"/>
  <c r="H70" i="1"/>
  <c r="I177" i="1"/>
  <c r="F484" i="1"/>
  <c r="F396" i="1"/>
  <c r="I278" i="1"/>
  <c r="G375" i="1"/>
  <c r="G139" i="1"/>
  <c r="G639" i="1"/>
  <c r="G287" i="1"/>
  <c r="G592" i="1"/>
  <c r="H150" i="1"/>
  <c r="I641" i="1"/>
  <c r="H394" i="1"/>
  <c r="H450" i="1"/>
  <c r="F633" i="1"/>
  <c r="H662" i="1"/>
  <c r="I102" i="1"/>
  <c r="H458" i="1"/>
  <c r="F556" i="1"/>
  <c r="I333" i="1"/>
  <c r="F137" i="1"/>
  <c r="G453" i="1"/>
  <c r="H205" i="1"/>
  <c r="H343" i="1"/>
  <c r="H687" i="1"/>
  <c r="H417" i="1"/>
  <c r="G290" i="1"/>
  <c r="G92" i="1"/>
  <c r="G504" i="1"/>
  <c r="H644" i="1"/>
  <c r="G224" i="1"/>
  <c r="H674" i="1"/>
  <c r="H569" i="1"/>
  <c r="F369" i="1"/>
  <c r="H126" i="1"/>
  <c r="G269" i="1"/>
  <c r="F252" i="1"/>
  <c r="I259" i="1"/>
  <c r="F104" i="1"/>
  <c r="I644" i="1"/>
  <c r="F321" i="1"/>
  <c r="F334" i="1"/>
  <c r="I563" i="1"/>
  <c r="I335" i="1"/>
  <c r="I658" i="1"/>
  <c r="I483" i="1"/>
  <c r="F358" i="1"/>
  <c r="I49" i="1"/>
  <c r="F202" i="1"/>
  <c r="H638" i="1"/>
  <c r="I382" i="1"/>
  <c r="H508" i="1"/>
  <c r="I105" i="1"/>
  <c r="H548" i="1"/>
  <c r="F660" i="1"/>
  <c r="F288" i="1"/>
  <c r="I578" i="1"/>
  <c r="I59" i="1"/>
  <c r="I258" i="1"/>
  <c r="G91" i="1"/>
  <c r="H377" i="1"/>
  <c r="H692" i="1"/>
  <c r="H147" i="1"/>
  <c r="I130" i="1"/>
  <c r="I103" i="1"/>
  <c r="H596" i="1"/>
  <c r="H264" i="1"/>
  <c r="I271" i="1"/>
  <c r="H479" i="1"/>
  <c r="H507" i="1"/>
  <c r="H544" i="1"/>
  <c r="G605" i="1"/>
  <c r="F253" i="1"/>
  <c r="F428" i="1"/>
  <c r="I524" i="1"/>
  <c r="F232" i="1"/>
  <c r="H88" i="1"/>
  <c r="I70" i="1"/>
  <c r="H182" i="1"/>
  <c r="G302" i="1"/>
  <c r="I185" i="1"/>
  <c r="H518" i="1"/>
  <c r="H122" i="1"/>
  <c r="I656" i="1"/>
  <c r="H355" i="1"/>
  <c r="I318" i="1"/>
  <c r="H79" i="1"/>
  <c r="H350" i="1"/>
  <c r="H697" i="1"/>
  <c r="F392" i="1"/>
  <c r="H280" i="1"/>
  <c r="G177" i="1"/>
  <c r="I189" i="1"/>
  <c r="H690" i="1"/>
  <c r="H327" i="1"/>
  <c r="G550" i="1"/>
  <c r="G146" i="1"/>
  <c r="H251" i="1"/>
  <c r="G661" i="1"/>
  <c r="I392" i="1"/>
  <c r="G653" i="1"/>
  <c r="H145" i="1"/>
  <c r="G563" i="1"/>
  <c r="G633" i="1"/>
  <c r="G258" i="1"/>
  <c r="F559" i="1"/>
  <c r="F498" i="1"/>
  <c r="I390" i="1"/>
  <c r="H405" i="1"/>
  <c r="F371" i="1"/>
  <c r="H332" i="1"/>
  <c r="I676" i="1"/>
  <c r="G289" i="1"/>
  <c r="H143" i="1"/>
  <c r="G386" i="1"/>
  <c r="H541" i="1"/>
  <c r="I129" i="1"/>
  <c r="H448" i="1"/>
  <c r="G358" i="1"/>
  <c r="I167" i="1"/>
  <c r="H589" i="1"/>
  <c r="G699" i="1"/>
  <c r="I570" i="1"/>
  <c r="F594" i="1"/>
  <c r="G682" i="1"/>
  <c r="G131" i="1"/>
  <c r="G362" i="1"/>
  <c r="F422" i="1"/>
  <c r="H73" i="1"/>
  <c r="H50" i="1"/>
  <c r="H402" i="1"/>
  <c r="H159" i="1"/>
  <c r="G137" i="1"/>
  <c r="G54" i="1"/>
  <c r="G342" i="1"/>
  <c r="H325" i="1"/>
  <c r="H557" i="1"/>
  <c r="G647" i="1"/>
  <c r="I506" i="1"/>
  <c r="H452" i="1"/>
  <c r="H238" i="1"/>
  <c r="G561" i="1"/>
  <c r="G246" i="1"/>
  <c r="G489" i="1"/>
  <c r="G584" i="1"/>
  <c r="F449" i="1"/>
  <c r="I647" i="1"/>
  <c r="H47" i="1"/>
  <c r="G81" i="1"/>
  <c r="H555" i="1"/>
  <c r="H110" i="1"/>
  <c r="G138" i="1"/>
  <c r="G87" i="1"/>
  <c r="H148" i="1"/>
  <c r="I655" i="1"/>
  <c r="G575" i="1"/>
  <c r="F394" i="1"/>
  <c r="H100" i="1"/>
  <c r="H365" i="1"/>
  <c r="G336" i="1"/>
  <c r="I350" i="1"/>
  <c r="G665" i="1"/>
  <c r="F575" i="1"/>
  <c r="F185" i="1"/>
  <c r="I370" i="1"/>
  <c r="I232" i="1"/>
  <c r="F283" i="1"/>
  <c r="I503" i="1"/>
  <c r="F302" i="1"/>
  <c r="F446" i="1"/>
  <c r="I567" i="1"/>
  <c r="H202" i="1"/>
  <c r="I277" i="1"/>
  <c r="I471" i="1"/>
  <c r="F347" i="1"/>
  <c r="I533" i="1"/>
  <c r="H106" i="1"/>
  <c r="I466" i="1"/>
  <c r="I517" i="1"/>
  <c r="H680" i="1"/>
  <c r="I288" i="1"/>
  <c r="H178" i="1"/>
  <c r="F135" i="1"/>
  <c r="F217" i="1"/>
  <c r="I222" i="1"/>
  <c r="H424" i="1"/>
  <c r="G196" i="1"/>
  <c r="I131" i="1"/>
  <c r="H224" i="1"/>
  <c r="I425" i="1"/>
  <c r="I124" i="1"/>
  <c r="G392" i="1"/>
  <c r="I639" i="1"/>
  <c r="H293" i="1"/>
  <c r="I606" i="1"/>
  <c r="I54" i="1"/>
  <c r="I525" i="1"/>
  <c r="G454" i="1"/>
  <c r="F175" i="1"/>
  <c r="I436" i="1"/>
  <c r="I453" i="1"/>
  <c r="F640" i="1"/>
  <c r="H135" i="1"/>
  <c r="I219" i="1"/>
  <c r="I144" i="1"/>
  <c r="F98" i="1"/>
  <c r="F156" i="1"/>
  <c r="G396" i="1"/>
  <c r="I61" i="1"/>
  <c r="G255" i="1"/>
  <c r="H277" i="1"/>
  <c r="H489" i="1"/>
  <c r="G664" i="1"/>
  <c r="H136" i="1"/>
  <c r="G427" i="1"/>
  <c r="H545" i="1"/>
  <c r="F665" i="1"/>
  <c r="G622" i="1"/>
  <c r="F299" i="1"/>
  <c r="G651" i="1"/>
  <c r="H428" i="1"/>
  <c r="G456" i="1"/>
  <c r="H495" i="1"/>
  <c r="G321" i="1"/>
  <c r="G577" i="1"/>
  <c r="H640" i="1"/>
  <c r="H543" i="1"/>
  <c r="H658" i="1"/>
  <c r="G176" i="1"/>
  <c r="H408" i="1"/>
  <c r="I134" i="1"/>
  <c r="F598" i="1"/>
  <c r="F495" i="1"/>
  <c r="H675" i="1"/>
  <c r="I342" i="1"/>
  <c r="I395" i="1"/>
  <c r="H575" i="1"/>
  <c r="H157" i="1"/>
  <c r="H342" i="1"/>
  <c r="H171" i="1"/>
  <c r="I339" i="1"/>
  <c r="I649" i="1"/>
  <c r="H400" i="1"/>
  <c r="G186" i="1"/>
  <c r="H388" i="1"/>
  <c r="H573" i="1"/>
  <c r="H203" i="1"/>
  <c r="F591" i="1"/>
  <c r="F528" i="1"/>
  <c r="I260" i="1"/>
  <c r="F460" i="1"/>
  <c r="I58" i="1"/>
  <c r="I142" i="1"/>
  <c r="I169" i="1"/>
  <c r="H255" i="1"/>
  <c r="F155" i="1"/>
  <c r="F596" i="1"/>
  <c r="F89" i="1"/>
  <c r="I351" i="1"/>
  <c r="F370" i="1"/>
  <c r="F517" i="1"/>
  <c r="I62" i="1"/>
  <c r="H223" i="1"/>
  <c r="F431" i="1"/>
  <c r="H442" i="1"/>
  <c r="H314" i="1"/>
  <c r="I100" i="1"/>
  <c r="I407" i="1"/>
  <c r="F354" i="1"/>
  <c r="I203" i="1"/>
  <c r="G355" i="1"/>
  <c r="G241" i="1"/>
  <c r="H239" i="1"/>
  <c r="H298" i="1"/>
  <c r="G476" i="1"/>
  <c r="F363" i="1"/>
  <c r="F349" i="1"/>
  <c r="F439" i="1"/>
  <c r="H423" i="1"/>
  <c r="H333" i="1"/>
  <c r="H95" i="1"/>
  <c r="H430" i="1"/>
  <c r="G283" i="1"/>
  <c r="I514" i="1"/>
  <c r="I264" i="1"/>
  <c r="F454" i="1"/>
  <c r="I521" i="1"/>
  <c r="I276" i="1"/>
  <c r="H112" i="1"/>
  <c r="H311" i="1"/>
  <c r="H151" i="1"/>
  <c r="H232" i="1"/>
  <c r="H98" i="1"/>
  <c r="H352" i="1"/>
  <c r="I679" i="1"/>
  <c r="G643" i="1"/>
  <c r="H231" i="1"/>
  <c r="H416" i="1"/>
  <c r="H546" i="1"/>
  <c r="F427" i="1"/>
  <c r="I218" i="1"/>
  <c r="I275" i="1"/>
  <c r="F148" i="1"/>
  <c r="I413" i="1"/>
  <c r="I683" i="1"/>
  <c r="I467" i="1"/>
  <c r="I355" i="1"/>
  <c r="F618" i="1"/>
  <c r="I699" i="1"/>
  <c r="I151" i="1"/>
  <c r="H582" i="1"/>
  <c r="F493" i="1"/>
  <c r="H655" i="1"/>
  <c r="F453" i="1"/>
  <c r="I256" i="1"/>
  <c r="H133" i="1"/>
  <c r="H144" i="1"/>
  <c r="G307" i="1"/>
  <c r="I386" i="1"/>
  <c r="H186" i="1"/>
  <c r="H89" i="1"/>
  <c r="F533" i="1"/>
  <c r="H671" i="1"/>
  <c r="H249" i="1"/>
  <c r="G595" i="1"/>
  <c r="I449" i="1"/>
  <c r="I68" i="1"/>
  <c r="I153" i="1"/>
  <c r="I684" i="1"/>
  <c r="I584" i="1"/>
  <c r="H685" i="1"/>
  <c r="G611" i="1"/>
  <c r="H284" i="1"/>
  <c r="H132" i="1"/>
  <c r="G393" i="1"/>
  <c r="G319" i="1"/>
  <c r="F286" i="1"/>
  <c r="F471" i="1"/>
  <c r="I698" i="1"/>
  <c r="I295" i="1"/>
  <c r="F479" i="1"/>
  <c r="H306" i="1"/>
  <c r="I559" i="1"/>
  <c r="G51" i="1"/>
  <c r="I495" i="1"/>
  <c r="G105" i="1"/>
  <c r="H561" i="1"/>
  <c r="G299" i="1"/>
  <c r="H385" i="1"/>
  <c r="G698" i="1"/>
  <c r="G657" i="1"/>
  <c r="G144" i="1"/>
  <c r="G190" i="1"/>
  <c r="G477" i="1"/>
  <c r="I595" i="1"/>
  <c r="H601" i="1"/>
  <c r="G582" i="1"/>
  <c r="G192" i="1"/>
  <c r="H366" i="1"/>
  <c r="H267" i="1"/>
  <c r="G418" i="1"/>
  <c r="H77" i="1"/>
  <c r="I366" i="1"/>
  <c r="G490" i="1"/>
  <c r="G666" i="1"/>
  <c r="H78" i="1"/>
  <c r="H392" i="1"/>
  <c r="G270" i="1"/>
  <c r="H383" i="1"/>
  <c r="I690" i="1"/>
  <c r="I429" i="1"/>
  <c r="F309" i="1"/>
  <c r="H527" i="1"/>
  <c r="H187" i="1"/>
  <c r="I230" i="1"/>
  <c r="I97" i="1"/>
  <c r="I631" i="1"/>
  <c r="H354" i="1"/>
  <c r="H51" i="1"/>
  <c r="G572" i="1"/>
  <c r="I515" i="1"/>
  <c r="H94" i="1"/>
  <c r="I104" i="1"/>
  <c r="H490" i="1"/>
  <c r="H581" i="1"/>
  <c r="H444" i="1"/>
  <c r="G108" i="1"/>
  <c r="H338" i="1"/>
  <c r="G232" i="1"/>
  <c r="H179" i="1"/>
  <c r="G658" i="1"/>
  <c r="I397" i="1"/>
  <c r="I642" i="1"/>
  <c r="H698" i="1"/>
  <c r="G517" i="1"/>
  <c r="H636" i="1"/>
  <c r="F196" i="1"/>
  <c r="I530" i="1"/>
  <c r="H252" i="1"/>
  <c r="H568" i="1"/>
  <c r="H520" i="1"/>
  <c r="H484" i="1"/>
  <c r="G648" i="1"/>
  <c r="I431" i="1"/>
  <c r="G662" i="1"/>
  <c r="G650" i="1"/>
  <c r="H183" i="1"/>
  <c r="G579" i="1"/>
  <c r="G61" i="1"/>
  <c r="I210" i="1"/>
  <c r="H445" i="1"/>
  <c r="G244" i="1"/>
  <c r="H196" i="1"/>
  <c r="G53" i="1"/>
  <c r="G133" i="1"/>
  <c r="I101" i="1"/>
  <c r="F88" i="1"/>
  <c r="I488" i="1"/>
  <c r="F382" i="1"/>
  <c r="F441" i="1"/>
  <c r="I325" i="1"/>
  <c r="I292" i="1"/>
  <c r="G227" i="1"/>
  <c r="H206" i="1"/>
  <c r="I291" i="1"/>
  <c r="G292" i="1"/>
  <c r="F447" i="1"/>
  <c r="F629" i="1"/>
  <c r="I580" i="1"/>
  <c r="H134" i="1"/>
  <c r="I116" i="1"/>
  <c r="I373" i="1"/>
  <c r="G436" i="1"/>
  <c r="I156" i="1"/>
  <c r="G134" i="1"/>
  <c r="H81" i="1"/>
  <c r="H579" i="1"/>
  <c r="G620" i="1"/>
  <c r="H530" i="1"/>
  <c r="H195" i="1"/>
  <c r="G359" i="1"/>
  <c r="G559" i="1"/>
  <c r="H256" i="1"/>
  <c r="H318" i="1"/>
  <c r="G194" i="1"/>
  <c r="I48" i="1"/>
  <c r="F668" i="1"/>
  <c r="I581" i="1"/>
  <c r="H472" i="1"/>
  <c r="H691" i="1"/>
  <c r="I192" i="1"/>
  <c r="H512" i="1"/>
  <c r="H415" i="1"/>
  <c r="G475" i="1"/>
  <c r="H519" i="1"/>
  <c r="G151" i="1"/>
  <c r="H645" i="1"/>
  <c r="G89" i="1"/>
  <c r="H331" i="1"/>
  <c r="G220" i="1"/>
  <c r="F634" i="1"/>
  <c r="I63" i="1"/>
  <c r="H349" i="1"/>
  <c r="G578" i="1"/>
  <c r="G398" i="1"/>
  <c r="H533" i="1"/>
  <c r="H228" i="1"/>
  <c r="G409" i="1"/>
  <c r="G353" i="1"/>
  <c r="H571" i="1"/>
  <c r="G333" i="1"/>
  <c r="H263" i="1"/>
  <c r="G667" i="1"/>
  <c r="I174" i="1"/>
  <c r="I458" i="1"/>
  <c r="H296" i="1"/>
  <c r="I399" i="1"/>
  <c r="H629" i="1"/>
  <c r="G660" i="1"/>
  <c r="H137" i="1"/>
  <c r="G373" i="1"/>
  <c r="H556" i="1"/>
  <c r="I560" i="1"/>
  <c r="I498" i="1"/>
  <c r="H309" i="1"/>
  <c r="I697" i="1"/>
  <c r="F380" i="1"/>
  <c r="H566" i="1"/>
  <c r="F174" i="1"/>
  <c r="G676" i="1"/>
  <c r="G498" i="1"/>
  <c r="H632" i="1"/>
  <c r="G309" i="1"/>
  <c r="G288" i="1"/>
  <c r="F617" i="1"/>
  <c r="I262" i="1"/>
  <c r="G178" i="1"/>
  <c r="G297" i="1"/>
  <c r="G370" i="1"/>
  <c r="I127" i="1"/>
  <c r="I67" i="1"/>
  <c r="G637" i="1"/>
  <c r="G273" i="1"/>
  <c r="I457" i="1"/>
  <c r="G597" i="1"/>
  <c r="G291" i="1"/>
  <c r="H288" i="1"/>
  <c r="G214" i="1"/>
  <c r="G52" i="1"/>
  <c r="H631" i="1"/>
  <c r="H175" i="1"/>
  <c r="H678" i="1"/>
  <c r="H622" i="1"/>
  <c r="I621" i="1"/>
  <c r="G303" i="1"/>
  <c r="H245" i="1"/>
  <c r="G158" i="1"/>
  <c r="G683" i="1"/>
  <c r="I120" i="1"/>
  <c r="I146" i="1"/>
  <c r="H686" i="1"/>
  <c r="H593" i="1"/>
  <c r="I345" i="1"/>
  <c r="H603" i="1"/>
  <c r="I450" i="1"/>
  <c r="I468" i="1"/>
  <c r="H485" i="1"/>
  <c r="H554" i="1"/>
  <c r="G531" i="1"/>
  <c r="I309" i="1"/>
  <c r="H289" i="1"/>
  <c r="H185" i="1"/>
  <c r="I365" i="1"/>
  <c r="H434" i="1"/>
  <c r="H654" i="1"/>
  <c r="H102" i="1"/>
  <c r="I439" i="1"/>
  <c r="H74" i="1"/>
  <c r="H570" i="1"/>
  <c r="H523" i="1"/>
  <c r="G656" i="1"/>
  <c r="I322" i="1"/>
  <c r="G663" i="1"/>
  <c r="H476" i="1"/>
  <c r="H482" i="1"/>
  <c r="H240" i="1"/>
  <c r="H625" i="1"/>
  <c r="G201" i="1"/>
  <c r="G82" i="1"/>
  <c r="F593" i="1"/>
  <c r="H597" i="1"/>
  <c r="I229" i="1"/>
  <c r="I638" i="1"/>
  <c r="F118" i="1"/>
  <c r="F287" i="1"/>
  <c r="H192" i="1"/>
  <c r="I76" i="1"/>
  <c r="H679" i="1"/>
  <c r="H335" i="1"/>
  <c r="F293" i="1"/>
  <c r="H411" i="1"/>
  <c r="H578" i="1"/>
  <c r="H641" i="1"/>
  <c r="H468" i="1"/>
  <c r="F161" i="1"/>
  <c r="G406" i="1"/>
  <c r="H633" i="1"/>
  <c r="H630" i="1"/>
  <c r="G415" i="1"/>
  <c r="G298" i="1"/>
  <c r="I451" i="1"/>
  <c r="I544" i="1"/>
  <c r="H101" i="1"/>
  <c r="H156" i="1"/>
  <c r="H191" i="1"/>
  <c r="G416" i="1"/>
  <c r="H669" i="1"/>
  <c r="H672" i="1"/>
  <c r="F258" i="1"/>
  <c r="I380" i="1"/>
  <c r="I607" i="1"/>
  <c r="H661" i="1"/>
  <c r="H86" i="1"/>
  <c r="I583" i="1"/>
  <c r="H469" i="1"/>
  <c r="H389" i="1"/>
  <c r="G668" i="1"/>
  <c r="G495" i="1"/>
  <c r="H616" i="1"/>
  <c r="H285" i="1"/>
  <c r="H390" i="1"/>
  <c r="G121" i="1"/>
  <c r="G494" i="1"/>
  <c r="G116" i="1"/>
  <c r="F622" i="1"/>
  <c r="G256" i="1"/>
  <c r="F284" i="1"/>
  <c r="H117" i="1"/>
  <c r="H397" i="1"/>
  <c r="H652" i="1"/>
  <c r="F519" i="1"/>
  <c r="G55" i="1"/>
  <c r="I42" i="1"/>
  <c r="I317" i="1"/>
  <c r="G394" i="1"/>
  <c r="H410" i="1"/>
  <c r="F532" i="1"/>
  <c r="F230" i="1"/>
  <c r="H330" i="1"/>
  <c r="I240" i="1"/>
  <c r="G163" i="1"/>
  <c r="H510" i="1"/>
  <c r="H534" i="1"/>
  <c r="G238" i="1"/>
  <c r="F170" i="1"/>
  <c r="I74" i="1"/>
  <c r="G95" i="1"/>
  <c r="H82" i="1"/>
  <c r="G507" i="1"/>
  <c r="H559" i="1"/>
  <c r="H113" i="1"/>
  <c r="H699" i="1"/>
  <c r="G644" i="1"/>
  <c r="G234" i="1"/>
  <c r="I329" i="1"/>
  <c r="I531" i="1"/>
  <c r="F169" i="1"/>
  <c r="I513" i="1"/>
  <c r="G117" i="1"/>
  <c r="H488" i="1"/>
  <c r="H500" i="1"/>
  <c r="H297" i="1"/>
  <c r="G86" i="1"/>
  <c r="G130" i="1"/>
  <c r="G503" i="1"/>
  <c r="G148" i="1"/>
  <c r="G276" i="1"/>
  <c r="H550" i="1"/>
  <c r="H420" i="1"/>
  <c r="G267" i="1"/>
  <c r="G48" i="1"/>
  <c r="H5" i="1"/>
  <c r="I166" i="1"/>
  <c r="F491" i="1"/>
  <c r="I354" i="1"/>
  <c r="I204" i="1"/>
  <c r="H107" i="1"/>
  <c r="H361" i="1"/>
  <c r="H236" i="1"/>
  <c r="I305" i="1"/>
  <c r="F106" i="1"/>
  <c r="H247" i="1"/>
  <c r="H386" i="1"/>
  <c r="I71" i="1"/>
  <c r="I244" i="1"/>
  <c r="F276" i="1"/>
  <c r="G602" i="1"/>
  <c r="H242" i="1"/>
  <c r="I469" i="1"/>
  <c r="H481" i="1"/>
  <c r="H307" i="1"/>
  <c r="G684" i="1"/>
  <c r="I364" i="1"/>
  <c r="I389" i="1"/>
  <c r="H363" i="1"/>
  <c r="G692" i="1"/>
  <c r="H528" i="1"/>
  <c r="H290" i="1"/>
  <c r="G687" i="1"/>
  <c r="F159" i="1"/>
  <c r="H153" i="1"/>
  <c r="F506" i="1"/>
  <c r="I285" i="1"/>
  <c r="H322" i="1"/>
  <c r="F282" i="1"/>
  <c r="F189" i="1"/>
  <c r="H451" i="1"/>
  <c r="I145" i="1"/>
  <c r="H226" i="1"/>
  <c r="I246" i="1"/>
  <c r="I326" i="1"/>
  <c r="G229" i="1"/>
  <c r="G594" i="1"/>
  <c r="F255" i="1"/>
  <c r="I362" i="1"/>
  <c r="G56" i="1"/>
  <c r="G491" i="1"/>
  <c r="H689" i="1"/>
  <c r="H235" i="1"/>
  <c r="H121" i="1"/>
  <c r="G296" i="1"/>
  <c r="H587" i="1"/>
  <c r="G472" i="1"/>
  <c r="H57" i="1"/>
  <c r="G610" i="1"/>
  <c r="G285" i="1"/>
  <c r="H146" i="1"/>
  <c r="I313" i="1"/>
  <c r="H666" i="1"/>
  <c r="F499" i="1"/>
  <c r="G690" i="1"/>
  <c r="G327" i="1"/>
  <c r="I549" i="1"/>
  <c r="H465" i="1"/>
  <c r="G635" i="1"/>
  <c r="G191" i="1"/>
  <c r="H461" i="1"/>
  <c r="I572" i="1"/>
  <c r="H56" i="1"/>
  <c r="H455" i="1"/>
  <c r="I328" i="1"/>
  <c r="G410" i="1"/>
  <c r="H286" i="1"/>
  <c r="G109" i="1"/>
  <c r="H90" i="1"/>
  <c r="G600" i="1"/>
  <c r="G395" i="1"/>
  <c r="G324" i="1"/>
  <c r="H610" i="1"/>
  <c r="H393" i="1"/>
  <c r="G334" i="1"/>
  <c r="H211" i="1"/>
  <c r="G649" i="1"/>
  <c r="I99" i="1"/>
  <c r="I682" i="1"/>
  <c r="H529" i="1"/>
  <c r="H96" i="1"/>
  <c r="I603" i="1"/>
  <c r="H295" i="1"/>
  <c r="G187" i="1"/>
  <c r="H273" i="1"/>
  <c r="H169" i="1"/>
  <c r="G345" i="1"/>
  <c r="I540" i="1"/>
  <c r="G390" i="1"/>
  <c r="G175" i="1"/>
  <c r="G235" i="1"/>
  <c r="H287" i="1"/>
  <c r="G314" i="1"/>
  <c r="G469" i="1"/>
  <c r="F563" i="1"/>
  <c r="F391" i="1"/>
  <c r="F412" i="1"/>
  <c r="I112" i="1"/>
  <c r="I481" i="1"/>
  <c r="F603" i="1"/>
  <c r="G533" i="1"/>
  <c r="I662" i="1"/>
  <c r="H525" i="1"/>
  <c r="I352" i="1"/>
  <c r="H103" i="1"/>
  <c r="H201" i="1"/>
  <c r="I323" i="1"/>
  <c r="G225" i="1"/>
  <c r="H299" i="1"/>
  <c r="G518" i="1"/>
  <c r="H138" i="1"/>
  <c r="I180" i="1"/>
  <c r="I92" i="1"/>
  <c r="G541" i="1"/>
  <c r="G374" i="1"/>
  <c r="H375" i="1"/>
  <c r="I301" i="1"/>
  <c r="I307" i="1"/>
  <c r="G111" i="1"/>
  <c r="H486" i="1"/>
  <c r="H668" i="1"/>
  <c r="G547" i="1"/>
  <c r="I376" i="1"/>
  <c r="I526" i="1"/>
  <c r="F619" i="1"/>
  <c r="I411" i="1"/>
  <c r="G659" i="1"/>
  <c r="H540" i="1"/>
  <c r="H274" i="1"/>
  <c r="I347" i="1"/>
  <c r="H165" i="1"/>
  <c r="G239" i="1"/>
  <c r="I159" i="1"/>
  <c r="H254" i="1"/>
  <c r="G369" i="1"/>
  <c r="G49" i="1"/>
  <c r="F83" i="1"/>
  <c r="I158" i="1"/>
  <c r="G202" i="1"/>
  <c r="I636" i="1"/>
  <c r="H398" i="1"/>
  <c r="H395" i="1"/>
  <c r="I484" i="1"/>
  <c r="H590" i="1"/>
  <c r="H560" i="1"/>
  <c r="G317" i="1"/>
  <c r="H682" i="1"/>
  <c r="G487" i="1"/>
  <c r="H501" i="1"/>
  <c r="G371" i="1"/>
  <c r="I657" i="1"/>
  <c r="I40" i="1"/>
  <c r="I311" i="1"/>
  <c r="H449" i="1"/>
  <c r="I251" i="1"/>
  <c r="G471" i="1"/>
  <c r="H69" i="1"/>
  <c r="H598" i="1"/>
  <c r="I357" i="1"/>
  <c r="F699" i="1"/>
  <c r="H313" i="1"/>
  <c r="H127" i="1"/>
  <c r="G243" i="1"/>
  <c r="H54" i="1"/>
  <c r="H71" i="1"/>
  <c r="H52" i="1"/>
  <c r="G591" i="1"/>
  <c r="H421" i="1"/>
  <c r="G328" i="1"/>
  <c r="H194" i="1"/>
  <c r="I622" i="1"/>
  <c r="G366" i="1"/>
  <c r="I456" i="1"/>
  <c r="G585" i="1"/>
  <c r="G102" i="1"/>
  <c r="H493" i="1"/>
  <c r="I154" i="1"/>
  <c r="I139" i="1"/>
  <c r="H542" i="1"/>
  <c r="G678" i="1"/>
  <c r="H565" i="1"/>
  <c r="I574" i="1"/>
  <c r="I56" i="1"/>
  <c r="H619" i="1"/>
  <c r="I668" i="1"/>
  <c r="G520" i="1"/>
  <c r="H291" i="1"/>
  <c r="G483" i="1"/>
  <c r="G96" i="1"/>
  <c r="H526" i="1"/>
  <c r="H521" i="1"/>
  <c r="G450" i="1"/>
  <c r="I50" i="1"/>
  <c r="H412" i="1"/>
  <c r="G363" i="1"/>
  <c r="H498" i="1"/>
  <c r="G402" i="1"/>
  <c r="G106" i="1"/>
  <c r="G280" i="1"/>
  <c r="H380" i="1"/>
  <c r="G372" i="1"/>
  <c r="F82" i="1"/>
  <c r="F296" i="1"/>
  <c r="I650" i="1"/>
  <c r="F62" i="1"/>
  <c r="H266" i="1"/>
  <c r="H85" i="1"/>
  <c r="I89" i="1"/>
  <c r="I462" i="1"/>
  <c r="H193" i="1"/>
  <c r="I405" i="1"/>
  <c r="G367" i="1"/>
  <c r="F639" i="1"/>
  <c r="H612" i="1"/>
  <c r="G110" i="1"/>
  <c r="H353" i="1"/>
  <c r="G529" i="1"/>
  <c r="H341" i="1"/>
  <c r="G532" i="1"/>
  <c r="G473" i="1"/>
  <c r="F406" i="1"/>
  <c r="F308" i="1"/>
  <c r="F341" i="1"/>
  <c r="I672" i="1"/>
  <c r="I401" i="1"/>
  <c r="H241" i="1"/>
  <c r="F489" i="1"/>
  <c r="I532" i="1"/>
  <c r="H301" i="1"/>
  <c r="H494" i="1"/>
  <c r="I689" i="1"/>
  <c r="I197" i="1"/>
  <c r="G200" i="1"/>
  <c r="F592" i="1"/>
  <c r="I616" i="1"/>
  <c r="G506" i="1"/>
  <c r="I566" i="1"/>
  <c r="H524" i="1"/>
  <c r="I593" i="1"/>
  <c r="H250" i="1"/>
  <c r="I245" i="1"/>
  <c r="H562" i="1"/>
  <c r="G315" i="1"/>
  <c r="G62" i="1"/>
  <c r="G325" i="1"/>
  <c r="G341" i="1"/>
  <c r="G478" i="1"/>
  <c r="H399" i="1"/>
  <c r="G641" i="1"/>
  <c r="I478" i="1"/>
  <c r="F415" i="1"/>
  <c r="H473" i="1"/>
  <c r="I648" i="1"/>
  <c r="F579" i="1"/>
  <c r="H537" i="1"/>
  <c r="H419" i="1"/>
  <c r="H130" i="1"/>
  <c r="F361" i="1"/>
  <c r="I187" i="1"/>
  <c r="H425" i="1"/>
  <c r="I78" i="1"/>
  <c r="H80" i="1"/>
  <c r="H218" i="1"/>
  <c r="F430" i="1"/>
  <c r="I211" i="1"/>
  <c r="G293" i="1"/>
  <c r="G425" i="1"/>
  <c r="I623" i="1"/>
  <c r="G488" i="1"/>
  <c r="G195" i="1"/>
  <c r="H83" i="1"/>
  <c r="I602" i="1"/>
  <c r="H174" i="1"/>
  <c r="G558" i="1"/>
  <c r="G39" i="1"/>
  <c r="G403" i="1"/>
  <c r="G589" i="1"/>
  <c r="H605" i="1"/>
  <c r="H271" i="1"/>
  <c r="H477" i="1"/>
  <c r="H48" i="1"/>
  <c r="G411" i="1"/>
  <c r="H158" i="1"/>
  <c r="G123" i="1"/>
  <c r="H456" i="1"/>
  <c r="G347" i="1"/>
  <c r="I579" i="1"/>
  <c r="G221" i="1"/>
  <c r="H574" i="1"/>
  <c r="I175" i="1"/>
  <c r="I627" i="1"/>
  <c r="H646" i="1"/>
  <c r="G536" i="1"/>
  <c r="H624" i="1"/>
  <c r="H66" i="1"/>
  <c r="G217" i="1"/>
  <c r="H200" i="1"/>
  <c r="H199" i="1"/>
  <c r="G438" i="1"/>
  <c r="I165" i="1"/>
  <c r="G135" i="1"/>
  <c r="H93" i="1"/>
  <c r="G384" i="1"/>
  <c r="I564" i="1"/>
  <c r="I565" i="1"/>
  <c r="H104" i="1"/>
  <c r="H653" i="1"/>
  <c r="H384" i="1"/>
  <c r="I634" i="1"/>
  <c r="G145" i="1"/>
  <c r="G590" i="1"/>
  <c r="G284" i="1"/>
  <c r="I212" i="1"/>
  <c r="G521" i="1"/>
  <c r="G157" i="1"/>
  <c r="G540" i="1"/>
  <c r="G429" i="1"/>
  <c r="H262" i="1"/>
  <c r="G570" i="1"/>
  <c r="G481" i="1"/>
  <c r="H167" i="1"/>
  <c r="G694" i="1"/>
  <c r="H522" i="1"/>
  <c r="G156" i="1"/>
  <c r="H270" i="1"/>
  <c r="I545" i="1"/>
  <c r="F134" i="1"/>
  <c r="G365" i="1"/>
  <c r="F429" i="1"/>
  <c r="I136" i="1"/>
  <c r="F689" i="1"/>
  <c r="G619" i="1"/>
  <c r="H558" i="1"/>
  <c r="G282" i="1"/>
  <c r="G184" i="1"/>
  <c r="H67" i="1"/>
  <c r="H657" i="1"/>
  <c r="I290" i="1"/>
  <c r="H334" i="1"/>
  <c r="H536" i="1"/>
  <c r="H204" i="1"/>
  <c r="I213" i="1"/>
  <c r="F602" i="1"/>
  <c r="H683" i="1"/>
  <c r="I691" i="1"/>
  <c r="H357" i="1"/>
  <c r="G253" i="1"/>
  <c r="G354" i="1"/>
  <c r="G335" i="1"/>
  <c r="H576" i="1"/>
  <c r="G470" i="1"/>
  <c r="H323" i="1"/>
  <c r="G318" i="1"/>
  <c r="H217" i="1"/>
  <c r="G457" i="1"/>
  <c r="H618" i="1"/>
  <c r="G539" i="1"/>
  <c r="F472" i="1"/>
  <c r="I448" i="1"/>
  <c r="I314" i="1"/>
  <c r="I398" i="1"/>
  <c r="G669" i="1"/>
  <c r="G115" i="1"/>
  <c r="G213" i="1"/>
  <c r="I523" i="1"/>
  <c r="G97" i="1"/>
  <c r="G155" i="1"/>
  <c r="I558" i="1"/>
  <c r="I403" i="1"/>
  <c r="G449" i="1"/>
  <c r="I261" i="1"/>
  <c r="F238" i="1"/>
  <c r="G231" i="1"/>
  <c r="G634" i="1"/>
  <c r="G57" i="1"/>
  <c r="I594" i="1"/>
  <c r="I454" i="1"/>
  <c r="H116" i="1"/>
  <c r="H356" i="1"/>
  <c r="G387" i="1"/>
  <c r="H606" i="1"/>
  <c r="G399" i="1"/>
  <c r="H676" i="1"/>
  <c r="I516" i="1"/>
  <c r="H302" i="1"/>
  <c r="G642" i="1"/>
  <c r="I140" i="1"/>
  <c r="G519" i="1"/>
  <c r="H61" i="1"/>
  <c r="G548" i="1"/>
  <c r="I573" i="1"/>
  <c r="H329" i="1"/>
  <c r="G271" i="1"/>
  <c r="H237" i="1"/>
  <c r="H695" i="1"/>
  <c r="I94" i="1"/>
  <c r="I415" i="1"/>
  <c r="G546" i="1"/>
  <c r="G364" i="1"/>
  <c r="I73" i="1"/>
  <c r="H161" i="1"/>
  <c r="F588" i="1"/>
  <c r="H364" i="1"/>
  <c r="H387" i="1"/>
  <c r="H547" i="1"/>
  <c r="I334" i="1"/>
  <c r="G42" i="1"/>
  <c r="H344" i="1"/>
  <c r="G640" i="1"/>
  <c r="G560" i="1"/>
  <c r="F303" i="1"/>
  <c r="H244" i="1"/>
  <c r="H336" i="1"/>
  <c r="H58" i="1"/>
  <c r="G391" i="1"/>
  <c r="H634" i="1"/>
  <c r="I367" i="1"/>
  <c r="G205" i="1"/>
  <c r="H466" i="1"/>
  <c r="I630" i="1"/>
  <c r="G685" i="1"/>
  <c r="H87" i="1"/>
  <c r="G218" i="1"/>
  <c r="I414" i="1"/>
  <c r="G112" i="1"/>
  <c r="G631" i="1"/>
  <c r="H230" i="1"/>
  <c r="H362" i="1"/>
  <c r="F204" i="1"/>
  <c r="I575" i="1"/>
  <c r="I226" i="1"/>
  <c r="I66" i="1"/>
  <c r="H180" i="1"/>
  <c r="G107" i="1"/>
  <c r="H639" i="1"/>
  <c r="G242" i="1"/>
  <c r="H214" i="1"/>
  <c r="H63" i="1"/>
  <c r="I293" i="1"/>
  <c r="I75" i="1"/>
  <c r="H453" i="1"/>
  <c r="H212" i="1"/>
  <c r="I661" i="1"/>
  <c r="G581" i="1"/>
  <c r="G583" i="1"/>
  <c r="F536" i="1"/>
  <c r="G281" i="1"/>
  <c r="I330" i="1"/>
  <c r="G147" i="1"/>
  <c r="I237" i="1"/>
  <c r="I387" i="1"/>
  <c r="I176" i="1"/>
  <c r="H643" i="1"/>
  <c r="G401" i="1"/>
  <c r="H602" i="1"/>
  <c r="I461" i="1"/>
  <c r="G83" i="1"/>
  <c r="I548" i="1"/>
  <c r="H166" i="1"/>
  <c r="H462" i="1"/>
  <c r="G143" i="1"/>
  <c r="G626" i="1"/>
  <c r="H64" i="1"/>
  <c r="G461" i="1"/>
  <c r="I637" i="1"/>
  <c r="G573" i="1"/>
  <c r="I542" i="1"/>
  <c r="H198" i="1"/>
  <c r="H216" i="1"/>
  <c r="I440" i="1"/>
  <c r="G248" i="1"/>
  <c r="G183" i="1"/>
  <c r="G274" i="1"/>
  <c r="I537" i="1"/>
  <c r="H119" i="1"/>
  <c r="H184" i="1"/>
  <c r="I374" i="1"/>
  <c r="G349" i="1"/>
  <c r="G182" i="1"/>
  <c r="I90" i="1"/>
  <c r="G549" i="1"/>
  <c r="F570" i="1"/>
  <c r="I538" i="1"/>
  <c r="I550" i="1"/>
  <c r="H320" i="1"/>
  <c r="I190" i="1"/>
  <c r="H595" i="1"/>
  <c r="H91" i="1"/>
  <c r="G251" i="1"/>
  <c r="H531" i="1"/>
  <c r="I615" i="1"/>
  <c r="G254" i="1"/>
  <c r="H504" i="1"/>
  <c r="H650" i="1"/>
  <c r="G493" i="1"/>
  <c r="H583" i="1"/>
  <c r="I381" i="1"/>
  <c r="H278" i="1"/>
  <c r="F488" i="1"/>
  <c r="I77" i="1"/>
  <c r="I518" i="1"/>
  <c r="H696" i="1"/>
  <c r="I272" i="1"/>
  <c r="H41" i="1"/>
  <c r="F256" i="1"/>
  <c r="G562" i="1"/>
  <c r="H604" i="1"/>
  <c r="G593" i="1"/>
  <c r="G189" i="1"/>
  <c r="H553" i="1"/>
  <c r="H60" i="1"/>
  <c r="G286" i="1"/>
  <c r="I605" i="1"/>
  <c r="H189" i="1"/>
  <c r="H459" i="1"/>
  <c r="G197" i="1"/>
  <c r="G681" i="1"/>
  <c r="H491" i="1"/>
  <c r="H538" i="1"/>
  <c r="H59" i="1"/>
  <c r="G304" i="1"/>
  <c r="H176" i="1"/>
  <c r="G129" i="1"/>
  <c r="F389" i="1"/>
  <c r="H324" i="1"/>
  <c r="G693" i="1"/>
  <c r="H483" i="1"/>
  <c r="F425" i="1"/>
  <c r="F457" i="1"/>
  <c r="F53" i="1"/>
  <c r="I113" i="1"/>
  <c r="H370" i="1"/>
  <c r="H492" i="1"/>
  <c r="H588" i="1"/>
  <c r="H599" i="1"/>
  <c r="G636" i="1"/>
  <c r="I337" i="1"/>
  <c r="I539" i="1"/>
  <c r="H149" i="1"/>
  <c r="G587" i="1"/>
  <c r="H142" i="1"/>
  <c r="I215" i="1"/>
  <c r="I137" i="1"/>
  <c r="H227" i="1"/>
  <c r="H514" i="1"/>
  <c r="G596" i="1"/>
  <c r="H346" i="1"/>
  <c r="I680" i="1"/>
  <c r="F534" i="1"/>
  <c r="G150" i="1"/>
  <c r="F659" i="1"/>
  <c r="H470" i="1"/>
  <c r="H115" i="1"/>
  <c r="I324" i="1"/>
  <c r="G185" i="1"/>
  <c r="H623" i="1"/>
  <c r="G266" i="1"/>
  <c r="I221" i="1"/>
  <c r="F661" i="1"/>
  <c r="H55" i="1"/>
  <c r="I394" i="1"/>
  <c r="I475" i="1"/>
  <c r="G80" i="1"/>
  <c r="H221" i="1"/>
  <c r="G383" i="1"/>
  <c r="G228" i="1"/>
  <c r="H347" i="1"/>
  <c r="H125" i="1"/>
  <c r="H359" i="1"/>
  <c r="G247" i="1"/>
  <c r="G426" i="1"/>
  <c r="I418" i="1"/>
  <c r="H584" i="1"/>
  <c r="G689" i="1"/>
  <c r="H406" i="1"/>
  <c r="G272" i="1"/>
  <c r="H154" i="1"/>
  <c r="G320" i="1"/>
  <c r="F195" i="1"/>
  <c r="H282" i="1"/>
  <c r="G598" i="1"/>
  <c r="G599" i="1"/>
  <c r="G557" i="1"/>
  <c r="G482" i="1"/>
  <c r="G603" i="1"/>
  <c r="H700" i="1"/>
  <c r="H321" i="1"/>
  <c r="I674" i="1"/>
  <c r="I556" i="1"/>
  <c r="H401" i="1"/>
  <c r="I610" i="1"/>
  <c r="H648" i="1"/>
  <c r="H312" i="1"/>
  <c r="I312" i="1"/>
  <c r="G125" i="1"/>
  <c r="I626" i="1"/>
  <c r="I502" i="1"/>
  <c r="H39" i="1"/>
  <c r="H693" i="1"/>
  <c r="H170" i="1"/>
  <c r="G530" i="1"/>
  <c r="I519" i="1"/>
  <c r="H409" i="1"/>
  <c r="H369" i="1"/>
  <c r="H608" i="1"/>
  <c r="I152" i="1"/>
  <c r="H551" i="1"/>
  <c r="G346" i="1"/>
  <c r="H413" i="1"/>
  <c r="G316" i="1"/>
  <c r="H279" i="1"/>
  <c r="H368" i="1"/>
  <c r="G499" i="1"/>
  <c r="G339" i="1"/>
  <c r="I205" i="1"/>
  <c r="G480" i="1"/>
  <c r="I419" i="1"/>
  <c r="H268" i="1"/>
  <c r="H315" i="1"/>
  <c r="G305" i="1"/>
  <c r="I206" i="1"/>
  <c r="G404" i="1"/>
  <c r="I254" i="1"/>
  <c r="I675" i="1"/>
  <c r="G63" i="1"/>
  <c r="G226" i="1"/>
  <c r="G397" i="1"/>
  <c r="H660" i="1"/>
  <c r="G655" i="1"/>
  <c r="I289" i="1"/>
  <c r="G161" i="1"/>
  <c r="G679" i="1"/>
  <c r="G245" i="1"/>
  <c r="G430" i="1"/>
  <c r="H72" i="1"/>
  <c r="F17" i="1"/>
  <c r="I11" i="1"/>
  <c r="F14" i="1"/>
  <c r="F7" i="1"/>
  <c r="F20" i="1"/>
  <c r="H9" i="1"/>
  <c r="H7" i="1"/>
  <c r="F26" i="1"/>
  <c r="G37" i="1"/>
  <c r="G14" i="1"/>
  <c r="H8" i="1"/>
  <c r="G32" i="1"/>
  <c r="I32" i="1"/>
  <c r="G21" i="1"/>
  <c r="I33" i="1"/>
  <c r="H37" i="1"/>
  <c r="H24" i="1"/>
  <c r="H21" i="1"/>
  <c r="I13" i="1"/>
  <c r="G24" i="1"/>
  <c r="H17" i="1"/>
  <c r="G26" i="1"/>
  <c r="G16" i="1"/>
  <c r="G6" i="1"/>
  <c r="I16" i="1"/>
  <c r="G9" i="1"/>
  <c r="H32" i="1"/>
  <c r="G15" i="1"/>
  <c r="F12" i="1"/>
  <c r="G19" i="1"/>
  <c r="G23" i="1"/>
  <c r="H35" i="1"/>
  <c r="F8" i="1"/>
  <c r="H6" i="1"/>
  <c r="F21" i="1"/>
  <c r="F6" i="1"/>
  <c r="G8" i="1"/>
  <c r="I23" i="1"/>
  <c r="I25" i="1"/>
  <c r="H13" i="1"/>
  <c r="G20" i="1"/>
  <c r="F31" i="1"/>
  <c r="F33" i="1"/>
  <c r="I35" i="1"/>
  <c r="I21" i="1"/>
  <c r="H12" i="1"/>
  <c r="G7" i="1"/>
  <c r="I10" i="1"/>
  <c r="I24" i="1"/>
  <c r="H14" i="1"/>
  <c r="I26" i="1"/>
  <c r="G12" i="1"/>
  <c r="H20" i="1"/>
  <c r="H26" i="1"/>
  <c r="H31" i="1"/>
  <c r="H10" i="1"/>
  <c r="H27" i="1"/>
  <c r="H11" i="1"/>
  <c r="G11" i="1"/>
  <c r="F27" i="1"/>
  <c r="F22" i="1"/>
  <c r="H15" i="1"/>
  <c r="F10" i="1"/>
  <c r="F35" i="1"/>
  <c r="G22" i="1"/>
  <c r="G35" i="1"/>
  <c r="F32" i="1"/>
  <c r="F37" i="1"/>
  <c r="I12" i="1"/>
  <c r="I14" i="1"/>
  <c r="I8" i="1"/>
  <c r="I27" i="1"/>
  <c r="H16" i="1"/>
  <c r="H23" i="1"/>
  <c r="F23" i="1"/>
  <c r="I9" i="1"/>
  <c r="I15" i="1"/>
  <c r="H19" i="1"/>
  <c r="F25" i="1"/>
  <c r="I7" i="1"/>
  <c r="H33" i="1"/>
  <c r="G25" i="1"/>
  <c r="G27" i="1"/>
  <c r="G13" i="1"/>
  <c r="H22" i="1"/>
  <c r="I37" i="1"/>
  <c r="I22" i="1"/>
  <c r="G10" i="1"/>
  <c r="F15" i="1"/>
  <c r="F16" i="1"/>
  <c r="F19" i="1"/>
  <c r="F11" i="1"/>
  <c r="I31" i="1"/>
  <c r="I6" i="1"/>
  <c r="H25" i="1"/>
  <c r="I19" i="1"/>
  <c r="G31" i="1"/>
  <c r="G33" i="1"/>
  <c r="F13" i="1"/>
  <c r="I20" i="1"/>
  <c r="F9" i="1"/>
  <c r="I17" i="1"/>
  <c r="F24" i="1"/>
  <c r="G17" i="1"/>
  <c r="J24" i="1" l="1"/>
  <c r="J9" i="1"/>
  <c r="J13" i="1"/>
  <c r="J11" i="1"/>
  <c r="J19" i="1"/>
  <c r="J16" i="1"/>
  <c r="J15" i="1"/>
  <c r="J25" i="1"/>
  <c r="J23" i="1"/>
  <c r="J37" i="1"/>
  <c r="J32" i="1"/>
  <c r="J35" i="1"/>
  <c r="J10" i="1"/>
  <c r="J22" i="1"/>
  <c r="J27" i="1"/>
  <c r="J33" i="1"/>
  <c r="J31" i="1"/>
  <c r="J6" i="1"/>
  <c r="J21" i="1"/>
  <c r="J8" i="1"/>
  <c r="J12" i="1"/>
  <c r="J26" i="1"/>
  <c r="J20" i="1"/>
  <c r="J7" i="1"/>
  <c r="J14" i="1"/>
  <c r="J17" i="1"/>
  <c r="J72" i="1"/>
  <c r="J245" i="1"/>
  <c r="J679" i="1"/>
  <c r="J268" i="1"/>
  <c r="J279" i="1"/>
  <c r="J608" i="1"/>
  <c r="J125" i="1"/>
  <c r="J312" i="1"/>
  <c r="J195" i="1"/>
  <c r="J247" i="1"/>
  <c r="J80" i="1"/>
  <c r="J661" i="1"/>
  <c r="J623" i="1"/>
  <c r="J659" i="1"/>
  <c r="J534" i="1"/>
  <c r="J514" i="1"/>
  <c r="J142" i="1"/>
  <c r="J53" i="1"/>
  <c r="J457" i="1"/>
  <c r="J425" i="1"/>
  <c r="J389" i="1"/>
  <c r="J129" i="1"/>
  <c r="J59" i="1"/>
  <c r="J681" i="1"/>
  <c r="J459" i="1"/>
  <c r="J553" i="1"/>
  <c r="J256" i="1"/>
  <c r="J41" i="1"/>
  <c r="J696" i="1"/>
  <c r="J488" i="1"/>
  <c r="J278" i="1"/>
  <c r="J570" i="1"/>
  <c r="J183" i="1"/>
  <c r="J248" i="1"/>
  <c r="J216" i="1"/>
  <c r="J573" i="1"/>
  <c r="J64" i="1"/>
  <c r="J626" i="1"/>
  <c r="J281" i="1"/>
  <c r="J536" i="1"/>
  <c r="J212" i="1"/>
  <c r="J180" i="1"/>
  <c r="J204" i="1"/>
  <c r="J218" i="1"/>
  <c r="J685" i="1"/>
  <c r="J466" i="1"/>
  <c r="J58" i="1"/>
  <c r="J303" i="1"/>
  <c r="J344" i="1"/>
  <c r="J588" i="1"/>
  <c r="J271" i="1"/>
  <c r="J329" i="1"/>
  <c r="J548" i="1"/>
  <c r="J606" i="1"/>
  <c r="J238" i="1"/>
  <c r="J472" i="1"/>
  <c r="J539" i="1"/>
  <c r="J318" i="1"/>
  <c r="J357" i="1"/>
  <c r="J602" i="1"/>
  <c r="J67" i="1"/>
  <c r="J184" i="1"/>
  <c r="J689" i="1"/>
  <c r="J429" i="1"/>
  <c r="J365" i="1"/>
  <c r="J134" i="1"/>
  <c r="J522" i="1"/>
  <c r="J694" i="1"/>
  <c r="J262" i="1"/>
  <c r="J540" i="1"/>
  <c r="J93" i="1"/>
  <c r="J199" i="1"/>
  <c r="J66" i="1"/>
  <c r="J624" i="1"/>
  <c r="J221" i="1"/>
  <c r="J430" i="1"/>
  <c r="J361" i="1"/>
  <c r="J419" i="1"/>
  <c r="J579" i="1"/>
  <c r="J415" i="1"/>
  <c r="J641" i="1"/>
  <c r="J325" i="1"/>
  <c r="J524" i="1"/>
  <c r="J592" i="1"/>
  <c r="J301" i="1"/>
  <c r="J489" i="1"/>
  <c r="J341" i="1"/>
  <c r="J308" i="1"/>
  <c r="J406" i="1"/>
  <c r="J473" i="1"/>
  <c r="J612" i="1"/>
  <c r="J639" i="1"/>
  <c r="J367" i="1"/>
  <c r="J62" i="1"/>
  <c r="J296" i="1"/>
  <c r="J82" i="1"/>
  <c r="J280" i="1"/>
  <c r="J526" i="1"/>
  <c r="J96" i="1"/>
  <c r="J565" i="1"/>
  <c r="J678" i="1"/>
  <c r="J542" i="1"/>
  <c r="J366" i="1"/>
  <c r="J328" i="1"/>
  <c r="J71" i="1"/>
  <c r="J243" i="1"/>
  <c r="J127" i="1"/>
  <c r="J699" i="1"/>
  <c r="J69" i="1"/>
  <c r="J501" i="1"/>
  <c r="J317" i="1"/>
  <c r="J83" i="1"/>
  <c r="J619" i="1"/>
  <c r="J525" i="1"/>
  <c r="J603" i="1"/>
  <c r="J412" i="1"/>
  <c r="J391" i="1"/>
  <c r="J563" i="1"/>
  <c r="J469" i="1"/>
  <c r="J314" i="1"/>
  <c r="J235" i="1"/>
  <c r="J295" i="1"/>
  <c r="J211" i="1"/>
  <c r="J324" i="1"/>
  <c r="J90" i="1"/>
  <c r="J455" i="1"/>
  <c r="J465" i="1"/>
  <c r="J327" i="1"/>
  <c r="J499" i="1"/>
  <c r="J255" i="1"/>
  <c r="J189" i="1"/>
  <c r="J282" i="1"/>
  <c r="J506" i="1"/>
  <c r="J159" i="1"/>
  <c r="J687" i="1"/>
  <c r="J684" i="1"/>
  <c r="J276" i="1"/>
  <c r="J106" i="1"/>
  <c r="J491" i="1"/>
  <c r="J48" i="1"/>
  <c r="J420" i="1"/>
  <c r="J130" i="1"/>
  <c r="J500" i="1"/>
  <c r="J169" i="1"/>
  <c r="J234" i="1"/>
  <c r="J95" i="1"/>
  <c r="J170" i="1"/>
  <c r="J510" i="1"/>
  <c r="J330" i="1"/>
  <c r="J230" i="1"/>
  <c r="J532" i="1"/>
  <c r="J519" i="1"/>
  <c r="J652" i="1"/>
  <c r="J284" i="1"/>
  <c r="J622" i="1"/>
  <c r="J616" i="1"/>
  <c r="J258" i="1"/>
  <c r="J161" i="1"/>
  <c r="J468" i="1"/>
  <c r="J293" i="1"/>
  <c r="J287" i="1"/>
  <c r="J118" i="1"/>
  <c r="J593" i="1"/>
  <c r="J625" i="1"/>
  <c r="J240" i="1"/>
  <c r="J74" i="1"/>
  <c r="J434" i="1"/>
  <c r="J554" i="1"/>
  <c r="J683" i="1"/>
  <c r="J617" i="1"/>
  <c r="J676" i="1"/>
  <c r="J174" i="1"/>
  <c r="J566" i="1"/>
  <c r="J380" i="1"/>
  <c r="J263" i="1"/>
  <c r="J333" i="1"/>
  <c r="J634" i="1"/>
  <c r="J331" i="1"/>
  <c r="J512" i="1"/>
  <c r="J691" i="1"/>
  <c r="J668" i="1"/>
  <c r="J629" i="1"/>
  <c r="J447" i="1"/>
  <c r="J206" i="1"/>
  <c r="J441" i="1"/>
  <c r="J382" i="1"/>
  <c r="J88" i="1"/>
  <c r="J244" i="1"/>
  <c r="J445" i="1"/>
  <c r="J648" i="1"/>
  <c r="J196" i="1"/>
  <c r="J179" i="1"/>
  <c r="J338" i="1"/>
  <c r="J444" i="1"/>
  <c r="J94" i="1"/>
  <c r="J572" i="1"/>
  <c r="J527" i="1"/>
  <c r="J309" i="1"/>
  <c r="J270" i="1"/>
  <c r="J78" i="1"/>
  <c r="J77" i="1"/>
  <c r="J192" i="1"/>
  <c r="J698" i="1"/>
  <c r="J385" i="1"/>
  <c r="J51" i="1"/>
  <c r="J479" i="1"/>
  <c r="J471" i="1"/>
  <c r="J286" i="1"/>
  <c r="J319" i="1"/>
  <c r="J533" i="1"/>
  <c r="J453" i="1"/>
  <c r="J493" i="1"/>
  <c r="J618" i="1"/>
  <c r="J148" i="1"/>
  <c r="J427" i="1"/>
  <c r="J352" i="1"/>
  <c r="J311" i="1"/>
  <c r="J454" i="1"/>
  <c r="J439" i="1"/>
  <c r="J349" i="1"/>
  <c r="J363" i="1"/>
  <c r="J354" i="1"/>
  <c r="J442" i="1"/>
  <c r="J431" i="1"/>
  <c r="J223" i="1"/>
  <c r="J517" i="1"/>
  <c r="J370" i="1"/>
  <c r="J89" i="1"/>
  <c r="J596" i="1"/>
  <c r="J155" i="1"/>
  <c r="J460" i="1"/>
  <c r="J528" i="1"/>
  <c r="J591" i="1"/>
  <c r="J675" i="1"/>
  <c r="J495" i="1"/>
  <c r="J598" i="1"/>
  <c r="J543" i="1"/>
  <c r="J577" i="1"/>
  <c r="J299" i="1"/>
  <c r="J665" i="1"/>
  <c r="J545" i="1"/>
  <c r="J277" i="1"/>
  <c r="J156" i="1"/>
  <c r="J98" i="1"/>
  <c r="J640" i="1"/>
  <c r="J175" i="1"/>
  <c r="J217" i="1"/>
  <c r="J135" i="1"/>
  <c r="J680" i="1"/>
  <c r="J347" i="1"/>
  <c r="J446" i="1"/>
  <c r="J302" i="1"/>
  <c r="J283" i="1"/>
  <c r="J185" i="1"/>
  <c r="J575" i="1"/>
  <c r="J394" i="1"/>
  <c r="J555" i="1"/>
  <c r="J81" i="1"/>
  <c r="J47" i="1"/>
  <c r="J449" i="1"/>
  <c r="J246" i="1"/>
  <c r="J647" i="1"/>
  <c r="J73" i="1"/>
  <c r="J422" i="1"/>
  <c r="J682" i="1"/>
  <c r="J594" i="1"/>
  <c r="J448" i="1"/>
  <c r="J371" i="1"/>
  <c r="J498" i="1"/>
  <c r="J559" i="1"/>
  <c r="J392" i="1"/>
  <c r="J350" i="1"/>
  <c r="J79" i="1"/>
  <c r="J232" i="1"/>
  <c r="J428" i="1"/>
  <c r="J253" i="1"/>
  <c r="J544" i="1"/>
  <c r="J264" i="1"/>
  <c r="J377" i="1"/>
  <c r="J288" i="1"/>
  <c r="J660" i="1"/>
  <c r="J508" i="1"/>
  <c r="J638" i="1"/>
  <c r="J202" i="1"/>
  <c r="J358" i="1"/>
  <c r="J334" i="1"/>
  <c r="J321" i="1"/>
  <c r="J104" i="1"/>
  <c r="J252" i="1"/>
  <c r="J269" i="1"/>
  <c r="J126" i="1"/>
  <c r="J369" i="1"/>
  <c r="J674" i="1"/>
  <c r="J137" i="1"/>
  <c r="J556" i="1"/>
  <c r="J633" i="1"/>
  <c r="J375" i="1"/>
  <c r="J396" i="1"/>
  <c r="J484" i="1"/>
  <c r="J70" i="1"/>
  <c r="J557" i="1"/>
  <c r="J480" i="1"/>
  <c r="J214" i="1"/>
  <c r="J123" i="1"/>
  <c r="J477" i="1"/>
  <c r="J666" i="1"/>
  <c r="J178" i="1"/>
  <c r="J531" i="1"/>
  <c r="J141" i="1"/>
  <c r="J475" i="1"/>
  <c r="J613" i="1"/>
  <c r="J353" i="1"/>
  <c r="J99" i="1"/>
  <c r="J673" i="1"/>
  <c r="J139" i="1"/>
  <c r="J686" i="1"/>
  <c r="J219" i="1"/>
  <c r="J85" i="1"/>
  <c r="J220" i="1"/>
  <c r="J451" i="1"/>
  <c r="J181" i="1"/>
  <c r="J649" i="1"/>
  <c r="J650" i="1"/>
  <c r="J388" i="1"/>
  <c r="J695" i="1"/>
  <c r="J443" i="1"/>
  <c r="J313" i="1"/>
  <c r="J423" i="1"/>
  <c r="J57" i="1"/>
  <c r="J113" i="1"/>
  <c r="J515" i="1"/>
  <c r="J462" i="1"/>
  <c r="J227" i="1"/>
  <c r="J315" i="1"/>
  <c r="J54" i="1"/>
  <c r="J654" i="1"/>
  <c r="J644" i="1"/>
  <c r="J166" i="1"/>
  <c r="J584" i="1"/>
  <c r="J289" i="1"/>
  <c r="J590" i="1"/>
  <c r="J343" i="1"/>
  <c r="J504" i="1"/>
  <c r="J697" i="1"/>
  <c r="J636" i="1"/>
  <c r="J5" i="1"/>
  <c r="J305" i="1"/>
  <c r="J285" i="1"/>
  <c r="J249" i="1"/>
  <c r="J75" i="1"/>
  <c r="J152" i="1"/>
  <c r="J521" i="1"/>
  <c r="J407" i="1"/>
  <c r="J376" i="1"/>
  <c r="J326" i="1"/>
  <c r="J260" i="1"/>
  <c r="J672" i="1"/>
  <c r="J65" i="1"/>
  <c r="J193" i="1"/>
  <c r="J421" i="1"/>
  <c r="J437" i="1"/>
  <c r="J215" i="1"/>
  <c r="J222" i="1"/>
  <c r="J182" i="1"/>
  <c r="J511" i="1"/>
  <c r="J662" i="1"/>
  <c r="J121" i="1"/>
  <c r="J549" i="1"/>
  <c r="J108" i="1"/>
  <c r="J436" i="1"/>
  <c r="J409" i="1"/>
  <c r="J601" i="1"/>
  <c r="J348" i="1"/>
  <c r="J136" i="1"/>
  <c r="J336" i="1"/>
  <c r="J359" i="1"/>
  <c r="J516" i="1"/>
  <c r="J147" i="1"/>
  <c r="J632" i="1"/>
  <c r="J173" i="1"/>
  <c r="J146" i="1"/>
  <c r="J172" i="1"/>
  <c r="J346" i="1"/>
  <c r="J143" i="1"/>
  <c r="J467" i="1"/>
  <c r="J628" i="1"/>
  <c r="J607" i="1"/>
  <c r="J323" i="1"/>
  <c r="J198" i="1"/>
  <c r="J693" i="1"/>
  <c r="J186" i="1"/>
  <c r="J578" i="1"/>
  <c r="J239" i="1"/>
  <c r="J424" i="1"/>
  <c r="J440" i="1"/>
  <c r="J474" i="1"/>
  <c r="J642" i="1"/>
  <c r="J306" i="1"/>
  <c r="J307" i="1"/>
  <c r="J274" i="1"/>
  <c r="J482" i="1"/>
  <c r="J507" i="1"/>
  <c r="J176" i="1"/>
  <c r="J153" i="1"/>
  <c r="J381" i="1"/>
  <c r="J337" i="1"/>
  <c r="J68" i="1"/>
  <c r="J132" i="1"/>
  <c r="J242" i="1"/>
  <c r="J582" i="1"/>
  <c r="J400" i="1"/>
  <c r="J435" i="1"/>
  <c r="J600" i="1"/>
  <c r="J645" i="1"/>
  <c r="J310" i="1"/>
  <c r="J518" i="1"/>
  <c r="J414" i="1"/>
  <c r="J481" i="1"/>
  <c r="J39" i="1"/>
  <c r="J547" i="1"/>
  <c r="J589" i="1"/>
  <c r="J410" i="1"/>
  <c r="J86" i="1"/>
  <c r="J52" i="1"/>
  <c r="J397" i="1"/>
  <c r="J111" i="1"/>
  <c r="J655" i="1"/>
  <c r="J417" i="1"/>
  <c r="J413" i="1"/>
  <c r="J351" i="1"/>
  <c r="J261" i="1"/>
  <c r="J345" i="1"/>
  <c r="J273" i="1"/>
  <c r="J275" i="1"/>
  <c r="J688" i="1"/>
  <c r="J160" i="1"/>
  <c r="J567" i="1"/>
  <c r="J569" i="1"/>
  <c r="J677" i="1"/>
  <c r="J290" i="1"/>
  <c r="J490" i="1"/>
  <c r="J558" i="1"/>
  <c r="J158" i="1"/>
  <c r="J368" i="1"/>
  <c r="J55" i="1"/>
  <c r="J61" i="1"/>
  <c r="J486" i="1"/>
  <c r="J387" i="1"/>
  <c r="J339" i="1"/>
  <c r="J671" i="1"/>
  <c r="J187" i="1"/>
  <c r="J224" i="1"/>
  <c r="J604" i="1"/>
  <c r="J700" i="1"/>
  <c r="J138" i="1"/>
  <c r="J523" i="1"/>
  <c r="J562" i="1"/>
  <c r="J316" i="1"/>
  <c r="J398" i="1"/>
  <c r="J101" i="1"/>
  <c r="J213" i="1"/>
  <c r="J470" i="1"/>
  <c r="J568" i="1"/>
  <c r="J411" i="1"/>
  <c r="J576" i="1"/>
  <c r="J383" i="1"/>
  <c r="J100" i="1"/>
  <c r="J356" i="1"/>
  <c r="J157" i="1"/>
  <c r="J485" i="1"/>
  <c r="J560" i="1"/>
  <c r="J541" i="1"/>
  <c r="J228" i="1"/>
  <c r="J635" i="1"/>
  <c r="J168" i="1"/>
  <c r="J76" i="1"/>
  <c r="J241" i="1"/>
  <c r="J664" i="1"/>
  <c r="J120" i="1"/>
  <c r="J609" i="1"/>
  <c r="J621" i="1"/>
  <c r="J583" i="1"/>
  <c r="J663" i="1"/>
  <c r="J154" i="1"/>
  <c r="J502" i="1"/>
  <c r="J322" i="1"/>
  <c r="J140" i="1"/>
  <c r="J194" i="1"/>
  <c r="J580" i="1"/>
  <c r="J615" i="1"/>
  <c r="J266" i="1"/>
  <c r="J403" i="1"/>
  <c r="J585" i="1"/>
  <c r="J117" i="1"/>
  <c r="J115" i="1"/>
  <c r="J177" i="1"/>
  <c r="J574" i="1"/>
  <c r="J503" i="1"/>
  <c r="J63" i="1"/>
  <c r="J122" i="1"/>
  <c r="J595" i="1"/>
  <c r="J102" i="1"/>
  <c r="J520" i="1"/>
  <c r="J399" i="1"/>
  <c r="J109" i="1"/>
  <c r="J167" i="1"/>
  <c r="J620" i="1"/>
  <c r="J145" i="1"/>
  <c r="J426" i="1"/>
  <c r="J251" i="1"/>
  <c r="J292" i="1"/>
  <c r="J3" i="1"/>
  <c r="J552" i="1"/>
  <c r="J40" i="1"/>
  <c r="J692" i="1"/>
  <c r="J690" i="1"/>
  <c r="J610" i="1"/>
  <c r="J205" i="1"/>
  <c r="J114" i="1"/>
  <c r="J190" i="1"/>
  <c r="J372" i="1"/>
  <c r="J605" i="1"/>
  <c r="J116" i="1"/>
  <c r="J658" i="1"/>
  <c r="J362" i="1"/>
  <c r="J149" i="1"/>
  <c r="J401" i="1"/>
  <c r="J203" i="1"/>
  <c r="J657" i="1"/>
  <c r="J237" i="1"/>
  <c r="J374" i="1"/>
  <c r="J112" i="1"/>
  <c r="J267" i="1"/>
  <c r="J103" i="1"/>
  <c r="J529" i="1"/>
  <c r="J537" i="1"/>
  <c r="J587" i="1"/>
  <c r="J297" i="1"/>
  <c r="J551" i="1"/>
  <c r="J494" i="1"/>
  <c r="J225" i="1"/>
  <c r="J131" i="1"/>
  <c r="J599" i="1"/>
  <c r="J304" i="1"/>
  <c r="J49" i="1"/>
  <c r="J614" i="1"/>
  <c r="J509" i="1"/>
  <c r="J483" i="1"/>
  <c r="J250" i="1"/>
  <c r="J611" i="1"/>
  <c r="J631" i="1"/>
  <c r="J643" i="1"/>
  <c r="J210" i="1"/>
  <c r="J291" i="1"/>
  <c r="J393" i="1"/>
  <c r="J119" i="1"/>
  <c r="J133" i="1"/>
  <c r="J478" i="1"/>
  <c r="J60" i="1"/>
  <c r="J530" i="1"/>
  <c r="J355" i="1"/>
  <c r="J254" i="1"/>
  <c r="J97" i="1"/>
  <c r="J373" i="1"/>
  <c r="J461" i="1"/>
  <c r="J653" i="1"/>
  <c r="J165" i="1"/>
  <c r="J581" i="1"/>
  <c r="J458" i="1"/>
  <c r="J144" i="1"/>
  <c r="J92" i="1"/>
  <c r="J342" i="1"/>
  <c r="J404" i="1"/>
  <c r="J42" i="1"/>
  <c r="J163" i="1"/>
  <c r="J200" i="1"/>
  <c r="J201" i="1"/>
  <c r="J226" i="1"/>
  <c r="J416" i="1"/>
  <c r="J124" i="1"/>
  <c r="J107" i="1"/>
  <c r="J535" i="1"/>
  <c r="J476" i="1"/>
  <c r="J487" i="1"/>
  <c r="J340" i="1"/>
  <c r="J56" i="1"/>
  <c r="J110" i="1"/>
  <c r="J294" i="1"/>
  <c r="J300" i="1"/>
  <c r="J505" i="1"/>
  <c r="J456" i="1"/>
  <c r="J332" i="1"/>
  <c r="J513" i="1"/>
  <c r="J84" i="1"/>
  <c r="J701" i="1"/>
  <c r="J564" i="1"/>
  <c r="J395" i="1"/>
  <c r="J335" i="1"/>
  <c r="J91" i="1"/>
  <c r="J408" i="1"/>
  <c r="J191" i="1"/>
  <c r="J656" i="1"/>
  <c r="J390" i="1"/>
  <c r="J550" i="1"/>
  <c r="J646" i="1"/>
  <c r="J630" i="1"/>
  <c r="J627" i="1"/>
  <c r="J236" i="1"/>
  <c r="J597" i="1"/>
  <c r="J197" i="1"/>
  <c r="J229" i="1"/>
  <c r="J452" i="1"/>
  <c r="J105" i="1"/>
  <c r="J364" i="1"/>
  <c r="J561" i="1"/>
  <c r="J418" i="1"/>
  <c r="J667" i="1"/>
  <c r="J438" i="1"/>
  <c r="J150" i="1"/>
  <c r="J360" i="1"/>
  <c r="J450" i="1"/>
  <c r="J651" i="1"/>
  <c r="J272" i="1"/>
  <c r="J171" i="1"/>
  <c r="J546" i="1"/>
  <c r="J386" i="1"/>
  <c r="J384" i="1"/>
  <c r="J87" i="1"/>
  <c r="J538" i="1"/>
  <c r="J320" i="1"/>
  <c r="J637" i="1"/>
  <c r="J586" i="1"/>
  <c r="J405" i="1"/>
  <c r="J259" i="1"/>
  <c r="J50" i="1"/>
  <c r="J669" i="1"/>
  <c r="J492" i="1"/>
  <c r="J298" i="1"/>
  <c r="J4" i="1"/>
  <c r="J151" i="1"/>
  <c r="J571" i="1"/>
  <c r="J402" i="1"/>
  <c r="J231" i="1"/>
</calcChain>
</file>

<file path=xl/sharedStrings.xml><?xml version="1.0" encoding="utf-8"?>
<sst xmlns="http://schemas.openxmlformats.org/spreadsheetml/2006/main" count="2081" uniqueCount="1556">
  <si>
    <t>player_zero</t>
  </si>
  <si>
    <t>MICHAEL</t>
  </si>
  <si>
    <t xml:space="preserve">	a_c_pig</t>
  </si>
  <si>
    <t xml:space="preserve">	PIG</t>
  </si>
  <si>
    <t xml:space="preserve">	AFRIAMER</t>
  </si>
  <si>
    <t xml:space="preserve">	a_m_m_afriamer_01</t>
  </si>
  <si>
    <t xml:space="preserve">	ANDREAS</t>
  </si>
  <si>
    <t xml:space="preserve">	cs_andreas</t>
  </si>
  <si>
    <t xml:space="preserve">	AZTECA</t>
  </si>
  <si>
    <t xml:space="preserve">	g_m_y_azteca_01</t>
  </si>
  <si>
    <t xml:space="preserve">	BALLAS</t>
  </si>
  <si>
    <t xml:space="preserve">	g_f_y_ballas_01</t>
  </si>
  <si>
    <t xml:space="preserve">	BALLASOG</t>
  </si>
  <si>
    <t xml:space="preserve">	csb_ballasog</t>
  </si>
  <si>
    <t xml:space="preserve">	BEACH</t>
  </si>
  <si>
    <t xml:space="preserve">	a_f_m_beach_01</t>
  </si>
  <si>
    <t xml:space="preserve">	a_m_y_beach_03</t>
  </si>
  <si>
    <t xml:space="preserve">	BESTMEN</t>
  </si>
  <si>
    <t xml:space="preserve">	ig_bestmen</t>
  </si>
  <si>
    <t xml:space="preserve">	BEVHILLS</t>
  </si>
  <si>
    <t xml:space="preserve">	a_f_y_bevhills_02</t>
  </si>
  <si>
    <t xml:space="preserve">	BUSKER</t>
  </si>
  <si>
    <t xml:space="preserve">	s_m_o_busker_01</t>
  </si>
  <si>
    <t xml:space="preserve">	CASEY</t>
  </si>
  <si>
    <t xml:space="preserve">	cs_casey</t>
  </si>
  <si>
    <t xml:space="preserve">	CHEF</t>
  </si>
  <si>
    <t xml:space="preserve">	s_m_y_chef_01</t>
  </si>
  <si>
    <t xml:space="preserve">	CHEMSEC</t>
  </si>
  <si>
    <t xml:space="preserve">	s_m_m_chemsec_01</t>
  </si>
  <si>
    <t xml:space="preserve">	CHRISFORMAGE</t>
  </si>
  <si>
    <t xml:space="preserve">	ig_chrisformage</t>
  </si>
  <si>
    <t xml:space="preserve">	DENISE_FRIEND</t>
  </si>
  <si>
    <t xml:space="preserve">	csb_denise_friend</t>
  </si>
  <si>
    <t xml:space="preserve">	DOWNTOWN</t>
  </si>
  <si>
    <t xml:space="preserve">	a_m_y_downtown_01</t>
  </si>
  <si>
    <t xml:space="preserve">	DREYFUSS</t>
  </si>
  <si>
    <t xml:space="preserve">	cs_dreyfuss</t>
  </si>
  <si>
    <t xml:space="preserve">	DRFRIEDLANDER</t>
  </si>
  <si>
    <t xml:space="preserve">	ig_drfriedlander</t>
  </si>
  <si>
    <t xml:space="preserve">	DWSERVICE</t>
  </si>
  <si>
    <t xml:space="preserve">	s_m_y_dwservice_02</t>
  </si>
  <si>
    <t xml:space="preserve">	EPSILON</t>
  </si>
  <si>
    <t xml:space="preserve">	a_f_y_epsilon_01</t>
  </si>
  <si>
    <t xml:space="preserve">	FATWHITE</t>
  </si>
  <si>
    <t xml:space="preserve">	a_f_m_fatwhite_01</t>
  </si>
  <si>
    <t xml:space="preserve">	FIBSEC</t>
  </si>
  <si>
    <t xml:space="preserve">	mp_m_fibsec_01</t>
  </si>
  <si>
    <t xml:space="preserve">	GENFAT</t>
  </si>
  <si>
    <t xml:space="preserve">	a_m_m_genfat_01</t>
  </si>
  <si>
    <t xml:space="preserve">	GUNVEND</t>
  </si>
  <si>
    <t xml:space="preserve">	u_m_y_gunvend_01</t>
  </si>
  <si>
    <t xml:space="preserve">	HAIRDRESS</t>
  </si>
  <si>
    <t xml:space="preserve">	s_m_m_hairdress_01</t>
  </si>
  <si>
    <t xml:space="preserve">	HASJEW</t>
  </si>
  <si>
    <t xml:space="preserve">	a_m_y_hasjew_01</t>
  </si>
  <si>
    <t xml:space="preserve">	HC_GUNMAN</t>
  </si>
  <si>
    <t xml:space="preserve">	hc_gunman</t>
  </si>
  <si>
    <t xml:space="preserve">	HIPSTER</t>
  </si>
  <si>
    <t xml:space="preserve">	a_f_y_hipster_04</t>
  </si>
  <si>
    <t xml:space="preserve">	HOOKER</t>
  </si>
  <si>
    <t xml:space="preserve">	s_f_y_hooker_01</t>
  </si>
  <si>
    <t xml:space="preserve">	JEWELTHIEF</t>
  </si>
  <si>
    <t xml:space="preserve">	u_m_m_jewelthief</t>
  </si>
  <si>
    <t xml:space="preserve">	JIMMYBOSTON</t>
  </si>
  <si>
    <t xml:space="preserve">	cs_jimmyboston</t>
  </si>
  <si>
    <t xml:space="preserve">	ig_jimmyboston</t>
  </si>
  <si>
    <t xml:space="preserve">	KTOWN</t>
  </si>
  <si>
    <t xml:space="preserve">	a_m_y_ktown_02</t>
  </si>
  <si>
    <t xml:space="preserve">	LIFEINVAD</t>
  </si>
  <si>
    <t xml:space="preserve">	ig_lifeinvad_01</t>
  </si>
  <si>
    <t xml:space="preserve">	LOST</t>
  </si>
  <si>
    <t xml:space="preserve">	g_m_y_lost_01</t>
  </si>
  <si>
    <t xml:space="preserve">	MAGENTA</t>
  </si>
  <si>
    <t xml:space="preserve">	cs_magenta</t>
  </si>
  <si>
    <t xml:space="preserve">	MARINE</t>
  </si>
  <si>
    <t xml:space="preserve">	csb_ramp_marine</t>
  </si>
  <si>
    <t xml:space="preserve">	s_m_m_marine_02</t>
  </si>
  <si>
    <t xml:space="preserve">	MEXLABOR</t>
  </si>
  <si>
    <t xml:space="preserve">	a_m_m_mexlabor_01</t>
  </si>
  <si>
    <t xml:space="preserve">	MRK</t>
  </si>
  <si>
    <t xml:space="preserve">	cs_mrk</t>
  </si>
  <si>
    <t xml:space="preserve">	ig_mrk</t>
  </si>
  <si>
    <t xml:space="preserve">	MWEATHER</t>
  </si>
  <si>
    <t xml:space="preserve">	csb_mweather</t>
  </si>
  <si>
    <t xml:space="preserve">	ORLEANS</t>
  </si>
  <si>
    <t xml:space="preserve">	ig_orleans</t>
  </si>
  <si>
    <t xml:space="preserve">	PAPER</t>
  </si>
  <si>
    <t xml:space="preserve">	cs_paper</t>
  </si>
  <si>
    <t xml:space="preserve">	PESTCONT</t>
  </si>
  <si>
    <t xml:space="preserve">	s_m_y_pestcont_01</t>
  </si>
  <si>
    <t xml:space="preserve">	POLOGOON</t>
  </si>
  <si>
    <t xml:space="preserve">	g_m_y_pologoon_02</t>
  </si>
  <si>
    <t xml:space="preserve">	PRISGUARD</t>
  </si>
  <si>
    <t xml:space="preserve">	s_m_m_prisguard_01</t>
  </si>
  <si>
    <t xml:space="preserve">	PROLHOST</t>
  </si>
  <si>
    <t xml:space="preserve">	u_f_o_prolhost_01</t>
  </si>
  <si>
    <t xml:space="preserve">	ROCCOPELOSI</t>
  </si>
  <si>
    <t xml:space="preserve">	ig_roccopelosi</t>
  </si>
  <si>
    <t xml:space="preserve">	RUNNER</t>
  </si>
  <si>
    <t xml:space="preserve">	a_m_y_runner_01</t>
  </si>
  <si>
    <t xml:space="preserve">	SKATER</t>
  </si>
  <si>
    <t xml:space="preserve">	a_m_m_skater_01</t>
  </si>
  <si>
    <t xml:space="preserve">	SOUCENT</t>
  </si>
  <si>
    <t xml:space="preserve">	a_m_o_soucent_01</t>
  </si>
  <si>
    <t xml:space="preserve">	SPYACTRESS</t>
  </si>
  <si>
    <t xml:space="preserve">	u_f_y_spyactress</t>
  </si>
  <si>
    <t xml:space="preserve">	STBLA</t>
  </si>
  <si>
    <t xml:space="preserve">	a_m_y_stbla_02</t>
  </si>
  <si>
    <t xml:space="preserve">	STRIPPERLITE</t>
  </si>
  <si>
    <t xml:space="preserve">	s_f_y_stripperlite</t>
  </si>
  <si>
    <t xml:space="preserve">	TANISHA</t>
  </si>
  <si>
    <t xml:space="preserve">	cs_tanisha</t>
  </si>
  <si>
    <t xml:space="preserve">	TAOSTRANSLATOR</t>
  </si>
  <si>
    <t xml:space="preserve">	ig_taostranslator</t>
  </si>
  <si>
    <t xml:space="preserve">	TENNIS</t>
  </si>
  <si>
    <t xml:space="preserve">	a_f_y_tennis_01</t>
  </si>
  <si>
    <t xml:space="preserve">	TRAMP</t>
  </si>
  <si>
    <t xml:space="preserve">	u_m_o_tramp_01</t>
  </si>
  <si>
    <t xml:space="preserve">	TRAMPBEAC</t>
  </si>
  <si>
    <t xml:space="preserve">	a_f_m_trampbeac_01</t>
  </si>
  <si>
    <t xml:space="preserve">	a_m_m_trampbeac_01</t>
  </si>
  <si>
    <t xml:space="preserve">	USCG</t>
  </si>
  <si>
    <t xml:space="preserve">	s_m_y_uscg_01</t>
  </si>
  <si>
    <t xml:space="preserve">	VINEWOOD</t>
  </si>
  <si>
    <t xml:space="preserve">	a_m_y_vinewood_04</t>
  </si>
  <si>
    <t xml:space="preserve">	ZIMBOR</t>
  </si>
  <si>
    <t xml:space="preserve">	ig_zimbor</t>
  </si>
  <si>
    <t>SHARKHAMMER</t>
  </si>
  <si>
    <t>player_one</t>
  </si>
  <si>
    <t>FRANKLIN</t>
  </si>
  <si>
    <t>player_two</t>
  </si>
  <si>
    <t>TREVOR</t>
  </si>
  <si>
    <t>a_c_boar</t>
  </si>
  <si>
    <t>BOAR</t>
  </si>
  <si>
    <t>a_c_chimp</t>
  </si>
  <si>
    <t>CHIMP</t>
  </si>
  <si>
    <t>a_c_cow</t>
  </si>
  <si>
    <t>COW</t>
  </si>
  <si>
    <t>a_c_coyote</t>
  </si>
  <si>
    <t>COYOTE</t>
  </si>
  <si>
    <t>a_c_deer</t>
  </si>
  <si>
    <t>DEER</t>
  </si>
  <si>
    <t>a_c_fish</t>
  </si>
  <si>
    <t>FISH</t>
  </si>
  <si>
    <t>a_c_hen</t>
  </si>
  <si>
    <t>HEN</t>
  </si>
  <si>
    <t xml:space="preserve">	a_c_cat_01</t>
  </si>
  <si>
    <t xml:space="preserve">	CAT</t>
  </si>
  <si>
    <t>a_c_chickenhawk</t>
  </si>
  <si>
    <t>HAWK</t>
  </si>
  <si>
    <t>a_c_cormorant</t>
  </si>
  <si>
    <t>CORMORANT</t>
  </si>
  <si>
    <t>a_c_crow</t>
  </si>
  <si>
    <t>CROW</t>
  </si>
  <si>
    <t>a_c_dolphin</t>
  </si>
  <si>
    <t>DOLPHIN</t>
  </si>
  <si>
    <t>a_c_humpback</t>
  </si>
  <si>
    <t>HUMPBACK</t>
  </si>
  <si>
    <t>a_c_killerwhale</t>
  </si>
  <si>
    <t>WHALE</t>
  </si>
  <si>
    <t>a_c_pigeon</t>
  </si>
  <si>
    <t>PIGEON</t>
  </si>
  <si>
    <t>a_c_seagull</t>
  </si>
  <si>
    <t>SEAGULL</t>
  </si>
  <si>
    <t>a_c_sharkhammer</t>
  </si>
  <si>
    <t>a_c_rat</t>
  </si>
  <si>
    <t>RAT</t>
  </si>
  <si>
    <t>a_c_rhesus</t>
  </si>
  <si>
    <t>RHESUS</t>
  </si>
  <si>
    <t>a_c_chop</t>
  </si>
  <si>
    <t>CHOP</t>
  </si>
  <si>
    <t>a_c_husky</t>
  </si>
  <si>
    <t>HUSKY</t>
  </si>
  <si>
    <t>a_c_mtlion</t>
  </si>
  <si>
    <t>MTLION</t>
  </si>
  <si>
    <t>a_c_retriever</t>
  </si>
  <si>
    <t>RETRIEVER</t>
  </si>
  <si>
    <t>a_c_sharktiger</t>
  </si>
  <si>
    <t>SHARKTIGER</t>
  </si>
  <si>
    <t>a_c_shepherd</t>
  </si>
  <si>
    <t>SHEPHERD</t>
  </si>
  <si>
    <t>csb_abigail</t>
  </si>
  <si>
    <t>ABIGAIL</t>
  </si>
  <si>
    <t>ig_abigail</t>
  </si>
  <si>
    <t>u_m_y_abner</t>
  </si>
  <si>
    <t>ABNER</t>
  </si>
  <si>
    <t>a_m_m_acult_01</t>
  </si>
  <si>
    <t>ACULT</t>
  </si>
  <si>
    <t>a_m_o_acult_01</t>
  </si>
  <si>
    <t>a_m_o_acult_02</t>
  </si>
  <si>
    <t>a_m_y_acult_01</t>
  </si>
  <si>
    <t>a_m_y_acult_02</t>
  </si>
  <si>
    <t>s_f_y_airhostess_01</t>
  </si>
  <si>
    <t>AIRHOSTESS</t>
  </si>
  <si>
    <t>s_m_y_airworker</t>
  </si>
  <si>
    <t>AIRWORKER</t>
  </si>
  <si>
    <t>u_m_m_aldinapoli</t>
  </si>
  <si>
    <t>ALDINAPOLI</t>
  </si>
  <si>
    <t>s_m_m_movalien_01</t>
  </si>
  <si>
    <t>ALIEN</t>
  </si>
  <si>
    <t>cs_amandatownley</t>
  </si>
  <si>
    <t>AMANDATOWNLEY</t>
  </si>
  <si>
    <t>ig_amandatownley</t>
  </si>
  <si>
    <t>s_m_y_ammucity_01</t>
  </si>
  <si>
    <t>AMMUCITY</t>
  </si>
  <si>
    <t>s_m_m_ammucountry</t>
  </si>
  <si>
    <t>AMMUCOUNTRY</t>
  </si>
  <si>
    <t>ig_andreas</t>
  </si>
  <si>
    <t>ANDREAS</t>
  </si>
  <si>
    <t>csb_anita</t>
  </si>
  <si>
    <t>ANITA</t>
  </si>
  <si>
    <t>csb_anton</t>
  </si>
  <si>
    <t>ANTON</t>
  </si>
  <si>
    <t>u_m_y_antonb</t>
  </si>
  <si>
    <t>ANTONB</t>
  </si>
  <si>
    <t>g_m_m_armboss_01</t>
  </si>
  <si>
    <t>ARMBOSS</t>
  </si>
  <si>
    <t>g_m_m_armgoon_01</t>
  </si>
  <si>
    <t>ARMGOON</t>
  </si>
  <si>
    <t>g_m_y_armgoon_02</t>
  </si>
  <si>
    <t>g_m_m_armlieut_01</t>
  </si>
  <si>
    <t>ARMLIEUT</t>
  </si>
  <si>
    <t>mp_s_m_armoured_01</t>
  </si>
  <si>
    <t>ARMOURED</t>
  </si>
  <si>
    <t>s_m_m_armoured_01</t>
  </si>
  <si>
    <t>s_m_m_armoured_02</t>
  </si>
  <si>
    <t>s_m_y_armymech_01</t>
  </si>
  <si>
    <t>ARMYMECH</t>
  </si>
  <si>
    <t>cs_ashley</t>
  </si>
  <si>
    <t>ASHLEY</t>
  </si>
  <si>
    <t>ig_ashley</t>
  </si>
  <si>
    <t>s_m_y_autopsy_01</t>
  </si>
  <si>
    <t>AUTOPSY</t>
  </si>
  <si>
    <t>s_m_m_autoshop_01</t>
  </si>
  <si>
    <t>AUTOSHOP</t>
  </si>
  <si>
    <t>s_m_m_autoshop_02</t>
  </si>
  <si>
    <t>u_m_y_babyd</t>
  </si>
  <si>
    <t>BABYD</t>
  </si>
  <si>
    <t>g_m_y_ballaeast_01</t>
  </si>
  <si>
    <t>BALLAEAST</t>
  </si>
  <si>
    <t>g_m_y_ballaorig_01</t>
  </si>
  <si>
    <t>BALLAORIG</t>
  </si>
  <si>
    <t>ig_ballasog</t>
  </si>
  <si>
    <t>BALLASOG</t>
  </si>
  <si>
    <t>g_m_y_ballasout_01</t>
  </si>
  <si>
    <t>BALLASOUT</t>
  </si>
  <si>
    <t>cs_bankman</t>
  </si>
  <si>
    <t>BANKMAN</t>
  </si>
  <si>
    <t>ig_bankman</t>
  </si>
  <si>
    <t>u_m_m_bankman</t>
  </si>
  <si>
    <t>s_m_y_barman_01</t>
  </si>
  <si>
    <t>BARMAN</t>
  </si>
  <si>
    <t>cs_barry</t>
  </si>
  <si>
    <t>BARRY</t>
  </si>
  <si>
    <t>ig_barry</t>
  </si>
  <si>
    <t>s_f_y_bartender_01</t>
  </si>
  <si>
    <t>BARTENDER</t>
  </si>
  <si>
    <t>u_m_y_baygor</t>
  </si>
  <si>
    <t>BAYGOR</t>
  </si>
  <si>
    <t>s_f_y_baywatch_01</t>
  </si>
  <si>
    <t>BAYWATCH</t>
  </si>
  <si>
    <t>s_m_y_baywatch_01</t>
  </si>
  <si>
    <t>a_f_y_beach_01</t>
  </si>
  <si>
    <t>BEACH</t>
  </si>
  <si>
    <t>a_m_m_beach_01</t>
  </si>
  <si>
    <t>a_m_m_beach_02</t>
  </si>
  <si>
    <t>a_m_o_beach_01</t>
  </si>
  <si>
    <t>a_m_y_beach_01</t>
  </si>
  <si>
    <t>a_m_y_beach_02</t>
  </si>
  <si>
    <t>a_m_y_beachvesp_01</t>
  </si>
  <si>
    <t>BEACHVESP</t>
  </si>
  <si>
    <t>a_m_y_beachvesp_02</t>
  </si>
  <si>
    <t>cs_beverly</t>
  </si>
  <si>
    <t>BEVERLY</t>
  </si>
  <si>
    <t>ig_beverly</t>
  </si>
  <si>
    <t>a_f_m_bevhills_01</t>
  </si>
  <si>
    <t>BEVHILLS</t>
  </si>
  <si>
    <t>a_f_m_bevhills_02</t>
  </si>
  <si>
    <t>a_f_y_bevhills_01</t>
  </si>
  <si>
    <t>a_f_y_bevhills_03</t>
  </si>
  <si>
    <t>a_f_y_bevhills_04</t>
  </si>
  <si>
    <t>a_m_m_bevhills_01</t>
  </si>
  <si>
    <t>a_m_m_bevhills_02</t>
  </si>
  <si>
    <t>a_m_y_bevhills_01</t>
  </si>
  <si>
    <t>a_m_y_bevhills_02</t>
  </si>
  <si>
    <t>u_m_m_bikehire_01</t>
  </si>
  <si>
    <t>BIKEHIRE</t>
  </si>
  <si>
    <t>u_f_y_bikerchic</t>
  </si>
  <si>
    <t>BIKERCHIC</t>
  </si>
  <si>
    <t>s_m_y_blackops_01</t>
  </si>
  <si>
    <t>BLACKOPS</t>
  </si>
  <si>
    <t>s_m_y_blackops_02</t>
  </si>
  <si>
    <t>a_f_m_bodybuild_01</t>
  </si>
  <si>
    <t>BODYBUILD</t>
  </si>
  <si>
    <t>s_m_m_bouncer_01</t>
  </si>
  <si>
    <t>BOUNCER</t>
  </si>
  <si>
    <t>cs_brad</t>
  </si>
  <si>
    <t>BRAD</t>
  </si>
  <si>
    <t>ig_brad</t>
  </si>
  <si>
    <t>cs_bradcadaver</t>
  </si>
  <si>
    <t>BRADCADAVER</t>
  </si>
  <si>
    <t>a_m_y_breakdance_01</t>
  </si>
  <si>
    <t>BREAKDANCE</t>
  </si>
  <si>
    <t>csb_bride</t>
  </si>
  <si>
    <t>BRIDE</t>
  </si>
  <si>
    <t>ig_bride</t>
  </si>
  <si>
    <t>csb_burgerdrug</t>
  </si>
  <si>
    <t>BURGERDRUG</t>
  </si>
  <si>
    <t>u_m_y_burgerdrug_01</t>
  </si>
  <si>
    <t>s_m_y_busboy_01</t>
  </si>
  <si>
    <t>BUSBOY</t>
  </si>
  <si>
    <t>a_m_y_busicas_01</t>
  </si>
  <si>
    <t>BUSICAS</t>
  </si>
  <si>
    <t>a_f_m_business_02</t>
  </si>
  <si>
    <t>BUSINESS</t>
  </si>
  <si>
    <t>a_f_y_business_01</t>
  </si>
  <si>
    <t>a_f_y_business_02</t>
  </si>
  <si>
    <t>a_f_y_business_03</t>
  </si>
  <si>
    <t>a_f_y_business_04</t>
  </si>
  <si>
    <t>a_m_m_business_01</t>
  </si>
  <si>
    <t>a_m_y_business_01</t>
  </si>
  <si>
    <t>a_m_y_business_02</t>
  </si>
  <si>
    <t>a_m_y_business_03</t>
  </si>
  <si>
    <t>csb_car3guy1</t>
  </si>
  <si>
    <t>CAR3GUY1</t>
  </si>
  <si>
    <t>ig_car3guy1</t>
  </si>
  <si>
    <t>csb_car3guy2</t>
  </si>
  <si>
    <t>CAR3GUY2</t>
  </si>
  <si>
    <t>ig_car3guy2</t>
  </si>
  <si>
    <t>cs_carbuyer</t>
  </si>
  <si>
    <t>CARBUYER</t>
  </si>
  <si>
    <t>ig_casey</t>
  </si>
  <si>
    <t>CASEY</t>
  </si>
  <si>
    <t>csb_chef</t>
  </si>
  <si>
    <t>CHEF</t>
  </si>
  <si>
    <t>ig_chef</t>
  </si>
  <si>
    <t>g_m_m_chemwork_01</t>
  </si>
  <si>
    <t>CHEMWORK</t>
  </si>
  <si>
    <t>cs_chengsr</t>
  </si>
  <si>
    <t>CHENGSR</t>
  </si>
  <si>
    <t>ig_chengsr</t>
  </si>
  <si>
    <t>g_m_m_chiboss_01</t>
  </si>
  <si>
    <t>CHIBOSS</t>
  </si>
  <si>
    <t>g_m_m_chicold_01</t>
  </si>
  <si>
    <t>CHICOLD</t>
  </si>
  <si>
    <t>g_m_m_chigoon_01</t>
  </si>
  <si>
    <t>CHIGOON</t>
  </si>
  <si>
    <t>g_m_m_chigoon_02</t>
  </si>
  <si>
    <t>csb_chin_goon</t>
  </si>
  <si>
    <t>CHIN_GOON</t>
  </si>
  <si>
    <t>u_m_y_chip</t>
  </si>
  <si>
    <t>CHIP</t>
  </si>
  <si>
    <t>cs_chrisformage</t>
  </si>
  <si>
    <t>CHRISFORMAGE</t>
  </si>
  <si>
    <t>s_m_m_ciasec_01</t>
  </si>
  <si>
    <t>CIASEC</t>
  </si>
  <si>
    <t>mp_m_claude_01</t>
  </si>
  <si>
    <t>CLAUDE</t>
  </si>
  <si>
    <t>cs_clay</t>
  </si>
  <si>
    <t>CLAY</t>
  </si>
  <si>
    <t>ig_clay</t>
  </si>
  <si>
    <t>ig_claypain</t>
  </si>
  <si>
    <t>CLAYPAIN</t>
  </si>
  <si>
    <t>csb_cletus</t>
  </si>
  <si>
    <t>CLETUS</t>
  </si>
  <si>
    <t>ig_cletus</t>
  </si>
  <si>
    <t>s_m_y_clown_01</t>
  </si>
  <si>
    <t>CLOWN</t>
  </si>
  <si>
    <t>s_m_m_cntrybar_01</t>
  </si>
  <si>
    <t>CNTRYBAR</t>
  </si>
  <si>
    <t>u_f_y_comjane</t>
  </si>
  <si>
    <t>COMJANE</t>
  </si>
  <si>
    <t>s_m_y_construct_01</t>
  </si>
  <si>
    <t>CONSTRUCT</t>
  </si>
  <si>
    <t>s_m_y_construct_02</t>
  </si>
  <si>
    <t>csb_cop</t>
  </si>
  <si>
    <t>COP</t>
  </si>
  <si>
    <t>s_f_y_cop_01</t>
  </si>
  <si>
    <t>s_m_y_cop_01</t>
  </si>
  <si>
    <t>u_f_m_corpse_01</t>
  </si>
  <si>
    <t>CORPSE</t>
  </si>
  <si>
    <t>u_f_y_corpse_01</t>
  </si>
  <si>
    <t>u_f_y_corpse_02</t>
  </si>
  <si>
    <t>csb_customer</t>
  </si>
  <si>
    <t>CUSTOMER</t>
  </si>
  <si>
    <t>a_m_y_cyclist_01</t>
  </si>
  <si>
    <t>CYCLIST</t>
  </si>
  <si>
    <t>u_m_y_cyclist_01</t>
  </si>
  <si>
    <t>cs_dale</t>
  </si>
  <si>
    <t>DALE</t>
  </si>
  <si>
    <t>ig_dale</t>
  </si>
  <si>
    <t>cs_davenorton</t>
  </si>
  <si>
    <t>DAVENORTON</t>
  </si>
  <si>
    <t>ig_davenorton</t>
  </si>
  <si>
    <t>mp_f_deadhooker</t>
  </si>
  <si>
    <t>DEADHOOKER</t>
  </si>
  <si>
    <t>s_m_y_dealer_01</t>
  </si>
  <si>
    <t>DEALER</t>
  </si>
  <si>
    <t>cs_debra</t>
  </si>
  <si>
    <t>DEBRA</t>
  </si>
  <si>
    <t>cs_denise</t>
  </si>
  <si>
    <t>DENISE</t>
  </si>
  <si>
    <t>ig_denise</t>
  </si>
  <si>
    <t>cs_devin</t>
  </si>
  <si>
    <t>DEVIN</t>
  </si>
  <si>
    <t>ig_devin</t>
  </si>
  <si>
    <t>s_m_y_devinsec_01</t>
  </si>
  <si>
    <t>DEVINSEC</t>
  </si>
  <si>
    <t>a_m_y_dhill_01</t>
  </si>
  <si>
    <t>DHILL</t>
  </si>
  <si>
    <t>csb_grove_str_dlr</t>
  </si>
  <si>
    <t>DLR</t>
  </si>
  <si>
    <t>s_m_m_dockwork_01</t>
  </si>
  <si>
    <t>DOCKWORK</t>
  </si>
  <si>
    <t>s_m_y_dockwork_01</t>
  </si>
  <si>
    <t>s_m_m_doctor_01</t>
  </si>
  <si>
    <t>DOCTOR</t>
  </si>
  <si>
    <t>cs_dom</t>
  </si>
  <si>
    <t>DOM</t>
  </si>
  <si>
    <t>ig_dom</t>
  </si>
  <si>
    <t>s_m_y_doorman_01</t>
  </si>
  <si>
    <t>DOORMAN</t>
  </si>
  <si>
    <t>a_f_m_downtown_01</t>
  </si>
  <si>
    <t>DOWNTOWN</t>
  </si>
  <si>
    <t>ig_dreyfuss</t>
  </si>
  <si>
    <t>DREYFUSS</t>
  </si>
  <si>
    <t>cs_drfriedlander</t>
  </si>
  <si>
    <t>DRFRIEDLANDER</t>
  </si>
  <si>
    <t>s_m_y_dwservice_01</t>
  </si>
  <si>
    <t>DWSERVICE</t>
  </si>
  <si>
    <t>a_f_m_eastsa_01</t>
  </si>
  <si>
    <t>EASTSA</t>
  </si>
  <si>
    <t>a_f_m_eastsa_02</t>
  </si>
  <si>
    <t>a_f_y_eastsa_01</t>
  </si>
  <si>
    <t>a_f_y_eastsa_02</t>
  </si>
  <si>
    <t>a_f_y_eastsa_03</t>
  </si>
  <si>
    <t>a_m_m_eastsa_01</t>
  </si>
  <si>
    <t>a_m_m_eastsa_02</t>
  </si>
  <si>
    <t>a_m_y_eastsa_01</t>
  </si>
  <si>
    <t>a_m_y_eastsa_02</t>
  </si>
  <si>
    <t>a_m_y_epsilon_01</t>
  </si>
  <si>
    <t>EPSILON</t>
  </si>
  <si>
    <t>a_m_y_epsilon_02</t>
  </si>
  <si>
    <t>mp_m_exarmy_01</t>
  </si>
  <si>
    <t>EXARMY</t>
  </si>
  <si>
    <t>cs_fabien</t>
  </si>
  <si>
    <t>FABIEN</t>
  </si>
  <si>
    <t>ig_fabien</t>
  </si>
  <si>
    <t>s_f_y_factory_01</t>
  </si>
  <si>
    <t>FACTORY</t>
  </si>
  <si>
    <t>s_m_y_factory_01</t>
  </si>
  <si>
    <t>g_m_y_famca_01</t>
  </si>
  <si>
    <t>FAMCA</t>
  </si>
  <si>
    <t>mp_m_famdd_01</t>
  </si>
  <si>
    <t>FAMDD</t>
  </si>
  <si>
    <t>g_m_y_famdnf_01</t>
  </si>
  <si>
    <t>FAMDNF</t>
  </si>
  <si>
    <t>g_m_y_famfor_01</t>
  </si>
  <si>
    <t>FAMFOR</t>
  </si>
  <si>
    <t>g_f_y_families_01</t>
  </si>
  <si>
    <t>FAMILIES</t>
  </si>
  <si>
    <t>a_m_m_farmer_01</t>
  </si>
  <si>
    <t>FARMER</t>
  </si>
  <si>
    <t>a_f_m_fatbla_01</t>
  </si>
  <si>
    <t>FATBLA</t>
  </si>
  <si>
    <t>a_f_m_fatcult_01</t>
  </si>
  <si>
    <t>FATCULT</t>
  </si>
  <si>
    <t>a_m_m_fatlatin_01</t>
  </si>
  <si>
    <t>FATLATIN</t>
  </si>
  <si>
    <t>cs_fbisuit_01</t>
  </si>
  <si>
    <t>FBISUIT</t>
  </si>
  <si>
    <t>ig_fbisuit_01</t>
  </si>
  <si>
    <t>s_f_m_fembarber</t>
  </si>
  <si>
    <t>FEMBARBER</t>
  </si>
  <si>
    <t>u_m_m_fibarchitect</t>
  </si>
  <si>
    <t>FIBARCHITECT</t>
  </si>
  <si>
    <t>u_m_y_fibmugger_01</t>
  </si>
  <si>
    <t>FIBMUGGER</t>
  </si>
  <si>
    <t>s_m_m_fiboffice_01</t>
  </si>
  <si>
    <t>FIBOFFICE</t>
  </si>
  <si>
    <t>s_m_m_fiboffice_02</t>
  </si>
  <si>
    <t>u_m_m_filmdirector</t>
  </si>
  <si>
    <t>FILMDIRECTOR</t>
  </si>
  <si>
    <t>u_m_o_finguru_01</t>
  </si>
  <si>
    <t>FINGURU</t>
  </si>
  <si>
    <t>s_m_y_fireman_01</t>
  </si>
  <si>
    <t>FIREMAN</t>
  </si>
  <si>
    <t>a_f_y_fitness_01</t>
  </si>
  <si>
    <t>FITNESS</t>
  </si>
  <si>
    <t>a_f_y_fitness_02</t>
  </si>
  <si>
    <t>cs_floyd</t>
  </si>
  <si>
    <t>FLOYD</t>
  </si>
  <si>
    <t>ig_floyd</t>
  </si>
  <si>
    <t>csb_fos_rep</t>
  </si>
  <si>
    <t>FOS_REP</t>
  </si>
  <si>
    <t>mp_f_freemode_01</t>
  </si>
  <si>
    <t>FREEMODE</t>
  </si>
  <si>
    <t>mp_m_freemode_01</t>
  </si>
  <si>
    <t>csb_g</t>
  </si>
  <si>
    <t>G</t>
  </si>
  <si>
    <t>s_m_m_gaffer_01</t>
  </si>
  <si>
    <t>GAFFER</t>
  </si>
  <si>
    <t>csb_ramp_gang</t>
  </si>
  <si>
    <t>GANG</t>
  </si>
  <si>
    <t>ig_ramp_gang</t>
  </si>
  <si>
    <t>s_m_y_garbage</t>
  </si>
  <si>
    <t>GARBAGE</t>
  </si>
  <si>
    <t>s_m_m_gardener_01</t>
  </si>
  <si>
    <t>GARDENER</t>
  </si>
  <si>
    <t>a_m_y_gay_01</t>
  </si>
  <si>
    <t>GAY</t>
  </si>
  <si>
    <t>a_m_y_gay_02</t>
  </si>
  <si>
    <t>a_m_m_genfat_02</t>
  </si>
  <si>
    <t>GENFAT</t>
  </si>
  <si>
    <t>a_f_y_genhot_01</t>
  </si>
  <si>
    <t>GENHOT</t>
  </si>
  <si>
    <t>a_f_o_genstreet_01</t>
  </si>
  <si>
    <t>GENSTREET</t>
  </si>
  <si>
    <t>a_m_o_genstreet_01</t>
  </si>
  <si>
    <t>a_m_y_genstreet_01</t>
  </si>
  <si>
    <t>a_m_y_genstreet_02</t>
  </si>
  <si>
    <t>s_m_m_gentransport</t>
  </si>
  <si>
    <t>GENTRANSPORT</t>
  </si>
  <si>
    <t>u_m_m_glenstank_01</t>
  </si>
  <si>
    <t>GLENSTANK</t>
  </si>
  <si>
    <t>a_f_y_golfer_01</t>
  </si>
  <si>
    <t>GOLFER</t>
  </si>
  <si>
    <t>a_m_m_golfer_01</t>
  </si>
  <si>
    <t>a_m_y_golfer_01</t>
  </si>
  <si>
    <t>u_m_m_griff_01</t>
  </si>
  <si>
    <t>GRIFF</t>
  </si>
  <si>
    <t>s_m_y_grip_01</t>
  </si>
  <si>
    <t>GRIP</t>
  </si>
  <si>
    <t>csb_groom</t>
  </si>
  <si>
    <t>GROOM</t>
  </si>
  <si>
    <t>ig_groom</t>
  </si>
  <si>
    <t>cs_guadalope</t>
  </si>
  <si>
    <t>GUADALOPE</t>
  </si>
  <si>
    <t>u_m_y_guido_01</t>
  </si>
  <si>
    <t>GUIDO</t>
  </si>
  <si>
    <t>cs_gurk</t>
  </si>
  <si>
    <t>GURK</t>
  </si>
  <si>
    <t>csb_hao</t>
  </si>
  <si>
    <t>HAO</t>
  </si>
  <si>
    <t>ig_hao</t>
  </si>
  <si>
    <t>a_m_m_hasjew_01</t>
  </si>
  <si>
    <t>HASJEW</t>
  </si>
  <si>
    <t>hc_driver</t>
  </si>
  <si>
    <t>HC_DRIVER</t>
  </si>
  <si>
    <t>hc_hacker</t>
  </si>
  <si>
    <t>HC_HACKER</t>
  </si>
  <si>
    <t>csb_ramp_hic</t>
  </si>
  <si>
    <t>HIC</t>
  </si>
  <si>
    <t>ig_ramp_hic</t>
  </si>
  <si>
    <t>s_m_m_highsec_01</t>
  </si>
  <si>
    <t>HIGHSEC</t>
  </si>
  <si>
    <t>s_m_m_highsec_02</t>
  </si>
  <si>
    <t>a_f_y_hiker_01</t>
  </si>
  <si>
    <t>HIKER</t>
  </si>
  <si>
    <t>a_m_y_hiker_01</t>
  </si>
  <si>
    <t>a_m_m_hillbilly_01</t>
  </si>
  <si>
    <t>HILLBILLY</t>
  </si>
  <si>
    <t>a_m_m_hillbilly_02</t>
  </si>
  <si>
    <t>a_f_y_hippie_01</t>
  </si>
  <si>
    <t>HIPPIE</t>
  </si>
  <si>
    <t>u_m_y_hippie_01</t>
  </si>
  <si>
    <t>a_m_y_hippy_01</t>
  </si>
  <si>
    <t>HIPPY</t>
  </si>
  <si>
    <t>a_f_y_hipster_01</t>
  </si>
  <si>
    <t>HIPSTER</t>
  </si>
  <si>
    <t>a_f_y_hipster_02</t>
  </si>
  <si>
    <t>a_f_y_hipster_03</t>
  </si>
  <si>
    <t>a_m_y_hipster_01</t>
  </si>
  <si>
    <t>a_m_y_hipster_02</t>
  </si>
  <si>
    <t>a_m_y_hipster_03</t>
  </si>
  <si>
    <t>csb_ramp_hipster</t>
  </si>
  <si>
    <t>ig_ramp_hipster</t>
  </si>
  <si>
    <t>s_f_y_hooker_02</t>
  </si>
  <si>
    <t>HOOKER</t>
  </si>
  <si>
    <t>s_f_y_hooker_03</t>
  </si>
  <si>
    <t>u_f_y_hotposh_01</t>
  </si>
  <si>
    <t>HOTPOSH</t>
  </si>
  <si>
    <t>csb_hugh</t>
  </si>
  <si>
    <t>HUGH</t>
  </si>
  <si>
    <t>cs_hunter</t>
  </si>
  <si>
    <t>HUNTER</t>
  </si>
  <si>
    <t>ig_hunter</t>
  </si>
  <si>
    <t>s_m_y_hwaycop_01</t>
  </si>
  <si>
    <t>HWAYCOP</t>
  </si>
  <si>
    <t>u_m_y_imporage</t>
  </si>
  <si>
    <t>IMPORAGE</t>
  </si>
  <si>
    <t>csb_imran</t>
  </si>
  <si>
    <t>IMRAN</t>
  </si>
  <si>
    <t>a_f_o_indian_01</t>
  </si>
  <si>
    <t>INDIAN</t>
  </si>
  <si>
    <t>a_f_y_indian_01</t>
  </si>
  <si>
    <t>a_m_m_indian_01</t>
  </si>
  <si>
    <t>a_m_y_indian_01</t>
  </si>
  <si>
    <t>cs_janet</t>
  </si>
  <si>
    <t>JANET</t>
  </si>
  <si>
    <t>ig_janet</t>
  </si>
  <si>
    <t>csb_janitor</t>
  </si>
  <si>
    <t>JANITOR</t>
  </si>
  <si>
    <t>s_m_m_janitor</t>
  </si>
  <si>
    <t>ig_jay_norris</t>
  </si>
  <si>
    <t>JAY_NORRIS</t>
  </si>
  <si>
    <t>u_m_m_jesus_01</t>
  </si>
  <si>
    <t>JESUS</t>
  </si>
  <si>
    <t>a_m_y_jetski_01</t>
  </si>
  <si>
    <t>JETSKI</t>
  </si>
  <si>
    <t>cs_jewelass</t>
  </si>
  <si>
    <t>JEWELASS</t>
  </si>
  <si>
    <t>ig_jewelass</t>
  </si>
  <si>
    <t>u_f_y_jewelass_01</t>
  </si>
  <si>
    <t>u_m_m_jewelsec_01</t>
  </si>
  <si>
    <t>JEWELSEC</t>
  </si>
  <si>
    <t>cs_jimmydisanto</t>
  </si>
  <si>
    <t>JIMMYDISANTO</t>
  </si>
  <si>
    <t>ig_jimmydisanto</t>
  </si>
  <si>
    <t>cs_joeminuteman</t>
  </si>
  <si>
    <t>JOEMINUTEMAN</t>
  </si>
  <si>
    <t>ig_joeminuteman</t>
  </si>
  <si>
    <t>cs_johnnyklebitz</t>
  </si>
  <si>
    <t>JOHNNYKLEBITZ</t>
  </si>
  <si>
    <t>ig_johnnyklebitz</t>
  </si>
  <si>
    <t>cs_josef</t>
  </si>
  <si>
    <t>JOSEF</t>
  </si>
  <si>
    <t>ig_josef</t>
  </si>
  <si>
    <t>cs_josh</t>
  </si>
  <si>
    <t>JOSH</t>
  </si>
  <si>
    <t>ig_josh</t>
  </si>
  <si>
    <t>a_f_y_juggalo_01</t>
  </si>
  <si>
    <t>JUGGALO</t>
  </si>
  <si>
    <t>a_m_y_juggalo_01</t>
  </si>
  <si>
    <t>u_m_y_justin</t>
  </si>
  <si>
    <t>JUSTIN</t>
  </si>
  <si>
    <t>ig_kerrymcintosh</t>
  </si>
  <si>
    <t>KERRYMCINTOSH</t>
  </si>
  <si>
    <t>g_m_m_korboss_01</t>
  </si>
  <si>
    <t>KORBOSS</t>
  </si>
  <si>
    <t>g_m_y_korean_01</t>
  </si>
  <si>
    <t>KOREAN</t>
  </si>
  <si>
    <t>g_m_y_korean_02</t>
  </si>
  <si>
    <t>g_m_y_korlieut_01</t>
  </si>
  <si>
    <t>KORLIEUT</t>
  </si>
  <si>
    <t>a_f_m_ktown_01</t>
  </si>
  <si>
    <t>KTOWN</t>
  </si>
  <si>
    <t>a_f_m_ktown_02</t>
  </si>
  <si>
    <t>a_f_o_ktown_01</t>
  </si>
  <si>
    <t>a_m_m_ktown_01</t>
  </si>
  <si>
    <t>a_m_o_ktown_01</t>
  </si>
  <si>
    <t>a_m_y_ktown_01</t>
  </si>
  <si>
    <t>cs_lamardavis</t>
  </si>
  <si>
    <t>LAMARDAVIS</t>
  </si>
  <si>
    <t>ig_lamardavis</t>
  </si>
  <si>
    <t>s_m_m_lathandy_01</t>
  </si>
  <si>
    <t>LATHANDY</t>
  </si>
  <si>
    <t>a_m_y_latino_01</t>
  </si>
  <si>
    <t>LATINO</t>
  </si>
  <si>
    <t>cs_lazlow</t>
  </si>
  <si>
    <t>LAZLOW</t>
  </si>
  <si>
    <t>ig_lazlow</t>
  </si>
  <si>
    <t>cs_lestercrest</t>
  </si>
  <si>
    <t>LESTERCREST</t>
  </si>
  <si>
    <t>ig_lestercrest</t>
  </si>
  <si>
    <t>cs_lifeinvad_01</t>
  </si>
  <si>
    <t>LIFEINVAD</t>
  </si>
  <si>
    <t>ig_lifeinvad_02</t>
  </si>
  <si>
    <t>s_m_m_lifeinvad_01</t>
  </si>
  <si>
    <t>s_m_m_linecook</t>
  </si>
  <si>
    <t>LINECOOK</t>
  </si>
  <si>
    <t>g_f_y_lost_01</t>
  </si>
  <si>
    <t>LOST</t>
  </si>
  <si>
    <t>g_m_y_lost_02</t>
  </si>
  <si>
    <t>g_m_y_lost_03</t>
  </si>
  <si>
    <t>s_m_m_lsmetro_01</t>
  </si>
  <si>
    <t>LSMETRO</t>
  </si>
  <si>
    <t>ig_magenta</t>
  </si>
  <si>
    <t>MAGENTA</t>
  </si>
  <si>
    <t>s_f_m_maid_01</t>
  </si>
  <si>
    <t>MAID</t>
  </si>
  <si>
    <t>a_m_m_malibu_01</t>
  </si>
  <si>
    <t>MALIBU</t>
  </si>
  <si>
    <t>u_m_y_mani</t>
  </si>
  <si>
    <t>MANI</t>
  </si>
  <si>
    <t>cs_manuel</t>
  </si>
  <si>
    <t>MANUEL</t>
  </si>
  <si>
    <t>ig_manuel</t>
  </si>
  <si>
    <t>s_m_m_mariachi_01</t>
  </si>
  <si>
    <t>MARIACHI</t>
  </si>
  <si>
    <t>s_m_m_marine_01</t>
  </si>
  <si>
    <t>MARINE</t>
  </si>
  <si>
    <t>s_m_y_marine_01</t>
  </si>
  <si>
    <t>s_m_y_marine_02</t>
  </si>
  <si>
    <t>s_m_y_marine_03</t>
  </si>
  <si>
    <t>u_m_m_markfost</t>
  </si>
  <si>
    <t>MARKFOST</t>
  </si>
  <si>
    <t>cs_marnie</t>
  </si>
  <si>
    <t>MARNIE</t>
  </si>
  <si>
    <t>ig_marnie</t>
  </si>
  <si>
    <t>mp_m_marston_01</t>
  </si>
  <si>
    <t>MARSTON</t>
  </si>
  <si>
    <t>cs_martinmadrazo</t>
  </si>
  <si>
    <t>MARTINMADRAZO</t>
  </si>
  <si>
    <t>cs_maryann</t>
  </si>
  <si>
    <t>MARYANN</t>
  </si>
  <si>
    <t>ig_maryann</t>
  </si>
  <si>
    <t>csb_maude</t>
  </si>
  <si>
    <t>MAUDE</t>
  </si>
  <si>
    <t>ig_maude</t>
  </si>
  <si>
    <t>a_m_y_methhead_01</t>
  </si>
  <si>
    <t>METHHEAD</t>
  </si>
  <si>
    <t>csb_ramp_mex</t>
  </si>
  <si>
    <t>MEX</t>
  </si>
  <si>
    <t>ig_ramp_mex</t>
  </si>
  <si>
    <t>g_m_m_mexboss_01</t>
  </si>
  <si>
    <t>MEXBOSS</t>
  </si>
  <si>
    <t>g_m_m_mexboss_02</t>
  </si>
  <si>
    <t>a_m_m_mexcntry_01</t>
  </si>
  <si>
    <t>MEXCNTRY</t>
  </si>
  <si>
    <t>g_m_y_mexgang_01</t>
  </si>
  <si>
    <t>MEXGANG</t>
  </si>
  <si>
    <t>g_m_y_mexgoon_01</t>
  </si>
  <si>
    <t>MEXGOON</t>
  </si>
  <si>
    <t>g_m_y_mexgoon_02</t>
  </si>
  <si>
    <t>g_m_y_mexgoon_03</t>
  </si>
  <si>
    <t>a_m_y_mexthug_01</t>
  </si>
  <si>
    <t>MEXTHUG</t>
  </si>
  <si>
    <t>cs_michelle</t>
  </si>
  <si>
    <t>MICHELLE</t>
  </si>
  <si>
    <t>ig_michelle</t>
  </si>
  <si>
    <t>s_f_y_migrant_01</t>
  </si>
  <si>
    <t>MIGRANT</t>
  </si>
  <si>
    <t>s_m_m_migrant_01</t>
  </si>
  <si>
    <t>u_m_y_militarybum</t>
  </si>
  <si>
    <t>MILITARYBUM</t>
  </si>
  <si>
    <t>cs_milton</t>
  </si>
  <si>
    <t>MILTON</t>
  </si>
  <si>
    <t>ig_milton</t>
  </si>
  <si>
    <t>s_m_y_mime</t>
  </si>
  <si>
    <t>MIME</t>
  </si>
  <si>
    <t>u_f_m_miranda</t>
  </si>
  <si>
    <t>MIRANDA</t>
  </si>
  <si>
    <t>u_f_y_mistress</t>
  </si>
  <si>
    <t>MISTRESS</t>
  </si>
  <si>
    <t>mp_f_misty_01</t>
  </si>
  <si>
    <t>MISTY</t>
  </si>
  <si>
    <t>cs_molly</t>
  </si>
  <si>
    <t>MOLLY</t>
  </si>
  <si>
    <t>ig_molly</t>
  </si>
  <si>
    <t>a_m_y_motox_01</t>
  </si>
  <si>
    <t>MOTOX</t>
  </si>
  <si>
    <t>a_m_y_motox_02</t>
  </si>
  <si>
    <t>u_f_o_moviestar</t>
  </si>
  <si>
    <t>MOVIESTAR</t>
  </si>
  <si>
    <t>s_f_y_movprem_01</t>
  </si>
  <si>
    <t>MOVPREM</t>
  </si>
  <si>
    <t>s_m_m_movprem_01</t>
  </si>
  <si>
    <t>cs_movpremf_01</t>
  </si>
  <si>
    <t>MOVPREMF</t>
  </si>
  <si>
    <t>cs_movpremmale</t>
  </si>
  <si>
    <t>MOVPREMMALE</t>
  </si>
  <si>
    <t>s_m_m_movspace_01</t>
  </si>
  <si>
    <t>MOVSPACE</t>
  </si>
  <si>
    <t>cs_mrs_thornhill</t>
  </si>
  <si>
    <t>MRS_THORNHILL</t>
  </si>
  <si>
    <t>ig_mrs_thornhill</t>
  </si>
  <si>
    <t>cs_mrsphillips</t>
  </si>
  <si>
    <t>MRSPHILLIPS</t>
  </si>
  <si>
    <t>ig_mrsphillips</t>
  </si>
  <si>
    <t>a_m_y_musclbeac_01</t>
  </si>
  <si>
    <t>MUSCLBEAC</t>
  </si>
  <si>
    <t>a_m_y_musclbeac_02</t>
  </si>
  <si>
    <t>cs_natalia</t>
  </si>
  <si>
    <t>NATALIA</t>
  </si>
  <si>
    <t>ig_natalia</t>
  </si>
  <si>
    <t>cs_nervousron</t>
  </si>
  <si>
    <t>NERVOUSRON</t>
  </si>
  <si>
    <t>ig_nervousron</t>
  </si>
  <si>
    <t>cs_nigel</t>
  </si>
  <si>
    <t>NIGEL</t>
  </si>
  <si>
    <t>ig_nigel</t>
  </si>
  <si>
    <t>mp_m_niko_01</t>
  </si>
  <si>
    <t>NIKO</t>
  </si>
  <si>
    <t>a_m_m_og_boss_01</t>
  </si>
  <si>
    <t>OG_BOSS</t>
  </si>
  <si>
    <t>cs_old_man1a</t>
  </si>
  <si>
    <t>OLD_MAN1A</t>
  </si>
  <si>
    <t>ig_old_man1a</t>
  </si>
  <si>
    <t>cs_old_man2</t>
  </si>
  <si>
    <t>OLD_MAN2</t>
  </si>
  <si>
    <t>ig_old_man2</t>
  </si>
  <si>
    <t>cs_omega</t>
  </si>
  <si>
    <t>OMEGA</t>
  </si>
  <si>
    <t>ig_omega</t>
  </si>
  <si>
    <t>ig_oneil</t>
  </si>
  <si>
    <t>ONEIL</t>
  </si>
  <si>
    <t>cs_orleans</t>
  </si>
  <si>
    <t>ORLEANS</t>
  </si>
  <si>
    <t>csb_ortega</t>
  </si>
  <si>
    <t>ORTEGA</t>
  </si>
  <si>
    <t>ig_ortega</t>
  </si>
  <si>
    <t>csb_oscar</t>
  </si>
  <si>
    <t>OSCAR</t>
  </si>
  <si>
    <t>a_m_m_paparazzi_01</t>
  </si>
  <si>
    <t>PAPARAZZI</t>
  </si>
  <si>
    <t>u_m_y_paparazzi</t>
  </si>
  <si>
    <t>ig_paper</t>
  </si>
  <si>
    <t>PAPER</t>
  </si>
  <si>
    <t>s_m_m_paramedic_01</t>
  </si>
  <si>
    <t>PARAMEDIC</t>
  </si>
  <si>
    <t>u_m_y_party_01</t>
  </si>
  <si>
    <t>PARTY</t>
  </si>
  <si>
    <t>u_m_m_partytarget</t>
  </si>
  <si>
    <t>PARTYTARGET</t>
  </si>
  <si>
    <t>cs_patricia</t>
  </si>
  <si>
    <t>PATRICIA</t>
  </si>
  <si>
    <t>ig_patricia</t>
  </si>
  <si>
    <t>s_m_m_pilot_01</t>
  </si>
  <si>
    <t>PILOT</t>
  </si>
  <si>
    <t>s_m_m_pilot_02</t>
  </si>
  <si>
    <t>s_m_y_pilot_01</t>
  </si>
  <si>
    <t>u_m_y_pogo_01</t>
  </si>
  <si>
    <t>POGO</t>
  </si>
  <si>
    <t>g_m_y_pologoon_01</t>
  </si>
  <si>
    <t>POLOGOON</t>
  </si>
  <si>
    <t>a_m_m_polynesian_01</t>
  </si>
  <si>
    <t>POLYNESIAN</t>
  </si>
  <si>
    <t>a_m_y_polynesian_01</t>
  </si>
  <si>
    <t>u_f_y_poppymich</t>
  </si>
  <si>
    <t>POPPYMICH</t>
  </si>
  <si>
    <t>csb_porndudes</t>
  </si>
  <si>
    <t>PORNDUDES</t>
  </si>
  <si>
    <t>s_m_m_postal_01</t>
  </si>
  <si>
    <t>POSTAL</t>
  </si>
  <si>
    <t>s_m_m_postal_02</t>
  </si>
  <si>
    <t>cs_priest</t>
  </si>
  <si>
    <t>PRIEST</t>
  </si>
  <si>
    <t>ig_priest</t>
  </si>
  <si>
    <t>u_f_y_princess</t>
  </si>
  <si>
    <t>PRINCESS</t>
  </si>
  <si>
    <t>s_m_y_prismuscl_01</t>
  </si>
  <si>
    <t>PRISMUSCL</t>
  </si>
  <si>
    <t>s_m_y_prisoner_01</t>
  </si>
  <si>
    <t>PRISONER</t>
  </si>
  <si>
    <t>u_m_y_prisoner_01</t>
  </si>
  <si>
    <t>u_m_y_proldriver_01</t>
  </si>
  <si>
    <t>PROLDRIVER</t>
  </si>
  <si>
    <t>a_f_m_prolhost_01</t>
  </si>
  <si>
    <t>PROLHOST</t>
  </si>
  <si>
    <t>a_m_m_prolhost_01</t>
  </si>
  <si>
    <t>csb_prologuedriver</t>
  </si>
  <si>
    <t>PROLOGUEDRIVER</t>
  </si>
  <si>
    <t>csb_prolsec</t>
  </si>
  <si>
    <t>PROLSEC</t>
  </si>
  <si>
    <t>cs_prolsec_02</t>
  </si>
  <si>
    <t>ig_prolsec_02</t>
  </si>
  <si>
    <t>u_m_m_prolsec_01</t>
  </si>
  <si>
    <t>u_f_m_promourn_01</t>
  </si>
  <si>
    <t>PROMOURN</t>
  </si>
  <si>
    <t>u_m_m_promourn_01</t>
  </si>
  <si>
    <t>mp_g_m_pros_01</t>
  </si>
  <si>
    <t>PROS</t>
  </si>
  <si>
    <t>s_f_y_ranger_01</t>
  </si>
  <si>
    <t>RANGER</t>
  </si>
  <si>
    <t>s_m_y_ranger_01</t>
  </si>
  <si>
    <t>csb_reporter</t>
  </si>
  <si>
    <t>REPORTER</t>
  </si>
  <si>
    <t>u_m_m_rivalpap</t>
  </si>
  <si>
    <t>RIVALPAP</t>
  </si>
  <si>
    <t>a_m_y_roadcyc_01</t>
  </si>
  <si>
    <t>ROADCYC</t>
  </si>
  <si>
    <t>s_m_y_robber_01</t>
  </si>
  <si>
    <t>ROBBER</t>
  </si>
  <si>
    <t>csb_roccopelosi</t>
  </si>
  <si>
    <t>ROCCOPELOSI</t>
  </si>
  <si>
    <t>u_m_y_rsranger_01</t>
  </si>
  <si>
    <t>RSRANGER</t>
  </si>
  <si>
    <t>a_f_y_runner_01</t>
  </si>
  <si>
    <t>RUNNER</t>
  </si>
  <si>
    <t>a_m_y_runner_02</t>
  </si>
  <si>
    <t>a_f_y_rurmeth_01</t>
  </si>
  <si>
    <t>RURMETH</t>
  </si>
  <si>
    <t>a_m_m_rurmeth_01</t>
  </si>
  <si>
    <t>cs_russiandrunk</t>
  </si>
  <si>
    <t>RUSSIANDRUNK</t>
  </si>
  <si>
    <t>ig_russiandrunk</t>
  </si>
  <si>
    <t>a_f_m_salton_01</t>
  </si>
  <si>
    <t>SALTON</t>
  </si>
  <si>
    <t>a_f_o_salton_01</t>
  </si>
  <si>
    <t>a_m_m_salton_01</t>
  </si>
  <si>
    <t>a_m_m_salton_02</t>
  </si>
  <si>
    <t>a_m_m_salton_03</t>
  </si>
  <si>
    <t>a_m_m_salton_04</t>
  </si>
  <si>
    <t>a_m_o_salton_01</t>
  </si>
  <si>
    <t>a_m_y_salton_01</t>
  </si>
  <si>
    <t>g_m_y_salvaboss_01</t>
  </si>
  <si>
    <t>SALVABOSS</t>
  </si>
  <si>
    <t>g_m_y_salvagoon_01</t>
  </si>
  <si>
    <t>SALVAGOON</t>
  </si>
  <si>
    <t>g_m_y_salvagoon_02</t>
  </si>
  <si>
    <t>g_m_y_salvagoon_03</t>
  </si>
  <si>
    <t>u_m_y_sbike</t>
  </si>
  <si>
    <t>SBIKE</t>
  </si>
  <si>
    <t>a_f_y_scdressy_01</t>
  </si>
  <si>
    <t>SCDRESSY</t>
  </si>
  <si>
    <t>s_m_m_scientist_01</t>
  </si>
  <si>
    <t>SCIENTIST</t>
  </si>
  <si>
    <t>csb_screen_writer</t>
  </si>
  <si>
    <t>SCREEN_WRITER</t>
  </si>
  <si>
    <t>ig_screen_writer</t>
  </si>
  <si>
    <t>s_f_y_scrubs_01</t>
  </si>
  <si>
    <t>SCRUBS</t>
  </si>
  <si>
    <t>s_m_m_security_01</t>
  </si>
  <si>
    <t>SECURITY</t>
  </si>
  <si>
    <t>s_f_y_sheriff_01</t>
  </si>
  <si>
    <t>SHERIFF</t>
  </si>
  <si>
    <t>s_m_y_sheriff_01</t>
  </si>
  <si>
    <t>s_f_m_shop_high</t>
  </si>
  <si>
    <t>SHOP_HIGH</t>
  </si>
  <si>
    <t>s_f_y_shop_low</t>
  </si>
  <si>
    <t>SHOP_LOW</t>
  </si>
  <si>
    <t>s_m_y_shop_mask</t>
  </si>
  <si>
    <t>SHOP_MASK</t>
  </si>
  <si>
    <t>s_f_y_shop_mid</t>
  </si>
  <si>
    <t>SHOP_MID</t>
  </si>
  <si>
    <t>mp_m_shopkeep_01</t>
  </si>
  <si>
    <t>SHOPKEEP</t>
  </si>
  <si>
    <t>cs_siemonyetarian</t>
  </si>
  <si>
    <t>SIEMONYETARIAN</t>
  </si>
  <si>
    <t>ig_siemonyetarian</t>
  </si>
  <si>
    <t>a_f_y_skater_01</t>
  </si>
  <si>
    <t>SKATER</t>
  </si>
  <si>
    <t>a_m_y_skater_01</t>
  </si>
  <si>
    <t>a_m_y_skater_02</t>
  </si>
  <si>
    <t>a_f_m_skidrow_01</t>
  </si>
  <si>
    <t>SKIDROW</t>
  </si>
  <si>
    <t>a_m_m_skidrow_01</t>
  </si>
  <si>
    <t>s_m_m_snowcop_01</t>
  </si>
  <si>
    <t>SNOWCOP</t>
  </si>
  <si>
    <t>a_m_m_socenlat_01</t>
  </si>
  <si>
    <t>SOCENLAT</t>
  </si>
  <si>
    <t>cs_solomon</t>
  </si>
  <si>
    <t>SOLOMON</t>
  </si>
  <si>
    <t>ig_solomon</t>
  </si>
  <si>
    <t>a_f_m_soucent_01</t>
  </si>
  <si>
    <t>SOUCENT</t>
  </si>
  <si>
    <t>a_f_m_soucent_02</t>
  </si>
  <si>
    <t>a_f_o_soucent_01</t>
  </si>
  <si>
    <t>a_f_o_soucent_02</t>
  </si>
  <si>
    <t>a_f_y_soucent_01</t>
  </si>
  <si>
    <t>a_f_y_soucent_02</t>
  </si>
  <si>
    <t>a_f_y_soucent_03</t>
  </si>
  <si>
    <t>a_m_m_soucent_01</t>
  </si>
  <si>
    <t>a_m_m_soucent_02</t>
  </si>
  <si>
    <t>a_m_m_soucent_03</t>
  </si>
  <si>
    <t>a_m_m_soucent_04</t>
  </si>
  <si>
    <t>a_m_o_soucent_02</t>
  </si>
  <si>
    <t>a_m_o_soucent_03</t>
  </si>
  <si>
    <t>a_m_y_soucent_01</t>
  </si>
  <si>
    <t>a_m_y_soucent_02</t>
  </si>
  <si>
    <t>a_m_y_soucent_03</t>
  </si>
  <si>
    <t>a_m_y_soucent_04</t>
  </si>
  <si>
    <t>a_f_m_soucentmc_01</t>
  </si>
  <si>
    <t>SOUCENTMC</t>
  </si>
  <si>
    <t>u_m_m_spyactor</t>
  </si>
  <si>
    <t>SPYACTOR</t>
  </si>
  <si>
    <t>u_m_y_staggrm_01</t>
  </si>
  <si>
    <t>STAGGRM</t>
  </si>
  <si>
    <t>a_m_y_stbla_01</t>
  </si>
  <si>
    <t>STBLA</t>
  </si>
  <si>
    <t>cs_stevehains</t>
  </si>
  <si>
    <t>STEVEHAINS</t>
  </si>
  <si>
    <t>ig_stevehains</t>
  </si>
  <si>
    <t>a_m_m_stlat_02</t>
  </si>
  <si>
    <t>STLAT</t>
  </si>
  <si>
    <t>a_m_y_stlat_01</t>
  </si>
  <si>
    <t>cs_stretch</t>
  </si>
  <si>
    <t>STRETCH</t>
  </si>
  <si>
    <t>ig_stretch</t>
  </si>
  <si>
    <t>csb_stripper_01</t>
  </si>
  <si>
    <t>STRIPPER</t>
  </si>
  <si>
    <t>csb_stripper_02</t>
  </si>
  <si>
    <t>s_f_y_stripper_01</t>
  </si>
  <si>
    <t>s_f_y_stripper_02</t>
  </si>
  <si>
    <t>mp_f_stripperlite</t>
  </si>
  <si>
    <t>STRIPPERLITE</t>
  </si>
  <si>
    <t>s_m_m_strperf_01</t>
  </si>
  <si>
    <t>STRPERF</t>
  </si>
  <si>
    <t>s_m_m_strpreach_01</t>
  </si>
  <si>
    <t>STRPREACH</t>
  </si>
  <si>
    <t>g_m_y_strpunk_01</t>
  </si>
  <si>
    <t>STRPUNK</t>
  </si>
  <si>
    <t>g_m_y_strpunk_02</t>
  </si>
  <si>
    <t>s_m_m_strvend_01</t>
  </si>
  <si>
    <t>STRVEND</t>
  </si>
  <si>
    <t>s_m_y_strvend_01</t>
  </si>
  <si>
    <t>a_m_y_stwhi_01</t>
  </si>
  <si>
    <t>STWHI</t>
  </si>
  <si>
    <t>a_m_y_stwhi_02</t>
  </si>
  <si>
    <t>a_m_y_sunbathe_01</t>
  </si>
  <si>
    <t>SUNBATHE</t>
  </si>
  <si>
    <t>a_m_y_surfer_01</t>
  </si>
  <si>
    <t>SURFER</t>
  </si>
  <si>
    <t>s_m_y_swat_01</t>
  </si>
  <si>
    <t>SWAT</t>
  </si>
  <si>
    <t>s_f_m_sweatshop_01</t>
  </si>
  <si>
    <t>SWEATSHOP</t>
  </si>
  <si>
    <t>s_f_y_sweatshop_01</t>
  </si>
  <si>
    <t>ig_talina</t>
  </si>
  <si>
    <t>TALINA</t>
  </si>
  <si>
    <t>ig_tanisha</t>
  </si>
  <si>
    <t>TANISHA</t>
  </si>
  <si>
    <t>cs_taocheng</t>
  </si>
  <si>
    <t>TAOCHENG</t>
  </si>
  <si>
    <t>ig_taocheng</t>
  </si>
  <si>
    <t>cs_taostranslator</t>
  </si>
  <si>
    <t>TAOSTRANSLATOR</t>
  </si>
  <si>
    <t>u_m_o_taphillbilly</t>
  </si>
  <si>
    <t>TAPHILLBILLY</t>
  </si>
  <si>
    <t>u_m_y_tattoo_01</t>
  </si>
  <si>
    <t>TATTOO</t>
  </si>
  <si>
    <t>a_m_m_tennis_01</t>
  </si>
  <si>
    <t>TENNIS</t>
  </si>
  <si>
    <t>cs_tenniscoach</t>
  </si>
  <si>
    <t>TENNISCOACH</t>
  </si>
  <si>
    <t>ig_tenniscoach</t>
  </si>
  <si>
    <t>cs_terry</t>
  </si>
  <si>
    <t>TERRY</t>
  </si>
  <si>
    <t>ig_terry</t>
  </si>
  <si>
    <t>cs_tom</t>
  </si>
  <si>
    <t>TOM</t>
  </si>
  <si>
    <t>cs_tomepsilon</t>
  </si>
  <si>
    <t>TOMEPSILON</t>
  </si>
  <si>
    <t>ig_tomepsilon</t>
  </si>
  <si>
    <t>csb_tonya</t>
  </si>
  <si>
    <t>TONYA</t>
  </si>
  <si>
    <t>ig_tonya</t>
  </si>
  <si>
    <t>a_f_y_topless_01</t>
  </si>
  <si>
    <t>TOPLESS</t>
  </si>
  <si>
    <t>a_f_m_tourist_01</t>
  </si>
  <si>
    <t>TOURIST</t>
  </si>
  <si>
    <t>a_f_y_tourist_01</t>
  </si>
  <si>
    <t>a_f_y_tourist_02</t>
  </si>
  <si>
    <t>a_m_m_tourist_01</t>
  </si>
  <si>
    <t>cs_tracydisanto</t>
  </si>
  <si>
    <t>TRACYDISANTO</t>
  </si>
  <si>
    <t>ig_tracydisanto</t>
  </si>
  <si>
    <t>csb_trafficwarden</t>
  </si>
  <si>
    <t>TRAFFICWARDEN</t>
  </si>
  <si>
    <t>ig_trafficwarden</t>
  </si>
  <si>
    <t>a_f_m_tramp_01</t>
  </si>
  <si>
    <t>TRAMP</t>
  </si>
  <si>
    <t>a_m_m_tramp_01</t>
  </si>
  <si>
    <t>a_m_o_tramp_01</t>
  </si>
  <si>
    <t>a_m_m_tranvest_01</t>
  </si>
  <si>
    <t>TRANVEST</t>
  </si>
  <si>
    <t>a_m_m_tranvest_02</t>
  </si>
  <si>
    <t>s_m_m_trucker_01</t>
  </si>
  <si>
    <t>TRUCKER</t>
  </si>
  <si>
    <t>ig_tylerdix</t>
  </si>
  <si>
    <t>TYLERDIX</t>
  </si>
  <si>
    <t>s_m_m_ups_01</t>
  </si>
  <si>
    <t>UPS</t>
  </si>
  <si>
    <t>s_m_m_ups_02</t>
  </si>
  <si>
    <t>g_f_y_vagos_01</t>
  </si>
  <si>
    <t>VAGOS</t>
  </si>
  <si>
    <t>s_m_y_valet_01</t>
  </si>
  <si>
    <t>VALET</t>
  </si>
  <si>
    <t>a_m_y_vindouche_01</t>
  </si>
  <si>
    <t>VINDOUCHE</t>
  </si>
  <si>
    <t>a_f_y_vinewood_01</t>
  </si>
  <si>
    <t>VINEWOOD</t>
  </si>
  <si>
    <t>a_f_y_vinewood_02</t>
  </si>
  <si>
    <t>a_f_y_vinewood_03</t>
  </si>
  <si>
    <t>a_f_y_vinewood_04</t>
  </si>
  <si>
    <t>a_m_y_vinewood_01</t>
  </si>
  <si>
    <t>a_m_y_vinewood_02</t>
  </si>
  <si>
    <t>a_m_y_vinewood_03</t>
  </si>
  <si>
    <t>cs_wade</t>
  </si>
  <si>
    <t>WADE</t>
  </si>
  <si>
    <t>ig_wade</t>
  </si>
  <si>
    <t>s_m_y_waiter_01</t>
  </si>
  <si>
    <t>WAITER</t>
  </si>
  <si>
    <t>u_m_m_willyfist</t>
  </si>
  <si>
    <t>WILLYFIST</t>
  </si>
  <si>
    <t>s_m_y_winclean_01</t>
  </si>
  <si>
    <t>WINCLEAN</t>
  </si>
  <si>
    <t>s_m_y_xmech_01</t>
  </si>
  <si>
    <t>XMECH</t>
  </si>
  <si>
    <t>s_m_y_xmech_02</t>
  </si>
  <si>
    <t>a_f_y_yoga_01</t>
  </si>
  <si>
    <t>YOGA</t>
  </si>
  <si>
    <t>a_m_y_yoga_01</t>
  </si>
  <si>
    <t>cs_zimbor</t>
  </si>
  <si>
    <t>ZIMBOR</t>
  </si>
  <si>
    <t>u_m_y_zombie_01</t>
  </si>
  <si>
    <t>ZOMBIE</t>
  </si>
  <si>
    <t>Michael</t>
  </si>
  <si>
    <t>Franklin</t>
  </si>
  <si>
    <t>Trevor</t>
  </si>
  <si>
    <t>Boar</t>
  </si>
  <si>
    <t>Chimp</t>
  </si>
  <si>
    <t>Cow</t>
  </si>
  <si>
    <t>Coyote</t>
  </si>
  <si>
    <t>Deer</t>
  </si>
  <si>
    <t>Fish</t>
  </si>
  <si>
    <t>Hen</t>
  </si>
  <si>
    <t>Hawk</t>
  </si>
  <si>
    <t>Cormorant</t>
  </si>
  <si>
    <t>Crow</t>
  </si>
  <si>
    <t>Dolphin</t>
  </si>
  <si>
    <t>Humpback</t>
  </si>
  <si>
    <t>Pigeon</t>
  </si>
  <si>
    <t>Seagull</t>
  </si>
  <si>
    <t>Rat</t>
  </si>
  <si>
    <t>Rhesus</t>
  </si>
  <si>
    <t>Chop</t>
  </si>
  <si>
    <t>Husky</t>
  </si>
  <si>
    <t>Retriever</t>
  </si>
  <si>
    <t>Abner</t>
  </si>
  <si>
    <t>Alien</t>
  </si>
  <si>
    <t>Barman</t>
  </si>
  <si>
    <t>Barry</t>
  </si>
  <si>
    <t>Bartender</t>
  </si>
  <si>
    <t>Baywatch</t>
  </si>
  <si>
    <t>Beach</t>
  </si>
  <si>
    <t>Bouncer</t>
  </si>
  <si>
    <t>Brad</t>
  </si>
  <si>
    <t>Bride</t>
  </si>
  <si>
    <t>Busboy</t>
  </si>
  <si>
    <t>Business</t>
  </si>
  <si>
    <t>Casey</t>
  </si>
  <si>
    <t>Chef</t>
  </si>
  <si>
    <t>Chip</t>
  </si>
  <si>
    <t>Cletus</t>
  </si>
  <si>
    <t>Clown</t>
  </si>
  <si>
    <t>Cop</t>
  </si>
  <si>
    <t>Corpse</t>
  </si>
  <si>
    <t>Customer</t>
  </si>
  <si>
    <t>Cyclist</t>
  </si>
  <si>
    <t>Dale</t>
  </si>
  <si>
    <t>Dealer</t>
  </si>
  <si>
    <t>Debra</t>
  </si>
  <si>
    <t>Denise</t>
  </si>
  <si>
    <t>Devin</t>
  </si>
  <si>
    <t>Doctor</t>
  </si>
  <si>
    <t>Doorman</t>
  </si>
  <si>
    <t>Downtown</t>
  </si>
  <si>
    <t>Epsilon</t>
  </si>
  <si>
    <t>Fabien</t>
  </si>
  <si>
    <t>Families</t>
  </si>
  <si>
    <t>Farmer</t>
  </si>
  <si>
    <t>Fireman</t>
  </si>
  <si>
    <t>Fitness</t>
  </si>
  <si>
    <t>Gaffer</t>
  </si>
  <si>
    <t>Gardener</t>
  </si>
  <si>
    <t>Gay</t>
  </si>
  <si>
    <t>Golfer</t>
  </si>
  <si>
    <t>Griff</t>
  </si>
  <si>
    <t>Grip</t>
  </si>
  <si>
    <t>Groom</t>
  </si>
  <si>
    <t>Guadalope</t>
  </si>
  <si>
    <t>Guido</t>
  </si>
  <si>
    <t>Hao</t>
  </si>
  <si>
    <t>Hiker</t>
  </si>
  <si>
    <t>Hillbilly</t>
  </si>
  <si>
    <t>Hippie</t>
  </si>
  <si>
    <t>Hipster</t>
  </si>
  <si>
    <t>Hooker</t>
  </si>
  <si>
    <t>Hunter</t>
  </si>
  <si>
    <t>Indian</t>
  </si>
  <si>
    <t>Janet</t>
  </si>
  <si>
    <t>Janitor</t>
  </si>
  <si>
    <t>Jesus</t>
  </si>
  <si>
    <t>Josef</t>
  </si>
  <si>
    <t>Josh</t>
  </si>
  <si>
    <t>Juggalo</t>
  </si>
  <si>
    <t>Justin</t>
  </si>
  <si>
    <t>Korean</t>
  </si>
  <si>
    <t>Latino</t>
  </si>
  <si>
    <t>Lazlow</t>
  </si>
  <si>
    <t>Magenta</t>
  </si>
  <si>
    <t>Maid</t>
  </si>
  <si>
    <t>Malibu</t>
  </si>
  <si>
    <t>Mani</t>
  </si>
  <si>
    <t>Manuel</t>
  </si>
  <si>
    <t>Mariachi</t>
  </si>
  <si>
    <t>Marine</t>
  </si>
  <si>
    <t>Maude</t>
  </si>
  <si>
    <t>Michelle</t>
  </si>
  <si>
    <t>Migrant</t>
  </si>
  <si>
    <t>Miranda</t>
  </si>
  <si>
    <t>Mistress</t>
  </si>
  <si>
    <t>Misty</t>
  </si>
  <si>
    <t>Molly</t>
  </si>
  <si>
    <t>Natalia</t>
  </si>
  <si>
    <t>Nigel</t>
  </si>
  <si>
    <t>Omega</t>
  </si>
  <si>
    <t>Ortega</t>
  </si>
  <si>
    <t>Oscar</t>
  </si>
  <si>
    <t>Paparazzi</t>
  </si>
  <si>
    <t>Paramedic</t>
  </si>
  <si>
    <t>Patricia</t>
  </si>
  <si>
    <t>Pilot</t>
  </si>
  <si>
    <t>Polynesian</t>
  </si>
  <si>
    <t>Priest</t>
  </si>
  <si>
    <t>Princess</t>
  </si>
  <si>
    <t>Prisoner</t>
  </si>
  <si>
    <t>Ranger</t>
  </si>
  <si>
    <t>Reporter</t>
  </si>
  <si>
    <t>Robber</t>
  </si>
  <si>
    <t>Salton</t>
  </si>
  <si>
    <t>Scientist</t>
  </si>
  <si>
    <t>Sheriff</t>
  </si>
  <si>
    <t>Skater</t>
  </si>
  <si>
    <t>Stretch</t>
  </si>
  <si>
    <t>Stripper</t>
  </si>
  <si>
    <t>Surfer</t>
  </si>
  <si>
    <t>Talina</t>
  </si>
  <si>
    <t>Tanisha</t>
  </si>
  <si>
    <t>Terry</t>
  </si>
  <si>
    <t>Tom</t>
  </si>
  <si>
    <t>Tonya</t>
  </si>
  <si>
    <t>Topless</t>
  </si>
  <si>
    <t>Tourist</t>
  </si>
  <si>
    <t>Tramp</t>
  </si>
  <si>
    <t>Trucker</t>
  </si>
  <si>
    <t>Vagos</t>
  </si>
  <si>
    <t>Valet</t>
  </si>
  <si>
    <t>Vinewood</t>
  </si>
  <si>
    <t>Wade</t>
  </si>
  <si>
    <t>Waiter</t>
  </si>
  <si>
    <t>Yoga</t>
  </si>
  <si>
    <t>Zimbor</t>
  </si>
  <si>
    <t>Zombie</t>
  </si>
  <si>
    <t>Hammerhead Shark</t>
  </si>
  <si>
    <t>Mountain Lion</t>
  </si>
  <si>
    <t>Tiger Shark</t>
  </si>
  <si>
    <t>German Shepherd</t>
  </si>
  <si>
    <t>Ballas OG</t>
  </si>
  <si>
    <t>Tao's Translator</t>
  </si>
  <si>
    <t>Beach Tramp</t>
  </si>
  <si>
    <t>Sunbather</t>
  </si>
  <si>
    <t>African American</t>
  </si>
  <si>
    <t>Beverly Hills</t>
  </si>
  <si>
    <t>Dr. Friedlander</t>
  </si>
  <si>
    <t>Gun Vendor</t>
  </si>
  <si>
    <t>Hairdresser</t>
  </si>
  <si>
    <t>Hasidic Jew</t>
  </si>
  <si>
    <t>Jewel Thief</t>
  </si>
  <si>
    <t>Life Invader</t>
  </si>
  <si>
    <t>Mexican Labourer</t>
  </si>
  <si>
    <t>Pest Control</t>
  </si>
  <si>
    <t>Best Man</t>
  </si>
  <si>
    <t>Prison Guard</t>
  </si>
  <si>
    <t>Rocco Pelosi</t>
  </si>
  <si>
    <t>Spy Actress</t>
  </si>
  <si>
    <t>Air Hostess</t>
  </si>
  <si>
    <t>Air Worker</t>
  </si>
  <si>
    <t>Window Cleaner</t>
  </si>
  <si>
    <t>Traffic Warden</t>
  </si>
  <si>
    <t>Tennis Coach</t>
  </si>
  <si>
    <t>Tao Cheng</t>
  </si>
  <si>
    <t>Street Vendor</t>
  </si>
  <si>
    <t>Tattoo Artist</t>
  </si>
  <si>
    <t>Street Performer</t>
  </si>
  <si>
    <t>Street Preacher</t>
  </si>
  <si>
    <t>Street Punk</t>
  </si>
  <si>
    <t>Steve Haines</t>
  </si>
  <si>
    <t>Spy Actor</t>
  </si>
  <si>
    <t>Stripper Lite</t>
  </si>
  <si>
    <t>Tracey De Santa</t>
  </si>
  <si>
    <t>Transvestite</t>
  </si>
  <si>
    <t>Love Fist Willy</t>
  </si>
  <si>
    <t>Screenwriter</t>
  </si>
  <si>
    <t>Sports Biker</t>
  </si>
  <si>
    <t>Republican Space Ranger</t>
  </si>
  <si>
    <t>Russian Drunk</t>
  </si>
  <si>
    <t>Rival Paparazzo</t>
  </si>
  <si>
    <t>Prologue Mourner</t>
  </si>
  <si>
    <t>Mechanic</t>
  </si>
  <si>
    <t>Prologue Driver</t>
  </si>
  <si>
    <t>Party Target</t>
  </si>
  <si>
    <t>Mrs. Thornhill</t>
  </si>
  <si>
    <t>Mrs. Phillips</t>
  </si>
  <si>
    <t>Movie Astronaut</t>
  </si>
  <si>
    <t>Movie Premiere Male</t>
  </si>
  <si>
    <t>Movie Premiere Female</t>
  </si>
  <si>
    <t>Mime Artist</t>
  </si>
  <si>
    <t>Ex-Mil Bum</t>
  </si>
  <si>
    <t>Martin Madrazo</t>
  </si>
  <si>
    <t>Jeweller Security</t>
  </si>
  <si>
    <t>Jeweller Assistant</t>
  </si>
  <si>
    <t>Jetskier</t>
  </si>
  <si>
    <t>Jay Norris</t>
  </si>
  <si>
    <t>Highway Cop</t>
  </si>
  <si>
    <t>Hot Posh</t>
  </si>
  <si>
    <t>High Security</t>
  </si>
  <si>
    <t>Bodybuilder</t>
  </si>
  <si>
    <t>Vespucci Beach</t>
  </si>
  <si>
    <t>Armoured Van Security</t>
  </si>
  <si>
    <t>Barber</t>
  </si>
  <si>
    <t>Movie Director</t>
  </si>
  <si>
    <t>Minuteman Joe</t>
  </si>
  <si>
    <t>Johnny Klebitz</t>
  </si>
  <si>
    <t>Korean Boss</t>
  </si>
  <si>
    <t>Korean Lieutenant</t>
  </si>
  <si>
    <t>Impotent Rage</t>
  </si>
  <si>
    <t>Lamar Davis</t>
  </si>
  <si>
    <t>Mark Fostenburg</t>
  </si>
  <si>
    <t>Mary-Ann Quinn</t>
  </si>
  <si>
    <t>Movie Star</t>
  </si>
  <si>
    <t>Nervous Ron</t>
  </si>
  <si>
    <t>Poppy Mitchell</t>
  </si>
  <si>
    <t>Road Cyclist</t>
  </si>
  <si>
    <t>Shopkeeper</t>
  </si>
  <si>
    <t>Epsilon Tom</t>
  </si>
  <si>
    <t>Old Man 1</t>
  </si>
  <si>
    <t>Old Man 2</t>
  </si>
  <si>
    <t>Kerry McIntosh</t>
  </si>
  <si>
    <t>Partygoer</t>
  </si>
  <si>
    <t>Pogo the Monkey</t>
  </si>
  <si>
    <t>Fat Black</t>
  </si>
  <si>
    <t>Fat Cult</t>
  </si>
  <si>
    <t>Fat Latino</t>
  </si>
  <si>
    <t>East SA</t>
  </si>
  <si>
    <t>DW Airport Worker</t>
  </si>
  <si>
    <t>Dock Worker</t>
  </si>
  <si>
    <t>Devin's Security</t>
  </si>
  <si>
    <t>Dave Norton</t>
  </si>
  <si>
    <t>Dead Hooker</t>
  </si>
  <si>
    <t>Construction Worker</t>
  </si>
  <si>
    <t>Rural Meth Addict</t>
  </si>
  <si>
    <t>OG Boss</t>
  </si>
  <si>
    <t>Porn Dude</t>
  </si>
  <si>
    <t>Snow Cop</t>
  </si>
  <si>
    <t>South Central Latino</t>
  </si>
  <si>
    <t>Solomon Richards</t>
  </si>
  <si>
    <t>South Central</t>
  </si>
  <si>
    <t>South Central MC</t>
  </si>
  <si>
    <t>Lester Crest</t>
  </si>
  <si>
    <t>Latino Handyman</t>
  </si>
  <si>
    <t>Imran Shinowa</t>
  </si>
  <si>
    <t>Downhill Cyclist</t>
  </si>
  <si>
    <t>Business Casual</t>
  </si>
  <si>
    <t>General Fat</t>
  </si>
  <si>
    <t>General Hot</t>
  </si>
  <si>
    <t>General Street</t>
  </si>
  <si>
    <t>Motocross Biker</t>
  </si>
  <si>
    <t>Mexican Thug</t>
  </si>
  <si>
    <t>Meth Addict</t>
  </si>
  <si>
    <t>Beach Muscle</t>
  </si>
  <si>
    <t>Black Street</t>
  </si>
  <si>
    <t>Latino Street</t>
  </si>
  <si>
    <t>White Street</t>
  </si>
  <si>
    <t>Stag Party Groom</t>
  </si>
  <si>
    <t>Hick</t>
  </si>
  <si>
    <t>Peter Dreyfuss</t>
  </si>
  <si>
    <t>Dom Beasley</t>
  </si>
  <si>
    <t>Ex-Army</t>
  </si>
  <si>
    <t>FIB Suit</t>
  </si>
  <si>
    <t>FIB Architect</t>
  </si>
  <si>
    <t>FIB Mugger</t>
  </si>
  <si>
    <t>FIB Office Worker</t>
  </si>
  <si>
    <t>Prologue Security</t>
  </si>
  <si>
    <t>Hugh Welsh</t>
  </si>
  <si>
    <t>Marnie Allen</t>
  </si>
  <si>
    <t>John Marston</t>
  </si>
  <si>
    <t>Jewel Heist Driver</t>
  </si>
  <si>
    <t>Jewel Heist Hacker</t>
  </si>
  <si>
    <t>Simeon Yetarian</t>
  </si>
  <si>
    <t>Armenian Boss</t>
  </si>
  <si>
    <t>Armenian Goon</t>
  </si>
  <si>
    <t>Armenian Lieutenant</t>
  </si>
  <si>
    <t>Al Di Napoli</t>
  </si>
  <si>
    <t>Altruist Cult</t>
  </si>
  <si>
    <t>US Coastguard</t>
  </si>
  <si>
    <t>Prologue Host</t>
  </si>
  <si>
    <t>Polynesian Goon</t>
  </si>
  <si>
    <t>Merryweather Merc</t>
  </si>
  <si>
    <t>Jimmy Boston</t>
  </si>
  <si>
    <t>Jewel Heist Gunman</t>
  </si>
  <si>
    <t>Fat White</t>
  </si>
  <si>
    <t>Denise's Friend</t>
  </si>
  <si>
    <t>Cris Formage</t>
  </si>
  <si>
    <t>Bigfoot</t>
  </si>
  <si>
    <t>Salvadoran Boss</t>
  </si>
  <si>
    <t>Salvadoran Goon</t>
  </si>
  <si>
    <t>Tyler Dixon</t>
  </si>
  <si>
    <t>Vinewood Douche</t>
  </si>
  <si>
    <t>Factory Worker</t>
  </si>
  <si>
    <t>Families CA</t>
  </si>
  <si>
    <t>Families DD</t>
  </si>
  <si>
    <t>Families DNF</t>
  </si>
  <si>
    <t>Families FOR</t>
  </si>
  <si>
    <t>Autoshop Worker</t>
  </si>
  <si>
    <t>Bank Manager</t>
  </si>
  <si>
    <t>Ballas South</t>
  </si>
  <si>
    <t>Ballas Original</t>
  </si>
  <si>
    <t>Ballas East</t>
  </si>
  <si>
    <t>Autopsy Tech</t>
  </si>
  <si>
    <t>LS Metro Worker</t>
  </si>
  <si>
    <t>Line Cook</t>
  </si>
  <si>
    <t>UPS Driver</t>
  </si>
  <si>
    <t>Dressy</t>
  </si>
  <si>
    <t>Hospital Scrubs</t>
  </si>
  <si>
    <t>Mexican Boss</t>
  </si>
  <si>
    <t>Mexican Goon</t>
  </si>
  <si>
    <t>Mexican</t>
  </si>
  <si>
    <t>Black Ops Soldier</t>
  </si>
  <si>
    <t>Biker Chic</t>
  </si>
  <si>
    <t>Brad's Cadaver</t>
  </si>
  <si>
    <t>Breakdancer</t>
  </si>
  <si>
    <t>Burger Drug Worker</t>
  </si>
  <si>
    <t>Beverly Felton</t>
  </si>
  <si>
    <t>Army Mechanic</t>
  </si>
  <si>
    <t>Ashley Butler</t>
  </si>
  <si>
    <t>Anton Beaudelaire</t>
  </si>
  <si>
    <t>Milton McIlroy</t>
  </si>
  <si>
    <t>Garbage Worker</t>
  </si>
  <si>
    <t>Free Mode</t>
  </si>
  <si>
    <t>Floyd Hebert</t>
  </si>
  <si>
    <t>Prisoner (Muscular)</t>
  </si>
  <si>
    <t>Jane</t>
  </si>
  <si>
    <t>Bartender (Rural)</t>
  </si>
  <si>
    <t>Claude Speed</t>
  </si>
  <si>
    <t>IAA Security</t>
  </si>
  <si>
    <t>Chinese Goon</t>
  </si>
  <si>
    <t>Chinese Boss</t>
  </si>
  <si>
    <t>Chemical Plant Worker</t>
  </si>
  <si>
    <t>Car Buyer</t>
  </si>
  <si>
    <t>Jesco White (Tapdancing Hillbilly)</t>
  </si>
  <si>
    <t>Tennis Player</t>
  </si>
  <si>
    <t>Bike Hire Guy</t>
  </si>
  <si>
    <t>Kifflom Guy</t>
  </si>
  <si>
    <t>Security Guard</t>
  </si>
  <si>
    <t>Clay Jackson (The Pain Giver)</t>
  </si>
  <si>
    <t>Clay Simons (The Lost)</t>
  </si>
  <si>
    <t>Car 3 Guy 1</t>
  </si>
  <si>
    <t>Car 3 Guy 2</t>
  </si>
  <si>
    <t>Baby D</t>
  </si>
  <si>
    <t>Anita Mendoza</t>
  </si>
  <si>
    <t>Ammu-Nation Rural Clerk</t>
  </si>
  <si>
    <t>Ammu-Nation City Clerk</t>
  </si>
  <si>
    <t>Andreas Sanchez</t>
  </si>
  <si>
    <t>Wei Cheng</t>
  </si>
  <si>
    <t>Niko Bellic</t>
  </si>
  <si>
    <t>The Lost MC</t>
  </si>
  <si>
    <t>Ferdinand Kerimov (Mr. K)</t>
  </si>
  <si>
    <t>United Paper Man</t>
  </si>
  <si>
    <t>Chemical Plant Security</t>
  </si>
  <si>
    <t>Chinese Goon Older</t>
  </si>
  <si>
    <t>Grove Street Dealer</t>
  </si>
  <si>
    <t>Skid Row</t>
  </si>
  <si>
    <t>Amanda De Santa</t>
  </si>
  <si>
    <t>Financial Guru</t>
  </si>
  <si>
    <t>Families Gang Member?</t>
  </si>
  <si>
    <t>FOS Rep?</t>
  </si>
  <si>
    <t>GLENSTANK?</t>
  </si>
  <si>
    <t>GURK?</t>
  </si>
  <si>
    <t>Mexican Rural</t>
  </si>
  <si>
    <t>Mexican Gang Member</t>
  </si>
  <si>
    <t>Movie Premiere</t>
  </si>
  <si>
    <t>O'Neil Brothers</t>
  </si>
  <si>
    <t>Postal Worker</t>
  </si>
  <si>
    <t>PROS?</t>
  </si>
  <si>
    <t>Sales Assistant (High-End)</t>
  </si>
  <si>
    <t>Sales Assistant (Low-End)</t>
  </si>
  <si>
    <t>Sales Assistant (Mid-Price)</t>
  </si>
  <si>
    <t>Sales Assistant (Mask Stall)</t>
  </si>
  <si>
    <t>Transport Worker</t>
  </si>
  <si>
    <t>Busker</t>
  </si>
  <si>
    <t>Ballas</t>
  </si>
  <si>
    <t>Azteca</t>
  </si>
  <si>
    <t>Abigail Mathers</t>
  </si>
  <si>
    <t xml:space="preserve"> Mid-Age</t>
  </si>
  <si>
    <t xml:space="preserve"> Young</t>
  </si>
  <si>
    <t>Jogger</t>
  </si>
  <si>
    <t>Sweatshop Worker</t>
  </si>
  <si>
    <t>Make a vertical, single column selection, click the button to the left, and it will be copied to the clipboard as an array ready for the code, i.e. "ROW1", "ROW2", …</t>
  </si>
  <si>
    <t>Gerald</t>
  </si>
  <si>
    <t>Model Name</t>
  </si>
  <si>
    <t>Alex's Description</t>
  </si>
  <si>
    <t>Normalised Alex</t>
  </si>
  <si>
    <t>OUR NAME - EDIT THIS</t>
  </si>
  <si>
    <t>ID Derived Gender</t>
  </si>
  <si>
    <t>ID Derived Version</t>
  </si>
  <si>
    <t>ID Derived Suffix</t>
  </si>
  <si>
    <t>ID Derived Age</t>
  </si>
  <si>
    <t>House rules:
If you want to omit age, gender, etc from a result, delete the formula out of that cell
Don't forget to order by A-Z output names before exporting
Don't forget to commit this spreadsheet back to source control</t>
  </si>
  <si>
    <t>Derived Output for Export</t>
  </si>
  <si>
    <t>Pig</t>
  </si>
  <si>
    <t>Cat</t>
  </si>
  <si>
    <t>a_c_poodle</t>
  </si>
  <si>
    <t>a_c_pug</t>
  </si>
  <si>
    <t>a_c_rabbit_01</t>
  </si>
  <si>
    <t>a_c_rottweiler</t>
  </si>
  <si>
    <t>a_c_stingray</t>
  </si>
  <si>
    <t>a_c_westy</t>
  </si>
  <si>
    <t>a_c_whalegrey</t>
  </si>
  <si>
    <t>Poodle</t>
  </si>
  <si>
    <t>Pug</t>
  </si>
  <si>
    <t>Rottweiler</t>
  </si>
  <si>
    <t>Stingray</t>
  </si>
  <si>
    <t>Westy</t>
  </si>
  <si>
    <t>Rabbit</t>
  </si>
  <si>
    <t>Grey Whale</t>
  </si>
  <si>
    <t>Killer Whale</t>
  </si>
  <si>
    <t>a_f_y_femaleagent</t>
  </si>
  <si>
    <t>csb_agent</t>
  </si>
  <si>
    <t>csb_money</t>
  </si>
  <si>
    <t>csb_paige</t>
  </si>
  <si>
    <t>csb_popov</t>
  </si>
  <si>
    <t>csb_rashcosvki</t>
  </si>
  <si>
    <t>csb_undercover</t>
  </si>
  <si>
    <t>ig_chef2</t>
  </si>
  <si>
    <t>ig_money</t>
  </si>
  <si>
    <t>ig_paige</t>
  </si>
  <si>
    <t>ig_popov</t>
  </si>
  <si>
    <t>ig_rashcosvki</t>
  </si>
  <si>
    <t>s_m_m_fibsec_01</t>
  </si>
  <si>
    <t>s_m_y_blackops_03</t>
  </si>
  <si>
    <t>u_m_m_doa_01</t>
  </si>
  <si>
    <t>u_m_m_edtoh</t>
  </si>
  <si>
    <t>cs_karen_daniels</t>
  </si>
  <si>
    <t>csb_mp_agent14</t>
  </si>
  <si>
    <t>ig_agent</t>
  </si>
  <si>
    <t>ig_karen_daniels</t>
  </si>
  <si>
    <t>ig_mp_agent14</t>
  </si>
  <si>
    <t>csb_chef2</t>
  </si>
  <si>
    <t>Female Agent</t>
  </si>
  <si>
    <t>Agent (IG)</t>
  </si>
  <si>
    <t>Dima Popov (IG)</t>
  </si>
  <si>
    <t>Dima Popov (CS)</t>
  </si>
  <si>
    <t>Maxim Rashkovsky (CS)</t>
  </si>
  <si>
    <t>Maxim Rashkovsky (IG)</t>
  </si>
  <si>
    <t>Ed Toh</t>
  </si>
  <si>
    <t>Karen Daniels (CS)</t>
  </si>
  <si>
    <t>Karen Daniels (IG)</t>
  </si>
  <si>
    <t>Chef (IG)</t>
  </si>
  <si>
    <t>Chef (CS)</t>
  </si>
  <si>
    <t>Agent (CS)</t>
  </si>
  <si>
    <t>Agent 14 (IG)</t>
  </si>
  <si>
    <t>Agent 14 (CS)</t>
  </si>
  <si>
    <t>s_m_m_ccrew_01</t>
  </si>
  <si>
    <t>Crew Member</t>
  </si>
  <si>
    <t>DOA Man</t>
  </si>
  <si>
    <t>Undercover Cop</t>
  </si>
  <si>
    <t>Paige Harris (CS)</t>
  </si>
  <si>
    <t>Money Man (CS)</t>
  </si>
  <si>
    <t>Paige Harris (IG)</t>
  </si>
  <si>
    <t>Money Man (IG)</t>
  </si>
  <si>
    <t>FIB Security (MP)</t>
  </si>
  <si>
    <t>FIB Security (S)</t>
  </si>
  <si>
    <t>Jimmy De Santa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</si>
</sst>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11"/>
      <color rgb="FFFF00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2">
    <xf numFmtId="0" fontId="0" fillId="0" borderId="0" xfId="0"/>
    <xf numFmtId="0" fontId="8" fillId="4" borderId="0" xfId="8"/>
    <xf numFmtId="0" fontId="0" fillId="33" borderId="0" xfId="0" applyFill="1"/>
    <xf numFmtId="0" fontId="0" fillId="34" borderId="0" xfId="0" applyFill="1"/>
    <xf numFmtId="49" fontId="6" fillId="2" borderId="0" xfId="6" applyNumberFormat="1"/>
    <xf numFmtId="0" fontId="6" fillId="34" borderId="0" xfId="6" applyNumberFormat="1" applyFill="1"/>
    <xf numFmtId="0" fontId="8" fillId="4" borderId="0" xfId="8" applyFont="1"/>
    <xf numFmtId="0" fontId="1" fillId="33" borderId="0" xfId="0" applyFont="1" applyFill="1"/>
    <xf numFmtId="49" fontId="6" fillId="2" borderId="0" xfId="6" applyNumberFormat="1" applyFont="1"/>
    <xf numFmtId="0" fontId="6" fillId="34" borderId="0" xfId="6" applyNumberFormat="1" applyFont="1" applyFill="1"/>
    <xf numFmtId="0" fontId="1" fillId="34" borderId="0" xfId="0" applyFont="1" applyFill="1"/>
    <xf numFmtId="0" fontId="6" fillId="2" borderId="0" xfId="6"/>
    <xf numFmtId="0" fontId="16" fillId="35" borderId="0" xfId="0" applyFont="1" applyFill="1" applyAlignment="1">
      <alignment horizontal="center" vertical="center"/>
    </xf>
    <xf numFmtId="0" fontId="16" fillId="35" borderId="0" xfId="0" applyFont="1" applyFill="1" applyAlignment="1">
      <alignment horizontal="center" vertical="center" wrapText="1"/>
    </xf>
    <xf numFmtId="0" fontId="19" fillId="35" borderId="0" xfId="0" applyFont="1" applyFill="1" applyAlignment="1">
      <alignment horizontal="center" vertical="center" wrapText="1"/>
    </xf>
    <xf numFmtId="0" fontId="0" fillId="35" borderId="0" xfId="0" applyFill="1" applyAlignment="1">
      <alignment horizontal="center" vertical="center"/>
    </xf>
    <xf numFmtId="0" fontId="1" fillId="33" borderId="0" xfId="0" applyFont="1" applyFill="1" applyAlignment="1">
      <alignment horizontal="center" vertical="center"/>
    </xf>
    <xf numFmtId="0" fontId="0" fillId="33" borderId="0" xfId="0" applyFont="1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0" fillId="33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0</xdr:row>
          <xdr:rowOff>247650</xdr:rowOff>
        </xdr:from>
        <xdr:to>
          <xdr:col>2</xdr:col>
          <xdr:colOff>733425</xdr:colOff>
          <xdr:row>0</xdr:row>
          <xdr:rowOff>733425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701"/>
  <sheetViews>
    <sheetView tabSelected="1" workbookViewId="0">
      <pane ySplit="2" topLeftCell="A345" activePane="bottomLeft" state="frozen"/>
      <selection pane="bottomLeft" activeCell="E353" sqref="E353"/>
    </sheetView>
  </sheetViews>
  <sheetFormatPr defaultRowHeight="15" x14ac:dyDescent="0.25"/>
  <cols>
    <col min="1" max="2" width="18.7109375" style="1" customWidth="1"/>
    <col min="3" max="3" width="37.140625" style="1" customWidth="1"/>
    <col min="4" max="4" width="33.28515625" style="2" customWidth="1"/>
    <col min="5" max="5" width="34.42578125" style="4" customWidth="1"/>
    <col min="6" max="6" width="34.42578125" style="5" customWidth="1"/>
    <col min="7" max="9" width="27.85546875" style="18" customWidth="1"/>
    <col min="10" max="10" width="37.28515625" style="3" customWidth="1"/>
  </cols>
  <sheetData>
    <row r="1" spans="1:10" ht="73.5" customHeight="1" x14ac:dyDescent="0.25">
      <c r="A1"/>
      <c r="B1"/>
      <c r="C1"/>
      <c r="D1" s="19" t="s">
        <v>1480</v>
      </c>
      <c r="E1" s="19"/>
      <c r="F1" s="19"/>
      <c r="G1" s="20" t="s">
        <v>1490</v>
      </c>
      <c r="H1" s="20"/>
      <c r="I1" s="20"/>
      <c r="J1"/>
    </row>
    <row r="2" spans="1:10" s="15" customFormat="1" ht="22.5" customHeight="1" x14ac:dyDescent="0.25">
      <c r="A2" s="12" t="s">
        <v>1482</v>
      </c>
      <c r="B2" s="12"/>
      <c r="C2" s="12" t="s">
        <v>1483</v>
      </c>
      <c r="D2" s="13" t="s">
        <v>1484</v>
      </c>
      <c r="E2" s="14" t="s">
        <v>1485</v>
      </c>
      <c r="F2" s="13" t="s">
        <v>1489</v>
      </c>
      <c r="G2" s="13" t="s">
        <v>1486</v>
      </c>
      <c r="H2" s="13" t="s">
        <v>1487</v>
      </c>
      <c r="I2" s="13" t="s">
        <v>1488</v>
      </c>
      <c r="J2" s="12" t="s">
        <v>1491</v>
      </c>
    </row>
    <row r="3" spans="1:10" x14ac:dyDescent="0.25">
      <c r="A3" s="6" t="s">
        <v>0</v>
      </c>
      <c r="B3" s="6" t="str">
        <f>TRIM(A3)</f>
        <v>player_zero</v>
      </c>
      <c r="C3" s="6" t="s">
        <v>1</v>
      </c>
      <c r="D3" s="7" t="str">
        <f>PROPER(C3)</f>
        <v>Michael</v>
      </c>
      <c r="E3" s="8" t="s">
        <v>1098</v>
      </c>
      <c r="F3" s="9" t="str">
        <f>IF(regexMatch(A3,"[A-Za-z]*_y_.*")," Young",(IF(regexMatch(A3,"[A-Za-z]*_o_.*")," Old", "")))</f>
        <v/>
      </c>
      <c r="G3" s="16" t="str">
        <f>IF(regexMatch(A3,"[A-Za-z]*_f_.*")," Female", (IF(regexMatch(A3,"[A-Za-z]*_m_.*"), " Male", "")))</f>
        <v/>
      </c>
      <c r="H3" s="16"/>
      <c r="I3" s="16" t="str">
        <f>IF(regexMatch(A3,"cs_.*")," (CS)", (IF(regexMatch(A3,"ig_.*"), " (IG)", "")))</f>
        <v/>
      </c>
      <c r="J3" s="10" t="str">
        <f t="shared" ref="J3:J66" si="0">TRIM(CONCATENATE(E3,F3,G3,IF(H3=" 1","",H3),I3))</f>
        <v>Michael</v>
      </c>
    </row>
    <row r="4" spans="1:10" x14ac:dyDescent="0.25">
      <c r="A4" s="6" t="s">
        <v>128</v>
      </c>
      <c r="B4" s="6" t="str">
        <f t="shared" ref="B4:B67" si="1">TRIM(A4)</f>
        <v>player_one</v>
      </c>
      <c r="C4" s="6" t="s">
        <v>129</v>
      </c>
      <c r="D4" s="7" t="str">
        <f t="shared" ref="D4:D31" si="2">PROPER(C4)</f>
        <v>Franklin</v>
      </c>
      <c r="E4" s="8" t="s">
        <v>1099</v>
      </c>
      <c r="F4" s="9" t="str">
        <f>IF(regexMatch(A4,"[A-Za-z]*_y_.*")," Young",(IF(regexMatch(A4,"[A-Za-z]*_o_.*")," Old", "")))</f>
        <v/>
      </c>
      <c r="G4" s="16" t="str">
        <f>IF(regexMatch(A4,"[A-Za-z]*_f_.*")," Female", (IF(regexMatch(A4,"[A-Za-z]*_m_.*"), " Male", "")))</f>
        <v/>
      </c>
      <c r="H4" s="16" t="str">
        <f>IF(regexMatch(A4,".*_([0-9]+$)"), CONCATENATE(" ",VALUE(TRIM(CLEAN(RegexFindGroup(A4,".*_([0-9]*)"))))), "")</f>
        <v/>
      </c>
      <c r="I4" s="16" t="str">
        <f>IF(regexMatch(A4,"cs_.*")," (CS)", (IF(regexMatch(A4,"ig_.*"), " (IG)", "")))</f>
        <v/>
      </c>
      <c r="J4" s="10" t="str">
        <f t="shared" si="0"/>
        <v>Franklin</v>
      </c>
    </row>
    <row r="5" spans="1:10" x14ac:dyDescent="0.25">
      <c r="A5" s="6" t="s">
        <v>130</v>
      </c>
      <c r="B5" s="6" t="str">
        <f t="shared" si="1"/>
        <v>player_two</v>
      </c>
      <c r="C5" s="6" t="s">
        <v>131</v>
      </c>
      <c r="D5" s="7" t="str">
        <f t="shared" si="2"/>
        <v>Trevor</v>
      </c>
      <c r="E5" s="8" t="s">
        <v>1100</v>
      </c>
      <c r="F5" s="9" t="str">
        <f>IF(regexMatch(A5,"[A-Za-z]*_y_.*")," Young",(IF(regexMatch(A5,"[A-Za-z]*_o_.*")," Old", "")))</f>
        <v/>
      </c>
      <c r="G5" s="16" t="str">
        <f>IF(regexMatch(A5,"[A-Za-z]*_f_.*")," Female", (IF(regexMatch(A5,"[A-Za-z]*_m_.*"), " Male", "")))</f>
        <v/>
      </c>
      <c r="H5" s="16" t="str">
        <f>IF(regexMatch(A5,".*_([0-9]+$)"), CONCATENATE(" ",VALUE(TRIM(CLEAN(RegexFindGroup(A5,".*_([0-9]*)"))))), "")</f>
        <v/>
      </c>
      <c r="I5" s="16" t="str">
        <f>IF(regexMatch(A5,"cs_.*")," (CS)", (IF(regexMatch(A5,"ig_.*"), " (IG)", "")))</f>
        <v/>
      </c>
      <c r="J5" s="10" t="str">
        <f t="shared" si="0"/>
        <v>Trevor</v>
      </c>
    </row>
    <row r="6" spans="1:10" x14ac:dyDescent="0.25">
      <c r="A6" s="6" t="s">
        <v>132</v>
      </c>
      <c r="B6" s="6" t="str">
        <f t="shared" si="1"/>
        <v>a_c_boar</v>
      </c>
      <c r="C6" s="6" t="s">
        <v>133</v>
      </c>
      <c r="D6" s="7" t="str">
        <f>PROPER(C6)</f>
        <v>Boar</v>
      </c>
      <c r="E6" s="8" t="s">
        <v>1101</v>
      </c>
      <c r="F6" s="9" t="str">
        <f>IF(regexMatch(A6,"[A-Za-z]*_y_.*")," Young",(IF(regexMatch(A6,"[A-Za-z]*_o_.*")," Old", "")))</f>
        <v/>
      </c>
      <c r="G6" s="16" t="str">
        <f>IF(regexMatch(A6,"[A-Za-z]*_f_.*")," Female", (IF(regexMatch(A6,"[A-Za-z]*_m_.*"), " Male", "")))</f>
        <v/>
      </c>
      <c r="H6" s="16" t="str">
        <f>IF(regexMatch(A6,".*_([0-9]+$)"), CONCATENATE(" ",VALUE(TRIM(CLEAN(RegexFindGroup(A6,".*_([0-9]*)"))))), "")</f>
        <v/>
      </c>
      <c r="I6" s="16" t="str">
        <f>IF(regexMatch(A6,"cs_.*")," (CS)", (IF(regexMatch(A6,"ig_.*"), " (IG)", "")))</f>
        <v/>
      </c>
      <c r="J6" s="10" t="str">
        <f t="shared" si="0"/>
        <v>Boar</v>
      </c>
    </row>
    <row r="7" spans="1:10" x14ac:dyDescent="0.25">
      <c r="A7" s="6" t="s">
        <v>146</v>
      </c>
      <c r="B7" s="6" t="str">
        <f>TRIM(A7)</f>
        <v xml:space="preserve">	a_c_cat_01</v>
      </c>
      <c r="C7" s="6" t="s">
        <v>147</v>
      </c>
      <c r="D7" s="7" t="str">
        <f>PROPER(C7)</f>
        <v xml:space="preserve">	Cat</v>
      </c>
      <c r="E7" s="8" t="s">
        <v>1493</v>
      </c>
      <c r="F7" s="9" t="str">
        <f>IF(regexMatch(A7,"[A-Za-z]*_y_.*")," Young",(IF(regexMatch(A7,"[A-Za-z]*_o_.*")," Old", "")))</f>
        <v/>
      </c>
      <c r="G7" s="16" t="str">
        <f>IF(regexMatch(A7,"[A-Za-z]*_f_.*")," Female", (IF(regexMatch(A7,"[A-Za-z]*_m_.*"), " Male", "")))</f>
        <v/>
      </c>
      <c r="H7" s="16" t="str">
        <f>IF(regexMatch(A7,".*_([0-9]+$)"), CONCATENATE(" ",VALUE(TRIM(CLEAN(RegexFindGroup(A7,".*_([0-9]*)"))))), "")</f>
        <v xml:space="preserve"> 1</v>
      </c>
      <c r="I7" s="16" t="str">
        <f>IF(regexMatch(A7,"cs_.*")," (CS)", (IF(regexMatch(A7,"ig_.*"), " (IG)", "")))</f>
        <v/>
      </c>
      <c r="J7" s="10" t="str">
        <f t="shared" si="0"/>
        <v>Cat</v>
      </c>
    </row>
    <row r="8" spans="1:10" x14ac:dyDescent="0.25">
      <c r="A8" s="6" t="s">
        <v>134</v>
      </c>
      <c r="B8" s="6" t="str">
        <f t="shared" si="1"/>
        <v>a_c_chimp</v>
      </c>
      <c r="C8" s="6" t="s">
        <v>135</v>
      </c>
      <c r="D8" s="7" t="str">
        <f>PROPER(C8)</f>
        <v>Chimp</v>
      </c>
      <c r="E8" s="8" t="s">
        <v>1102</v>
      </c>
      <c r="F8" s="9" t="str">
        <f>IF(regexMatch(A8,"[A-Za-z]*_y_.*")," Young",(IF(regexMatch(A8,"[A-Za-z]*_o_.*")," Old", "")))</f>
        <v/>
      </c>
      <c r="G8" s="16" t="str">
        <f>IF(regexMatch(A8,"[A-Za-z]*_f_.*")," Female", (IF(regexMatch(A8,"[A-Za-z]*_m_.*"), " Male", "")))</f>
        <v/>
      </c>
      <c r="H8" s="16" t="str">
        <f>IF(regexMatch(A8,".*_([0-9]+$)"), CONCATENATE(" ",VALUE(TRIM(CLEAN(RegexFindGroup(A8,".*_([0-9]*)"))))), "")</f>
        <v/>
      </c>
      <c r="I8" s="16" t="str">
        <f>IF(regexMatch(A8,"cs_.*")," (CS)", (IF(regexMatch(A8,"ig_.*"), " (IG)", "")))</f>
        <v/>
      </c>
      <c r="J8" s="10" t="str">
        <f t="shared" si="0"/>
        <v>Chimp</v>
      </c>
    </row>
    <row r="9" spans="1:10" x14ac:dyDescent="0.25">
      <c r="A9" s="6" t="s">
        <v>169</v>
      </c>
      <c r="B9" s="6" t="str">
        <f t="shared" si="1"/>
        <v>a_c_chop</v>
      </c>
      <c r="C9" s="6" t="s">
        <v>170</v>
      </c>
      <c r="D9" s="7" t="str">
        <f>PROPER(C9)</f>
        <v>Chop</v>
      </c>
      <c r="E9" s="8" t="s">
        <v>1117</v>
      </c>
      <c r="F9" s="9" t="str">
        <f>IF(regexMatch(A9,"[A-Za-z]*_y_.*")," Young",(IF(regexMatch(A9,"[A-Za-z]*_o_.*")," Old", "")))</f>
        <v/>
      </c>
      <c r="G9" s="16" t="str">
        <f>IF(regexMatch(A9,"[A-Za-z]*_f_.*")," Female", (IF(regexMatch(A9,"[A-Za-z]*_m_.*"), " Male", "")))</f>
        <v/>
      </c>
      <c r="H9" s="16" t="str">
        <f>IF(regexMatch(A9,".*_([0-9]+$)"), CONCATENATE(" ",VALUE(TRIM(CLEAN(RegexFindGroup(A9,".*_([0-9]*)"))))), "")</f>
        <v/>
      </c>
      <c r="I9" s="16" t="str">
        <f>IF(regexMatch(A9,"cs_.*")," (CS)", (IF(regexMatch(A9,"ig_.*"), " (IG)", "")))</f>
        <v/>
      </c>
      <c r="J9" s="10" t="str">
        <f t="shared" si="0"/>
        <v>Chop</v>
      </c>
    </row>
    <row r="10" spans="1:10" x14ac:dyDescent="0.25">
      <c r="A10" s="6" t="s">
        <v>150</v>
      </c>
      <c r="B10" s="6" t="str">
        <f t="shared" si="1"/>
        <v>a_c_cormorant</v>
      </c>
      <c r="C10" s="6" t="s">
        <v>151</v>
      </c>
      <c r="D10" s="7" t="str">
        <f>PROPER(C10)</f>
        <v>Cormorant</v>
      </c>
      <c r="E10" s="8" t="s">
        <v>1109</v>
      </c>
      <c r="F10" s="9" t="str">
        <f>IF(regexMatch(A10,"[A-Za-z]*_y_.*")," Young",(IF(regexMatch(A10,"[A-Za-z]*_o_.*")," Old", "")))</f>
        <v/>
      </c>
      <c r="G10" s="16" t="str">
        <f>IF(regexMatch(A10,"[A-Za-z]*_f_.*")," Female", (IF(regexMatch(A10,"[A-Za-z]*_m_.*"), " Male", "")))</f>
        <v/>
      </c>
      <c r="H10" s="16" t="str">
        <f>IF(regexMatch(A10,".*_([0-9]+$)"), CONCATENATE(" ",VALUE(TRIM(CLEAN(RegexFindGroup(A10,".*_([0-9]*)"))))), "")</f>
        <v/>
      </c>
      <c r="I10" s="16" t="str">
        <f>IF(regexMatch(A10,"cs_.*")," (CS)", (IF(regexMatch(A10,"ig_.*"), " (IG)", "")))</f>
        <v/>
      </c>
      <c r="J10" s="10" t="str">
        <f t="shared" si="0"/>
        <v>Cormorant</v>
      </c>
    </row>
    <row r="11" spans="1:10" x14ac:dyDescent="0.25">
      <c r="A11" s="6" t="s">
        <v>136</v>
      </c>
      <c r="B11" s="6" t="str">
        <f t="shared" si="1"/>
        <v>a_c_cow</v>
      </c>
      <c r="C11" s="6" t="s">
        <v>137</v>
      </c>
      <c r="D11" s="7" t="str">
        <f>PROPER(C11)</f>
        <v>Cow</v>
      </c>
      <c r="E11" s="8" t="s">
        <v>1103</v>
      </c>
      <c r="F11" s="9" t="str">
        <f>IF(regexMatch(A11,"[A-Za-z]*_y_.*")," Young",(IF(regexMatch(A11,"[A-Za-z]*_o_.*")," Old", "")))</f>
        <v/>
      </c>
      <c r="G11" s="16" t="str">
        <f>IF(regexMatch(A11,"[A-Za-z]*_f_.*")," Female", (IF(regexMatch(A11,"[A-Za-z]*_m_.*"), " Male", "")))</f>
        <v/>
      </c>
      <c r="H11" s="16" t="str">
        <f>IF(regexMatch(A11,".*_([0-9]+$)"), CONCATENATE(" ",VALUE(TRIM(CLEAN(RegexFindGroup(A11,".*_([0-9]*)"))))), "")</f>
        <v/>
      </c>
      <c r="I11" s="16" t="str">
        <f>IF(regexMatch(A11,"cs_.*")," (CS)", (IF(regexMatch(A11,"ig_.*"), " (IG)", "")))</f>
        <v/>
      </c>
      <c r="J11" s="10" t="str">
        <f t="shared" si="0"/>
        <v>Cow</v>
      </c>
    </row>
    <row r="12" spans="1:10" x14ac:dyDescent="0.25">
      <c r="A12" s="6" t="s">
        <v>138</v>
      </c>
      <c r="B12" s="6" t="str">
        <f t="shared" si="1"/>
        <v>a_c_coyote</v>
      </c>
      <c r="C12" s="6" t="s">
        <v>139</v>
      </c>
      <c r="D12" s="7" t="str">
        <f>PROPER(C12)</f>
        <v>Coyote</v>
      </c>
      <c r="E12" s="8" t="s">
        <v>1104</v>
      </c>
      <c r="F12" s="9" t="str">
        <f>IF(regexMatch(A12,"[A-Za-z]*_y_.*")," Young",(IF(regexMatch(A12,"[A-Za-z]*_o_.*")," Old", "")))</f>
        <v/>
      </c>
      <c r="G12" s="16" t="str">
        <f>IF(regexMatch(A12,"[A-Za-z]*_f_.*")," Female", (IF(regexMatch(A12,"[A-Za-z]*_m_.*"), " Male", "")))</f>
        <v/>
      </c>
      <c r="H12" s="16" t="str">
        <f>IF(regexMatch(A12,".*_([0-9]+$)"), CONCATENATE(" ",VALUE(TRIM(CLEAN(RegexFindGroup(A12,".*_([0-9]*)"))))), "")</f>
        <v/>
      </c>
      <c r="I12" s="16" t="str">
        <f>IF(regexMatch(A12,"cs_.*")," (CS)", (IF(regexMatch(A12,"ig_.*"), " (IG)", "")))</f>
        <v/>
      </c>
      <c r="J12" s="10" t="str">
        <f t="shared" si="0"/>
        <v>Coyote</v>
      </c>
    </row>
    <row r="13" spans="1:10" x14ac:dyDescent="0.25">
      <c r="A13" s="6" t="s">
        <v>152</v>
      </c>
      <c r="B13" s="6" t="str">
        <f t="shared" si="1"/>
        <v>a_c_crow</v>
      </c>
      <c r="C13" s="6" t="s">
        <v>153</v>
      </c>
      <c r="D13" s="7" t="str">
        <f>PROPER(C13)</f>
        <v>Crow</v>
      </c>
      <c r="E13" s="8" t="s">
        <v>1110</v>
      </c>
      <c r="F13" s="9" t="str">
        <f>IF(regexMatch(A13,"[A-Za-z]*_y_.*")," Young",(IF(regexMatch(A13,"[A-Za-z]*_o_.*")," Old", "")))</f>
        <v/>
      </c>
      <c r="G13" s="16" t="str">
        <f>IF(regexMatch(A13,"[A-Za-z]*_f_.*")," Female", (IF(regexMatch(A13,"[A-Za-z]*_m_.*"), " Male", "")))</f>
        <v/>
      </c>
      <c r="H13" s="16" t="str">
        <f>IF(regexMatch(A13,".*_([0-9]+$)"), CONCATENATE(" ",VALUE(TRIM(CLEAN(RegexFindGroup(A13,".*_([0-9]*)"))))), "")</f>
        <v/>
      </c>
      <c r="I13" s="16" t="str">
        <f>IF(regexMatch(A13,"cs_.*")," (CS)", (IF(regexMatch(A13,"ig_.*"), " (IG)", "")))</f>
        <v/>
      </c>
      <c r="J13" s="10" t="str">
        <f t="shared" si="0"/>
        <v>Crow</v>
      </c>
    </row>
    <row r="14" spans="1:10" x14ac:dyDescent="0.25">
      <c r="A14" s="6" t="s">
        <v>140</v>
      </c>
      <c r="B14" s="6" t="str">
        <f t="shared" si="1"/>
        <v>a_c_deer</v>
      </c>
      <c r="C14" s="6" t="s">
        <v>141</v>
      </c>
      <c r="D14" s="7" t="str">
        <f>PROPER(C14)</f>
        <v>Deer</v>
      </c>
      <c r="E14" s="8" t="s">
        <v>1105</v>
      </c>
      <c r="F14" s="9" t="str">
        <f>IF(regexMatch(A14,"[A-Za-z]*_y_.*")," Young",(IF(regexMatch(A14,"[A-Za-z]*_o_.*")," Old", "")))</f>
        <v/>
      </c>
      <c r="G14" s="16" t="str">
        <f>IF(regexMatch(A14,"[A-Za-z]*_f_.*")," Female", (IF(regexMatch(A14,"[A-Za-z]*_m_.*"), " Male", "")))</f>
        <v/>
      </c>
      <c r="H14" s="16" t="str">
        <f>IF(regexMatch(A14,".*_([0-9]+$)"), CONCATENATE(" ",VALUE(TRIM(CLEAN(RegexFindGroup(A14,".*_([0-9]*)"))))), "")</f>
        <v/>
      </c>
      <c r="I14" s="16" t="str">
        <f>IF(regexMatch(A14,"cs_.*")," (CS)", (IF(regexMatch(A14,"ig_.*"), " (IG)", "")))</f>
        <v/>
      </c>
      <c r="J14" s="10" t="str">
        <f t="shared" si="0"/>
        <v>Deer</v>
      </c>
    </row>
    <row r="15" spans="1:10" x14ac:dyDescent="0.25">
      <c r="A15" s="6" t="s">
        <v>154</v>
      </c>
      <c r="B15" s="6" t="str">
        <f t="shared" si="1"/>
        <v>a_c_dolphin</v>
      </c>
      <c r="C15" s="6" t="s">
        <v>155</v>
      </c>
      <c r="D15" s="7" t="str">
        <f>PROPER(C15)</f>
        <v>Dolphin</v>
      </c>
      <c r="E15" s="8" t="s">
        <v>1111</v>
      </c>
      <c r="F15" s="9" t="str">
        <f>IF(regexMatch(A15,"[A-Za-z]*_y_.*")," Young",(IF(regexMatch(A15,"[A-Za-z]*_o_.*")," Old", "")))</f>
        <v/>
      </c>
      <c r="G15" s="16" t="str">
        <f>IF(regexMatch(A15,"[A-Za-z]*_f_.*")," Female", (IF(regexMatch(A15,"[A-Za-z]*_m_.*"), " Male", "")))</f>
        <v/>
      </c>
      <c r="H15" s="16" t="str">
        <f>IF(regexMatch(A15,".*_([0-9]+$)"), CONCATENATE(" ",VALUE(TRIM(CLEAN(RegexFindGroup(A15,".*_([0-9]*)"))))), "")</f>
        <v/>
      </c>
      <c r="I15" s="16" t="str">
        <f>IF(regexMatch(A15,"cs_.*")," (CS)", (IF(regexMatch(A15,"ig_.*"), " (IG)", "")))</f>
        <v/>
      </c>
      <c r="J15" s="10" t="str">
        <f t="shared" si="0"/>
        <v>Dolphin</v>
      </c>
    </row>
    <row r="16" spans="1:10" x14ac:dyDescent="0.25">
      <c r="A16" s="6" t="s">
        <v>142</v>
      </c>
      <c r="B16" s="6" t="str">
        <f t="shared" si="1"/>
        <v>a_c_fish</v>
      </c>
      <c r="C16" s="6" t="s">
        <v>143</v>
      </c>
      <c r="D16" s="7" t="str">
        <f>PROPER(C16)</f>
        <v>Fish</v>
      </c>
      <c r="E16" s="8" t="s">
        <v>1106</v>
      </c>
      <c r="F16" s="9" t="str">
        <f>IF(regexMatch(A16,"[A-Za-z]*_y_.*")," Young",(IF(regexMatch(A16,"[A-Za-z]*_o_.*")," Old", "")))</f>
        <v/>
      </c>
      <c r="G16" s="16" t="str">
        <f>IF(regexMatch(A16,"[A-Za-z]*_f_.*")," Female", (IF(regexMatch(A16,"[A-Za-z]*_m_.*"), " Male", "")))</f>
        <v/>
      </c>
      <c r="H16" s="16" t="str">
        <f>IF(regexMatch(A16,".*_([0-9]+$)"), CONCATENATE(" ",VALUE(TRIM(CLEAN(RegexFindGroup(A16,".*_([0-9]*)"))))), "")</f>
        <v/>
      </c>
      <c r="I16" s="16" t="str">
        <f>IF(regexMatch(A16,"cs_.*")," (CS)", (IF(regexMatch(A16,"ig_.*"), " (IG)", "")))</f>
        <v/>
      </c>
      <c r="J16" s="10" t="str">
        <f t="shared" si="0"/>
        <v>Fish</v>
      </c>
    </row>
    <row r="17" spans="1:10" x14ac:dyDescent="0.25">
      <c r="A17" s="6" t="s">
        <v>179</v>
      </c>
      <c r="B17" s="6" t="str">
        <f t="shared" si="1"/>
        <v>a_c_shepherd</v>
      </c>
      <c r="C17" s="6" t="s">
        <v>180</v>
      </c>
      <c r="D17" s="7" t="str">
        <f>PROPER(C17)</f>
        <v>Shepherd</v>
      </c>
      <c r="E17" s="8" t="s">
        <v>1239</v>
      </c>
      <c r="F17" s="9" t="str">
        <f>IF(regexMatch(A17,"[A-Za-z]*_y_.*")," Young",(IF(regexMatch(A17,"[A-Za-z]*_o_.*")," Old", "")))</f>
        <v/>
      </c>
      <c r="G17" s="16" t="str">
        <f>IF(regexMatch(A17,"[A-Za-z]*_f_.*")," Female", (IF(regexMatch(A17,"[A-Za-z]*_m_.*"), " Male", "")))</f>
        <v/>
      </c>
      <c r="H17" s="16" t="str">
        <f>IF(regexMatch(A17,".*_([0-9]+$)"), CONCATENATE(" ",VALUE(TRIM(CLEAN(RegexFindGroup(A17,".*_([0-9]*)"))))), "")</f>
        <v/>
      </c>
      <c r="I17" s="16" t="str">
        <f>IF(regexMatch(A17,"cs_.*")," (CS)", (IF(regexMatch(A17,"ig_.*"), " (IG)", "")))</f>
        <v/>
      </c>
      <c r="J17" s="10" t="str">
        <f t="shared" si="0"/>
        <v>German Shepherd</v>
      </c>
    </row>
    <row r="18" spans="1:10" x14ac:dyDescent="0.25">
      <c r="A18" s="6" t="s">
        <v>1500</v>
      </c>
      <c r="B18" s="6" t="str">
        <f t="shared" si="1"/>
        <v>a_c_whalegrey</v>
      </c>
      <c r="C18" s="6"/>
      <c r="D18" s="7"/>
      <c r="E18" s="8" t="s">
        <v>1507</v>
      </c>
      <c r="F18" s="9"/>
      <c r="G18" s="16"/>
      <c r="H18" s="16"/>
      <c r="I18" s="16"/>
      <c r="J18" s="10" t="str">
        <f t="shared" si="0"/>
        <v>Grey Whale</v>
      </c>
    </row>
    <row r="19" spans="1:10" x14ac:dyDescent="0.25">
      <c r="A19" s="6" t="s">
        <v>164</v>
      </c>
      <c r="B19" s="6" t="str">
        <f t="shared" si="1"/>
        <v>a_c_sharkhammer</v>
      </c>
      <c r="C19" s="6" t="s">
        <v>127</v>
      </c>
      <c r="D19" s="7" t="str">
        <f>PROPER(C19)</f>
        <v>Sharkhammer</v>
      </c>
      <c r="E19" s="8" t="s">
        <v>1236</v>
      </c>
      <c r="F19" s="9" t="str">
        <f>IF(regexMatch(A19,"[A-Za-z]*_y_.*")," Young",(IF(regexMatch(A19,"[A-Za-z]*_o_.*")," Old", "")))</f>
        <v/>
      </c>
      <c r="G19" s="16" t="str">
        <f>IF(regexMatch(A19,"[A-Za-z]*_f_.*")," Female", (IF(regexMatch(A19,"[A-Za-z]*_m_.*"), " Male", "")))</f>
        <v/>
      </c>
      <c r="H19" s="16" t="str">
        <f>IF(regexMatch(A19,".*_([0-9]+$)"), CONCATENATE(" ",VALUE(TRIM(CLEAN(RegexFindGroup(A19,".*_([0-9]*)"))))), "")</f>
        <v/>
      </c>
      <c r="I19" s="16" t="str">
        <f>IF(regexMatch(A19,"cs_.*")," (CS)", (IF(regexMatch(A19,"ig_.*"), " (IG)", "")))</f>
        <v/>
      </c>
      <c r="J19" s="10" t="str">
        <f t="shared" si="0"/>
        <v>Hammerhead Shark</v>
      </c>
    </row>
    <row r="20" spans="1:10" x14ac:dyDescent="0.25">
      <c r="A20" s="6" t="s">
        <v>148</v>
      </c>
      <c r="B20" s="6" t="str">
        <f t="shared" si="1"/>
        <v>a_c_chickenhawk</v>
      </c>
      <c r="C20" s="6" t="s">
        <v>149</v>
      </c>
      <c r="D20" s="7" t="str">
        <f>PROPER(C20)</f>
        <v>Hawk</v>
      </c>
      <c r="E20" s="8" t="s">
        <v>1108</v>
      </c>
      <c r="F20" s="9" t="str">
        <f>IF(regexMatch(A20,"[A-Za-z]*_y_.*")," Young",(IF(regexMatch(A20,"[A-Za-z]*_o_.*")," Old", "")))</f>
        <v/>
      </c>
      <c r="G20" s="16" t="str">
        <f>IF(regexMatch(A20,"[A-Za-z]*_f_.*")," Female", (IF(regexMatch(A20,"[A-Za-z]*_m_.*"), " Male", "")))</f>
        <v/>
      </c>
      <c r="H20" s="16" t="str">
        <f>IF(regexMatch(A20,".*_([0-9]+$)"), CONCATENATE(" ",VALUE(TRIM(CLEAN(RegexFindGroup(A20,".*_([0-9]*)"))))), "")</f>
        <v/>
      </c>
      <c r="I20" s="16" t="str">
        <f>IF(regexMatch(A20,"cs_.*")," (CS)", (IF(regexMatch(A20,"ig_.*"), " (IG)", "")))</f>
        <v/>
      </c>
      <c r="J20" s="10" t="str">
        <f t="shared" si="0"/>
        <v>Hawk</v>
      </c>
    </row>
    <row r="21" spans="1:10" x14ac:dyDescent="0.25">
      <c r="A21" s="6" t="s">
        <v>144</v>
      </c>
      <c r="B21" s="6" t="str">
        <f t="shared" si="1"/>
        <v>a_c_hen</v>
      </c>
      <c r="C21" s="6" t="s">
        <v>145</v>
      </c>
      <c r="D21" s="7" t="str">
        <f>PROPER(C21)</f>
        <v>Hen</v>
      </c>
      <c r="E21" s="8" t="s">
        <v>1107</v>
      </c>
      <c r="F21" s="9" t="str">
        <f>IF(regexMatch(A21,"[A-Za-z]*_y_.*")," Young",(IF(regexMatch(A21,"[A-Za-z]*_o_.*")," Old", "")))</f>
        <v/>
      </c>
      <c r="G21" s="16" t="str">
        <f>IF(regexMatch(A21,"[A-Za-z]*_f_.*")," Female", (IF(regexMatch(A21,"[A-Za-z]*_m_.*"), " Male", "")))</f>
        <v/>
      </c>
      <c r="H21" s="16" t="str">
        <f>IF(regexMatch(A21,".*_([0-9]+$)"), CONCATENATE(" ",VALUE(TRIM(CLEAN(RegexFindGroup(A21,".*_([0-9]*)"))))), "")</f>
        <v/>
      </c>
      <c r="I21" s="16" t="str">
        <f>IF(regexMatch(A21,"cs_.*")," (CS)", (IF(regexMatch(A21,"ig_.*"), " (IG)", "")))</f>
        <v/>
      </c>
      <c r="J21" s="10" t="str">
        <f t="shared" si="0"/>
        <v>Hen</v>
      </c>
    </row>
    <row r="22" spans="1:10" x14ac:dyDescent="0.25">
      <c r="A22" s="6" t="s">
        <v>156</v>
      </c>
      <c r="B22" s="6" t="str">
        <f t="shared" si="1"/>
        <v>a_c_humpback</v>
      </c>
      <c r="C22" s="6" t="s">
        <v>157</v>
      </c>
      <c r="D22" s="7" t="str">
        <f>PROPER(C22)</f>
        <v>Humpback</v>
      </c>
      <c r="E22" s="8" t="s">
        <v>1112</v>
      </c>
      <c r="F22" s="9" t="str">
        <f>IF(regexMatch(A22,"[A-Za-z]*_y_.*")," Young",(IF(regexMatch(A22,"[A-Za-z]*_o_.*")," Old", "")))</f>
        <v/>
      </c>
      <c r="G22" s="16" t="str">
        <f>IF(regexMatch(A22,"[A-Za-z]*_f_.*")," Female", (IF(regexMatch(A22,"[A-Za-z]*_m_.*"), " Male", "")))</f>
        <v/>
      </c>
      <c r="H22" s="16" t="str">
        <f>IF(regexMatch(A22,".*_([0-9]+$)"), CONCATENATE(" ",VALUE(TRIM(CLEAN(RegexFindGroup(A22,".*_([0-9]*)"))))), "")</f>
        <v/>
      </c>
      <c r="I22" s="16" t="str">
        <f>IF(regexMatch(A22,"cs_.*")," (CS)", (IF(regexMatch(A22,"ig_.*"), " (IG)", "")))</f>
        <v/>
      </c>
      <c r="J22" s="10" t="str">
        <f t="shared" si="0"/>
        <v>Humpback</v>
      </c>
    </row>
    <row r="23" spans="1:10" x14ac:dyDescent="0.25">
      <c r="A23" s="6" t="s">
        <v>171</v>
      </c>
      <c r="B23" s="6" t="str">
        <f t="shared" si="1"/>
        <v>a_c_husky</v>
      </c>
      <c r="C23" s="6" t="s">
        <v>172</v>
      </c>
      <c r="D23" s="7" t="str">
        <f>PROPER(C23)</f>
        <v>Husky</v>
      </c>
      <c r="E23" s="8" t="s">
        <v>1118</v>
      </c>
      <c r="F23" s="9" t="str">
        <f>IF(regexMatch(A23,"[A-Za-z]*_y_.*")," Young",(IF(regexMatch(A23,"[A-Za-z]*_o_.*")," Old", "")))</f>
        <v/>
      </c>
      <c r="G23" s="16" t="str">
        <f>IF(regexMatch(A23,"[A-Za-z]*_f_.*")," Female", (IF(regexMatch(A23,"[A-Za-z]*_m_.*"), " Male", "")))</f>
        <v/>
      </c>
      <c r="H23" s="16" t="str">
        <f>IF(regexMatch(A23,".*_([0-9]+$)"), CONCATENATE(" ",VALUE(TRIM(CLEAN(RegexFindGroup(A23,".*_([0-9]*)"))))), "")</f>
        <v/>
      </c>
      <c r="I23" s="16" t="str">
        <f>IF(regexMatch(A23,"cs_.*")," (CS)", (IF(regexMatch(A23,"ig_.*"), " (IG)", "")))</f>
        <v/>
      </c>
      <c r="J23" s="10" t="str">
        <f t="shared" si="0"/>
        <v>Husky</v>
      </c>
    </row>
    <row r="24" spans="1:10" x14ac:dyDescent="0.25">
      <c r="A24" s="6" t="s">
        <v>158</v>
      </c>
      <c r="B24" s="6" t="str">
        <f t="shared" si="1"/>
        <v>a_c_killerwhale</v>
      </c>
      <c r="C24" s="6" t="s">
        <v>159</v>
      </c>
      <c r="D24" s="21" t="s">
        <v>1508</v>
      </c>
      <c r="E24" s="8" t="s">
        <v>1508</v>
      </c>
      <c r="F24" s="9" t="str">
        <f>IF(regexMatch(A24,"[A-Za-z]*_y_.*")," Young",(IF(regexMatch(A24,"[A-Za-z]*_o_.*")," Old", "")))</f>
        <v/>
      </c>
      <c r="G24" s="16" t="str">
        <f>IF(regexMatch(A24,"[A-Za-z]*_f_.*")," Female", (IF(regexMatch(A24,"[A-Za-z]*_m_.*"), " Male", "")))</f>
        <v/>
      </c>
      <c r="H24" s="16" t="str">
        <f>IF(regexMatch(A24,".*_([0-9]+$)"), CONCATENATE(" ",VALUE(TRIM(CLEAN(RegexFindGroup(A24,".*_([0-9]*)"))))), "")</f>
        <v/>
      </c>
      <c r="I24" s="16" t="str">
        <f>IF(regexMatch(A24,"cs_.*")," (CS)", (IF(regexMatch(A24,"ig_.*"), " (IG)", "")))</f>
        <v/>
      </c>
      <c r="J24" s="10" t="str">
        <f t="shared" si="0"/>
        <v>Killer Whale</v>
      </c>
    </row>
    <row r="25" spans="1:10" x14ac:dyDescent="0.25">
      <c r="A25" s="6" t="s">
        <v>173</v>
      </c>
      <c r="B25" s="6" t="str">
        <f t="shared" si="1"/>
        <v>a_c_mtlion</v>
      </c>
      <c r="C25" s="6" t="s">
        <v>174</v>
      </c>
      <c r="D25" s="7" t="str">
        <f>PROPER(C25)</f>
        <v>Mtlion</v>
      </c>
      <c r="E25" s="8" t="s">
        <v>1237</v>
      </c>
      <c r="F25" s="9" t="str">
        <f>IF(regexMatch(A25,"[A-Za-z]*_y_.*")," Young",(IF(regexMatch(A25,"[A-Za-z]*_o_.*")," Old", "")))</f>
        <v/>
      </c>
      <c r="G25" s="16" t="str">
        <f>IF(regexMatch(A25,"[A-Za-z]*_f_.*")," Female", (IF(regexMatch(A25,"[A-Za-z]*_m_.*"), " Male", "")))</f>
        <v/>
      </c>
      <c r="H25" s="16" t="str">
        <f>IF(regexMatch(A25,".*_([0-9]+$)"), CONCATENATE(" ",VALUE(TRIM(CLEAN(RegexFindGroup(A25,".*_([0-9]*)"))))), "")</f>
        <v/>
      </c>
      <c r="I25" s="16" t="str">
        <f>IF(regexMatch(A25,"cs_.*")," (CS)", (IF(regexMatch(A25,"ig_.*"), " (IG)", "")))</f>
        <v/>
      </c>
      <c r="J25" s="10" t="str">
        <f t="shared" si="0"/>
        <v>Mountain Lion</v>
      </c>
    </row>
    <row r="26" spans="1:10" x14ac:dyDescent="0.25">
      <c r="A26" s="6" t="s">
        <v>2</v>
      </c>
      <c r="B26" s="6" t="str">
        <f t="shared" si="1"/>
        <v xml:space="preserve">	a_c_pig</v>
      </c>
      <c r="C26" s="6" t="s">
        <v>3</v>
      </c>
      <c r="D26" s="7" t="str">
        <f>PROPER(C26)</f>
        <v xml:space="preserve">	Pig</v>
      </c>
      <c r="E26" s="8" t="s">
        <v>1492</v>
      </c>
      <c r="F26" s="9" t="str">
        <f>IF(regexMatch(A26,"[A-Za-z]*_y_.*")," Young",(IF(regexMatch(A26,"[A-Za-z]*_o_.*")," Old", "")))</f>
        <v/>
      </c>
      <c r="G26" s="16" t="str">
        <f>IF(regexMatch(A26,"[A-Za-z]*_f_.*")," Female", (IF(regexMatch(A26,"[A-Za-z]*_m_.*"), " Male", "")))</f>
        <v/>
      </c>
      <c r="H26" s="16" t="str">
        <f>IF(regexMatch(A26,".*_([0-9]+$)"), CONCATENATE(" ",VALUE(TRIM(CLEAN(RegexFindGroup(A26,".*_([0-9]*)"))))), "")</f>
        <v/>
      </c>
      <c r="I26" s="16" t="str">
        <f>IF(regexMatch(A26,"cs_.*")," (CS)", (IF(regexMatch(A26,"ig_.*"), " (IG)", "")))</f>
        <v/>
      </c>
      <c r="J26" s="10" t="str">
        <f t="shared" si="0"/>
        <v>Pig</v>
      </c>
    </row>
    <row r="27" spans="1:10" x14ac:dyDescent="0.25">
      <c r="A27" s="6" t="s">
        <v>160</v>
      </c>
      <c r="B27" s="6" t="str">
        <f t="shared" si="1"/>
        <v>a_c_pigeon</v>
      </c>
      <c r="C27" s="6" t="s">
        <v>161</v>
      </c>
      <c r="D27" s="7" t="str">
        <f>PROPER(C27)</f>
        <v>Pigeon</v>
      </c>
      <c r="E27" s="8" t="s">
        <v>1113</v>
      </c>
      <c r="F27" s="9" t="str">
        <f>IF(regexMatch(A27,"[A-Za-z]*_y_.*")," Young",(IF(regexMatch(A27,"[A-Za-z]*_o_.*")," Old", "")))</f>
        <v/>
      </c>
      <c r="G27" s="16" t="str">
        <f>IF(regexMatch(A27,"[A-Za-z]*_f_.*")," Female", (IF(regexMatch(A27,"[A-Za-z]*_m_.*"), " Male", "")))</f>
        <v/>
      </c>
      <c r="H27" s="16" t="str">
        <f>IF(regexMatch(A27,".*_([0-9]+$)"), CONCATENATE(" ",VALUE(TRIM(CLEAN(RegexFindGroup(A27,".*_([0-9]*)"))))), "")</f>
        <v/>
      </c>
      <c r="I27" s="16" t="str">
        <f>IF(regexMatch(A27,"cs_.*")," (CS)", (IF(regexMatch(A27,"ig_.*"), " (IG)", "")))</f>
        <v/>
      </c>
      <c r="J27" s="10" t="str">
        <f t="shared" si="0"/>
        <v>Pigeon</v>
      </c>
    </row>
    <row r="28" spans="1:10" x14ac:dyDescent="0.25">
      <c r="A28" s="6" t="s">
        <v>1494</v>
      </c>
      <c r="B28" s="6" t="str">
        <f t="shared" si="1"/>
        <v>a_c_poodle</v>
      </c>
      <c r="C28" s="6"/>
      <c r="D28" s="7"/>
      <c r="E28" s="8" t="s">
        <v>1501</v>
      </c>
      <c r="F28" s="9"/>
      <c r="G28" s="16"/>
      <c r="H28" s="16"/>
      <c r="I28" s="16"/>
      <c r="J28" s="10" t="str">
        <f t="shared" si="0"/>
        <v>Poodle</v>
      </c>
    </row>
    <row r="29" spans="1:10" x14ac:dyDescent="0.25">
      <c r="A29" s="6" t="s">
        <v>1495</v>
      </c>
      <c r="B29" s="6" t="str">
        <f t="shared" si="1"/>
        <v>a_c_pug</v>
      </c>
      <c r="C29" s="6"/>
      <c r="D29" s="7"/>
      <c r="E29" s="8" t="s">
        <v>1502</v>
      </c>
      <c r="F29" s="9"/>
      <c r="G29" s="16"/>
      <c r="H29" s="16"/>
      <c r="I29" s="16"/>
      <c r="J29" s="10" t="str">
        <f t="shared" si="0"/>
        <v>Pug</v>
      </c>
    </row>
    <row r="30" spans="1:10" x14ac:dyDescent="0.25">
      <c r="A30" s="6" t="s">
        <v>1496</v>
      </c>
      <c r="B30" s="6" t="str">
        <f t="shared" si="1"/>
        <v>a_c_rabbit_01</v>
      </c>
      <c r="C30" s="6"/>
      <c r="D30" s="7"/>
      <c r="E30" s="8" t="s">
        <v>1506</v>
      </c>
      <c r="F30" s="9"/>
      <c r="G30" s="16"/>
      <c r="H30" s="16"/>
      <c r="I30" s="16"/>
      <c r="J30" s="10" t="str">
        <f t="shared" si="0"/>
        <v>Rabbit</v>
      </c>
    </row>
    <row r="31" spans="1:10" x14ac:dyDescent="0.25">
      <c r="A31" s="6" t="s">
        <v>165</v>
      </c>
      <c r="B31" s="6" t="str">
        <f t="shared" si="1"/>
        <v>a_c_rat</v>
      </c>
      <c r="C31" s="6" t="s">
        <v>166</v>
      </c>
      <c r="D31" s="7" t="str">
        <f>PROPER(C31)</f>
        <v>Rat</v>
      </c>
      <c r="E31" s="8" t="s">
        <v>1115</v>
      </c>
      <c r="F31" s="9" t="str">
        <f>IF(regexMatch(A31,"[A-Za-z]*_y_.*")," Young",(IF(regexMatch(A31,"[A-Za-z]*_o_.*")," Old", "")))</f>
        <v/>
      </c>
      <c r="G31" s="16" t="str">
        <f>IF(regexMatch(A31,"[A-Za-z]*_f_.*")," Female", (IF(regexMatch(A31,"[A-Za-z]*_m_.*"), " Male", "")))</f>
        <v/>
      </c>
      <c r="H31" s="16" t="str">
        <f>IF(regexMatch(A31,".*_([0-9]+$)"), CONCATENATE(" ",VALUE(TRIM(CLEAN(RegexFindGroup(A31,".*_([0-9]*)"))))), "")</f>
        <v/>
      </c>
      <c r="I31" s="16" t="str">
        <f>IF(regexMatch(A31,"cs_.*")," (CS)", (IF(regexMatch(A31,"ig_.*"), " (IG)", "")))</f>
        <v/>
      </c>
      <c r="J31" s="10" t="str">
        <f t="shared" si="0"/>
        <v>Rat</v>
      </c>
    </row>
    <row r="32" spans="1:10" x14ac:dyDescent="0.25">
      <c r="A32" s="6" t="s">
        <v>175</v>
      </c>
      <c r="B32" s="6" t="str">
        <f t="shared" si="1"/>
        <v>a_c_retriever</v>
      </c>
      <c r="C32" s="6" t="s">
        <v>176</v>
      </c>
      <c r="D32" s="7" t="str">
        <f>PROPER(C32)</f>
        <v>Retriever</v>
      </c>
      <c r="E32" s="8" t="s">
        <v>1119</v>
      </c>
      <c r="F32" s="9" t="str">
        <f>IF(regexMatch(A32,"[A-Za-z]*_y_.*")," Young",(IF(regexMatch(A32,"[A-Za-z]*_o_.*")," Old", "")))</f>
        <v/>
      </c>
      <c r="G32" s="16" t="str">
        <f>IF(regexMatch(A32,"[A-Za-z]*_f_.*")," Female", (IF(regexMatch(A32,"[A-Za-z]*_m_.*"), " Male", "")))</f>
        <v/>
      </c>
      <c r="H32" s="16" t="str">
        <f>IF(regexMatch(A32,".*_([0-9]+$)"), CONCATENATE(" ",VALUE(TRIM(CLEAN(RegexFindGroup(A32,".*_([0-9]*)"))))), "")</f>
        <v/>
      </c>
      <c r="I32" s="16" t="str">
        <f>IF(regexMatch(A32,"cs_.*")," (CS)", (IF(regexMatch(A32,"ig_.*"), " (IG)", "")))</f>
        <v/>
      </c>
      <c r="J32" s="10" t="str">
        <f t="shared" si="0"/>
        <v>Retriever</v>
      </c>
    </row>
    <row r="33" spans="1:10" x14ac:dyDescent="0.25">
      <c r="A33" s="6" t="s">
        <v>167</v>
      </c>
      <c r="B33" s="6" t="str">
        <f t="shared" si="1"/>
        <v>a_c_rhesus</v>
      </c>
      <c r="C33" s="6" t="s">
        <v>168</v>
      </c>
      <c r="D33" s="7" t="str">
        <f>PROPER(C33)</f>
        <v>Rhesus</v>
      </c>
      <c r="E33" s="8" t="s">
        <v>1116</v>
      </c>
      <c r="F33" s="9" t="str">
        <f>IF(regexMatch(A33,"[A-Za-z]*_y_.*")," Young",(IF(regexMatch(A33,"[A-Za-z]*_o_.*")," Old", "")))</f>
        <v/>
      </c>
      <c r="G33" s="16" t="str">
        <f>IF(regexMatch(A33,"[A-Za-z]*_f_.*")," Female", (IF(regexMatch(A33,"[A-Za-z]*_m_.*"), " Male", "")))</f>
        <v/>
      </c>
      <c r="H33" s="16" t="str">
        <f>IF(regexMatch(A33,".*_([0-9]+$)"), CONCATENATE(" ",VALUE(TRIM(CLEAN(RegexFindGroup(A33,".*_([0-9]*)"))))), "")</f>
        <v/>
      </c>
      <c r="I33" s="16" t="str">
        <f>IF(regexMatch(A33,"cs_.*")," (CS)", (IF(regexMatch(A33,"ig_.*"), " (IG)", "")))</f>
        <v/>
      </c>
      <c r="J33" s="10" t="str">
        <f t="shared" si="0"/>
        <v>Rhesus</v>
      </c>
    </row>
    <row r="34" spans="1:10" x14ac:dyDescent="0.25">
      <c r="A34" s="6" t="s">
        <v>1497</v>
      </c>
      <c r="B34" s="6" t="str">
        <f t="shared" si="1"/>
        <v>a_c_rottweiler</v>
      </c>
      <c r="C34" s="6"/>
      <c r="D34" s="7"/>
      <c r="E34" s="8" t="s">
        <v>1503</v>
      </c>
      <c r="F34" s="9"/>
      <c r="G34" s="16"/>
      <c r="H34" s="16"/>
      <c r="I34" s="16"/>
      <c r="J34" s="10" t="str">
        <f t="shared" si="0"/>
        <v>Rottweiler</v>
      </c>
    </row>
    <row r="35" spans="1:10" x14ac:dyDescent="0.25">
      <c r="A35" s="6" t="s">
        <v>162</v>
      </c>
      <c r="B35" s="6" t="str">
        <f t="shared" si="1"/>
        <v>a_c_seagull</v>
      </c>
      <c r="C35" s="6" t="s">
        <v>163</v>
      </c>
      <c r="D35" s="7" t="str">
        <f>PROPER(C35)</f>
        <v>Seagull</v>
      </c>
      <c r="E35" s="8" t="s">
        <v>1114</v>
      </c>
      <c r="F35" s="9" t="str">
        <f>IF(regexMatch(A35,"[A-Za-z]*_y_.*")," Young",(IF(regexMatch(A35,"[A-Za-z]*_o_.*")," Old", "")))</f>
        <v/>
      </c>
      <c r="G35" s="16" t="str">
        <f>IF(regexMatch(A35,"[A-Za-z]*_f_.*")," Female", (IF(regexMatch(A35,"[A-Za-z]*_m_.*"), " Male", "")))</f>
        <v/>
      </c>
      <c r="H35" s="16" t="str">
        <f>IF(regexMatch(A35,".*_([0-9]+$)"), CONCATENATE(" ",VALUE(TRIM(CLEAN(RegexFindGroup(A35,".*_([0-9]*)"))))), "")</f>
        <v/>
      </c>
      <c r="I35" s="16" t="str">
        <f>IF(regexMatch(A35,"cs_.*")," (CS)", (IF(regexMatch(A35,"ig_.*"), " (IG)", "")))</f>
        <v/>
      </c>
      <c r="J35" s="10" t="str">
        <f t="shared" si="0"/>
        <v>Seagull</v>
      </c>
    </row>
    <row r="36" spans="1:10" x14ac:dyDescent="0.25">
      <c r="A36" s="6" t="s">
        <v>1498</v>
      </c>
      <c r="B36" s="6" t="str">
        <f t="shared" si="1"/>
        <v>a_c_stingray</v>
      </c>
      <c r="C36" s="6"/>
      <c r="D36" s="7"/>
      <c r="E36" s="8" t="s">
        <v>1504</v>
      </c>
      <c r="F36" s="9"/>
      <c r="G36" s="16"/>
      <c r="H36" s="16"/>
      <c r="I36" s="16"/>
      <c r="J36" s="10" t="str">
        <f t="shared" si="0"/>
        <v>Stingray</v>
      </c>
    </row>
    <row r="37" spans="1:10" x14ac:dyDescent="0.25">
      <c r="A37" s="6" t="s">
        <v>177</v>
      </c>
      <c r="B37" s="6" t="str">
        <f t="shared" si="1"/>
        <v>a_c_sharktiger</v>
      </c>
      <c r="C37" s="6" t="s">
        <v>178</v>
      </c>
      <c r="D37" s="7" t="str">
        <f>PROPER(C37)</f>
        <v>Sharktiger</v>
      </c>
      <c r="E37" s="8" t="s">
        <v>1238</v>
      </c>
      <c r="F37" s="9" t="str">
        <f>IF(regexMatch(A37,"[A-Za-z]*_y_.*")," Young",(IF(regexMatch(A37,"[A-Za-z]*_o_.*")," Old", "")))</f>
        <v/>
      </c>
      <c r="G37" s="16" t="str">
        <f>IF(regexMatch(A37,"[A-Za-z]*_f_.*")," Female", (IF(regexMatch(A37,"[A-Za-z]*_m_.*"), " Male", "")))</f>
        <v/>
      </c>
      <c r="H37" s="16" t="str">
        <f>IF(regexMatch(A37,".*_([0-9]+$)"), CONCATENATE(" ",VALUE(TRIM(CLEAN(RegexFindGroup(A37,".*_([0-9]*)"))))), "")</f>
        <v/>
      </c>
      <c r="I37" s="16" t="str">
        <f>IF(regexMatch(A37,"cs_.*")," (CS)", (IF(regexMatch(A37,"ig_.*"), " (IG)", "")))</f>
        <v/>
      </c>
      <c r="J37" s="10" t="str">
        <f t="shared" si="0"/>
        <v>Tiger Shark</v>
      </c>
    </row>
    <row r="38" spans="1:10" x14ac:dyDescent="0.25">
      <c r="A38" s="6" t="s">
        <v>1499</v>
      </c>
      <c r="B38" s="6" t="str">
        <f t="shared" si="1"/>
        <v>a_c_westy</v>
      </c>
      <c r="C38" s="6"/>
      <c r="D38" s="7"/>
      <c r="E38" s="8" t="s">
        <v>1505</v>
      </c>
      <c r="F38" s="9"/>
      <c r="G38" s="16"/>
      <c r="H38" s="16"/>
      <c r="I38" s="16"/>
      <c r="J38" s="10" t="str">
        <f t="shared" si="0"/>
        <v>Westy</v>
      </c>
    </row>
    <row r="39" spans="1:10" x14ac:dyDescent="0.25">
      <c r="A39" s="6" t="s">
        <v>181</v>
      </c>
      <c r="B39" s="6" t="str">
        <f t="shared" si="1"/>
        <v>csb_abigail</v>
      </c>
      <c r="C39" s="6" t="s">
        <v>182</v>
      </c>
      <c r="D39" s="7" t="str">
        <f>PROPER(C39)</f>
        <v>Abigail</v>
      </c>
      <c r="E39" s="4" t="s">
        <v>1475</v>
      </c>
      <c r="F39" s="9" t="str">
        <f>IF(regexMatch(A39,"[A-Za-z]*_y_.*")," Young",(IF(regexMatch(A39,"[A-Za-z]*_o_.*")," Old", "")))</f>
        <v/>
      </c>
      <c r="G39" s="16" t="str">
        <f>IF(regexMatch(A39,"[A-Za-z]*_f_.*")," Female", (IF(regexMatch(A39,"[A-Za-z]*_m_.*"), " Male", "")))</f>
        <v/>
      </c>
      <c r="H39" s="16" t="str">
        <f>IF(regexMatch(A39,".*_([0-9]+$)"), CONCATENATE(" ",VALUE(TRIM(CLEAN(RegexFindGroup(A39,".*_([0-9]*)"))))), "")</f>
        <v/>
      </c>
      <c r="I39" s="16" t="str">
        <f>IF(regexMatch(A39,"cs_.*")," (CS)", (IF(regexMatch(A39,"ig_.*"), " (IG)", "")))</f>
        <v/>
      </c>
      <c r="J39" s="10" t="str">
        <f t="shared" si="0"/>
        <v>Abigail Mathers</v>
      </c>
    </row>
    <row r="40" spans="1:10" x14ac:dyDescent="0.25">
      <c r="A40" s="6" t="s">
        <v>183</v>
      </c>
      <c r="B40" s="6" t="str">
        <f t="shared" si="1"/>
        <v>ig_abigail</v>
      </c>
      <c r="C40" s="6" t="s">
        <v>182</v>
      </c>
      <c r="D40" s="7" t="str">
        <f>PROPER(C40)</f>
        <v>Abigail</v>
      </c>
      <c r="E40" s="4" t="s">
        <v>1475</v>
      </c>
      <c r="F40" s="9" t="str">
        <f>IF(regexMatch(A40,"[A-Za-z]*_y_.*")," Young",(IF(regexMatch(A40,"[A-Za-z]*_o_.*")," Old", "")))</f>
        <v/>
      </c>
      <c r="G40" s="16" t="str">
        <f>IF(regexMatch(A40,"[A-Za-z]*_f_.*")," Female", (IF(regexMatch(A40,"[A-Za-z]*_m_.*"), " Male", "")))</f>
        <v/>
      </c>
      <c r="H40" s="16" t="str">
        <f>IF(regexMatch(A40,".*_([0-9]+$)"), CONCATENATE(" ",VALUE(TRIM(CLEAN(RegexFindGroup(A40,".*_([0-9]*)"))))), "")</f>
        <v/>
      </c>
      <c r="I40" s="16" t="str">
        <f>IF(regexMatch(A40,"cs_.*")," (CS)", (IF(regexMatch(A40,"ig_.*"), " (IG)", "")))</f>
        <v xml:space="preserve"> (IG)</v>
      </c>
      <c r="J40" s="10" t="str">
        <f t="shared" si="0"/>
        <v>Abigail Mathers (IG)</v>
      </c>
    </row>
    <row r="41" spans="1:10" x14ac:dyDescent="0.25">
      <c r="A41" s="6" t="s">
        <v>184</v>
      </c>
      <c r="B41" s="6" t="str">
        <f t="shared" si="1"/>
        <v>u_m_y_abner</v>
      </c>
      <c r="C41" s="6" t="s">
        <v>185</v>
      </c>
      <c r="D41" s="7" t="str">
        <f>PROPER(C41)</f>
        <v>Abner</v>
      </c>
      <c r="E41" s="4" t="s">
        <v>1120</v>
      </c>
      <c r="F41" s="9"/>
      <c r="G41" s="16"/>
      <c r="H41" s="16" t="str">
        <f>IF(regexMatch(A41,".*_([0-9]+$)"), CONCATENATE(" ",VALUE(TRIM(CLEAN(RegexFindGroup(A41,".*_([0-9]*)"))))), "")</f>
        <v/>
      </c>
      <c r="I41" s="16" t="str">
        <f>IF(regexMatch(A41,"cs_.*")," (CS)", (IF(regexMatch(A41,"ig_.*"), " (IG)", "")))</f>
        <v/>
      </c>
      <c r="J41" s="10" t="str">
        <f t="shared" si="0"/>
        <v>Abner</v>
      </c>
    </row>
    <row r="42" spans="1:10" x14ac:dyDescent="0.25">
      <c r="A42" s="6" t="s">
        <v>5</v>
      </c>
      <c r="B42" s="6" t="str">
        <f t="shared" si="1"/>
        <v xml:space="preserve">	a_m_m_afriamer_01</v>
      </c>
      <c r="C42" s="6" t="s">
        <v>4</v>
      </c>
      <c r="D42" s="7" t="str">
        <f>PROPER(C42)</f>
        <v xml:space="preserve">	Afriamer</v>
      </c>
      <c r="E42" s="4" t="s">
        <v>1244</v>
      </c>
      <c r="F42" s="9" t="str">
        <f>IF(regexMatch(A42,"[A-Za-z]*_y_.*")," Young",(IF(regexMatch(A42,"[A-Za-z]*_o_.*")," Old", "")))</f>
        <v/>
      </c>
      <c r="G42" s="16" t="str">
        <f>IF(regexMatch(A42,"[A-Za-z]*_f_.*")," Female", (IF(regexMatch(A42,"[A-Za-z]*_m_.*"), " Male", "")))</f>
        <v xml:space="preserve"> Male</v>
      </c>
      <c r="H42" s="16" t="str">
        <f>IF(regexMatch(A42,".*_([0-9]+$)"), CONCATENATE(" ",VALUE(TRIM(CLEAN(RegexFindGroup(A42,".*_([0-9]*)"))))), "")</f>
        <v xml:space="preserve"> 1</v>
      </c>
      <c r="I42" s="16" t="str">
        <f>IF(regexMatch(A42,"cs_.*")," (CS)", (IF(regexMatch(A42,"ig_.*"), " (IG)", "")))</f>
        <v/>
      </c>
      <c r="J42" s="10" t="str">
        <f t="shared" si="0"/>
        <v>African American Male</v>
      </c>
    </row>
    <row r="43" spans="1:10" x14ac:dyDescent="0.25">
      <c r="A43" s="1" t="s">
        <v>1510</v>
      </c>
      <c r="B43" s="6" t="str">
        <f t="shared" si="1"/>
        <v>csb_agent</v>
      </c>
      <c r="D43" s="21"/>
      <c r="E43" s="21" t="s">
        <v>1542</v>
      </c>
      <c r="F43" s="9"/>
      <c r="G43" s="16"/>
      <c r="H43" s="16" t="str">
        <f>IF(regexMatch(A43,".*_([0-9]+$)"), CONCATENATE(" ",VALUE(TRIM(CLEAN(RegexFindGroup(A43,".*_([0-9]*)"))))), "")</f>
        <v/>
      </c>
      <c r="I43" s="16"/>
      <c r="J43" s="10" t="str">
        <f t="shared" si="0"/>
        <v>Agent (CS)</v>
      </c>
    </row>
    <row r="44" spans="1:10" x14ac:dyDescent="0.25">
      <c r="A44" s="1" t="s">
        <v>1527</v>
      </c>
      <c r="B44" s="6" t="str">
        <f t="shared" si="1"/>
        <v>ig_agent</v>
      </c>
      <c r="E44" s="2" t="s">
        <v>1532</v>
      </c>
      <c r="H44" s="16" t="str">
        <f>IF(regexMatch(A44,".*_([0-9]+$)"), CONCATENATE(" ",VALUE(TRIM(CLEAN(RegexFindGroup(A44,".*_([0-9]*)"))))), "")</f>
        <v/>
      </c>
      <c r="J44" s="10" t="str">
        <f t="shared" si="0"/>
        <v>Agent (IG)</v>
      </c>
    </row>
    <row r="45" spans="1:10" x14ac:dyDescent="0.25">
      <c r="A45" s="1" t="s">
        <v>1526</v>
      </c>
      <c r="B45" s="6" t="str">
        <f t="shared" si="1"/>
        <v>csb_mp_agent14</v>
      </c>
      <c r="D45" s="21"/>
      <c r="E45" s="2" t="s">
        <v>1544</v>
      </c>
      <c r="H45" s="16" t="str">
        <f>IF(regexMatch(A45,".*_([0-9]+$)"), CONCATENATE(" ",VALUE(TRIM(CLEAN(RegexFindGroup(A45,".*_([0-9]*)"))))), "")</f>
        <v/>
      </c>
      <c r="J45" s="10" t="str">
        <f t="shared" si="0"/>
        <v>Agent 14 (CS)</v>
      </c>
    </row>
    <row r="46" spans="1:10" x14ac:dyDescent="0.25">
      <c r="A46" s="1" t="s">
        <v>1529</v>
      </c>
      <c r="B46" s="6" t="str">
        <f t="shared" si="1"/>
        <v>ig_mp_agent14</v>
      </c>
      <c r="E46" s="2" t="s">
        <v>1543</v>
      </c>
      <c r="H46" s="16" t="str">
        <f>IF(regexMatch(A46,".*_([0-9]+$)"), CONCATENATE(" ",VALUE(TRIM(CLEAN(RegexFindGroup(A46,".*_([0-9]*)"))))), "")</f>
        <v/>
      </c>
      <c r="J46" s="10" t="str">
        <f t="shared" si="0"/>
        <v>Agent 14 (IG)</v>
      </c>
    </row>
    <row r="47" spans="1:10" x14ac:dyDescent="0.25">
      <c r="A47" s="6" t="s">
        <v>192</v>
      </c>
      <c r="B47" s="6" t="str">
        <f t="shared" si="1"/>
        <v>s_f_y_airhostess_01</v>
      </c>
      <c r="C47" s="6" t="s">
        <v>193</v>
      </c>
      <c r="D47" s="7" t="str">
        <f>PROPER(C47)</f>
        <v>Airhostess</v>
      </c>
      <c r="E47" s="4" t="s">
        <v>1258</v>
      </c>
      <c r="F47" s="9"/>
      <c r="G47" s="16"/>
      <c r="H47" s="16" t="str">
        <f>IF(regexMatch(A47,".*_([0-9]+$)"), CONCATENATE(" ",VALUE(TRIM(CLEAN(RegexFindGroup(A47,".*_([0-9]*)"))))), "")</f>
        <v xml:space="preserve"> 1</v>
      </c>
      <c r="I47" s="16" t="str">
        <f>IF(regexMatch(A47,"cs_.*")," (CS)", (IF(regexMatch(A47,"ig_.*"), " (IG)", "")))</f>
        <v/>
      </c>
      <c r="J47" s="10" t="str">
        <f t="shared" si="0"/>
        <v>Air Hostess</v>
      </c>
    </row>
    <row r="48" spans="1:10" x14ac:dyDescent="0.25">
      <c r="A48" s="6" t="s">
        <v>194</v>
      </c>
      <c r="B48" s="6" t="str">
        <f t="shared" si="1"/>
        <v>s_m_y_airworker</v>
      </c>
      <c r="C48" s="6" t="s">
        <v>195</v>
      </c>
      <c r="D48" s="7" t="str">
        <f>PROPER(C48)</f>
        <v>Airworker</v>
      </c>
      <c r="E48" s="4" t="s">
        <v>1259</v>
      </c>
      <c r="F48" s="9"/>
      <c r="G48" s="16" t="str">
        <f>IF(regexMatch(A48,"[A-Za-z]*_f_.*")," Female", (IF(regexMatch(A48,"[A-Za-z]*_m_.*"), " Male", "")))</f>
        <v xml:space="preserve"> Male</v>
      </c>
      <c r="H48" s="16" t="str">
        <f>IF(regexMatch(A48,".*_([0-9]+$)"), CONCATENATE(" ",VALUE(TRIM(CLEAN(RegexFindGroup(A48,".*_([0-9]*)"))))), "")</f>
        <v/>
      </c>
      <c r="I48" s="16" t="str">
        <f>IF(regexMatch(A48,"cs_.*")," (CS)", (IF(regexMatch(A48,"ig_.*"), " (IG)", "")))</f>
        <v/>
      </c>
      <c r="J48" s="10" t="str">
        <f t="shared" si="0"/>
        <v>Air Worker Male</v>
      </c>
    </row>
    <row r="49" spans="1:10" x14ac:dyDescent="0.25">
      <c r="A49" s="6" t="s">
        <v>196</v>
      </c>
      <c r="B49" s="6" t="str">
        <f t="shared" si="1"/>
        <v>u_m_m_aldinapoli</v>
      </c>
      <c r="C49" s="6" t="s">
        <v>197</v>
      </c>
      <c r="D49" s="7" t="str">
        <f>PROPER(C49)</f>
        <v>Aldinapoli</v>
      </c>
      <c r="E49" s="4" t="s">
        <v>1375</v>
      </c>
      <c r="F49" s="9" t="str">
        <f>IF(regexMatch(A49,"[A-Za-z]*_y_.*")," Young",(IF(regexMatch(A49,"[A-Za-z]*_o_.*")," Old", "")))</f>
        <v/>
      </c>
      <c r="G49" s="16" t="str">
        <f>IF(regexMatch(A49,"[A-Za-z]*_f_.*")," Female", (IF(regexMatch(A49,"[A-Za-z]*_m_.*"), " Male", "")))</f>
        <v xml:space="preserve"> Male</v>
      </c>
      <c r="H49" s="16" t="str">
        <f>IF(regexMatch(A49,".*_([0-9]+$)"), CONCATENATE(" ",VALUE(TRIM(CLEAN(RegexFindGroup(A49,".*_([0-9]*)"))))), "")</f>
        <v/>
      </c>
      <c r="I49" s="16" t="str">
        <f>IF(regexMatch(A49,"cs_.*")," (CS)", (IF(regexMatch(A49,"ig_.*"), " (IG)", "")))</f>
        <v/>
      </c>
      <c r="J49" s="10" t="str">
        <f t="shared" si="0"/>
        <v>Al Di Napoli Male</v>
      </c>
    </row>
    <row r="50" spans="1:10" x14ac:dyDescent="0.25">
      <c r="A50" s="6" t="s">
        <v>198</v>
      </c>
      <c r="B50" s="6" t="str">
        <f t="shared" si="1"/>
        <v>s_m_m_movalien_01</v>
      </c>
      <c r="C50" s="6" t="s">
        <v>199</v>
      </c>
      <c r="D50" s="7" t="str">
        <f>PROPER(C50)</f>
        <v>Alien</v>
      </c>
      <c r="E50" s="4" t="s">
        <v>1121</v>
      </c>
      <c r="F50" s="9" t="str">
        <f>IF(regexMatch(A50,"[A-Za-z]*_y_.*")," Young",(IF(regexMatch(A50,"[A-Za-z]*_o_.*")," Old", "")))</f>
        <v/>
      </c>
      <c r="G50" s="16"/>
      <c r="H50" s="16" t="str">
        <f>IF(regexMatch(A50,".*_([0-9]+$)"), CONCATENATE(" ",VALUE(TRIM(CLEAN(RegexFindGroup(A50,".*_([0-9]*)"))))), "")</f>
        <v xml:space="preserve"> 1</v>
      </c>
      <c r="I50" s="16" t="str">
        <f>IF(regexMatch(A50,"cs_.*")," (CS)", (IF(regexMatch(A50,"ig_.*"), " (IG)", "")))</f>
        <v/>
      </c>
      <c r="J50" s="10" t="str">
        <f t="shared" si="0"/>
        <v>Alien</v>
      </c>
    </row>
    <row r="51" spans="1:10" x14ac:dyDescent="0.25">
      <c r="A51" s="6" t="s">
        <v>186</v>
      </c>
      <c r="B51" s="6" t="str">
        <f t="shared" si="1"/>
        <v>a_m_m_acult_01</v>
      </c>
      <c r="C51" s="6" t="s">
        <v>187</v>
      </c>
      <c r="D51" s="7" t="str">
        <f>PROPER(C51)</f>
        <v>Acult</v>
      </c>
      <c r="E51" s="4" t="s">
        <v>1376</v>
      </c>
      <c r="F51" s="9" t="s">
        <v>1476</v>
      </c>
      <c r="G51" s="16" t="str">
        <f>IF(regexMatch(A51,"[A-Za-z]*_f_.*")," Female", (IF(regexMatch(A51,"[A-Za-z]*_m_.*"), " Male", "")))</f>
        <v xml:space="preserve"> Male</v>
      </c>
      <c r="H51" s="16" t="str">
        <f>IF(regexMatch(A51,".*_([0-9]+$)"), CONCATENATE(" ",VALUE(TRIM(CLEAN(RegexFindGroup(A51,".*_([0-9]*)"))))), "")</f>
        <v xml:space="preserve"> 1</v>
      </c>
      <c r="I51" s="16" t="str">
        <f>IF(regexMatch(A51,"cs_.*")," (CS)", (IF(regexMatch(A51,"ig_.*"), " (IG)", "")))</f>
        <v/>
      </c>
      <c r="J51" s="10" t="str">
        <f t="shared" si="0"/>
        <v>Altruist Cult Mid-Age Male</v>
      </c>
    </row>
    <row r="52" spans="1:10" x14ac:dyDescent="0.25">
      <c r="A52" s="6" t="s">
        <v>188</v>
      </c>
      <c r="B52" s="6" t="str">
        <f t="shared" si="1"/>
        <v>a_m_o_acult_01</v>
      </c>
      <c r="C52" s="6" t="s">
        <v>187</v>
      </c>
      <c r="D52" s="7" t="str">
        <f>PROPER(C52)</f>
        <v>Acult</v>
      </c>
      <c r="E52" s="4" t="s">
        <v>1376</v>
      </c>
      <c r="F52" s="9" t="str">
        <f>IF(regexMatch(A52,"[A-Za-z]*_y_.*")," Young",(IF(regexMatch(A52,"[A-Za-z]*_o_.*")," Old", "")))</f>
        <v xml:space="preserve"> Old</v>
      </c>
      <c r="G52" s="16" t="str">
        <f>IF(regexMatch(A52,"[A-Za-z]*_f_.*")," Female", (IF(regexMatch(A52,"[A-Za-z]*_m_.*"), " Male", "")))</f>
        <v xml:space="preserve"> Male</v>
      </c>
      <c r="H52" s="16" t="str">
        <f>IF(regexMatch(A52,".*_([0-9]+$)"), CONCATENATE(" ",VALUE(TRIM(CLEAN(RegexFindGroup(A52,".*_([0-9]*)"))))), "")</f>
        <v xml:space="preserve"> 1</v>
      </c>
      <c r="I52" s="16" t="str">
        <f>IF(regexMatch(A52,"cs_.*")," (CS)", (IF(regexMatch(A52,"ig_.*"), " (IG)", "")))</f>
        <v/>
      </c>
      <c r="J52" s="10" t="str">
        <f t="shared" si="0"/>
        <v>Altruist Cult Old Male</v>
      </c>
    </row>
    <row r="53" spans="1:10" x14ac:dyDescent="0.25">
      <c r="A53" s="6" t="s">
        <v>189</v>
      </c>
      <c r="B53" s="6" t="str">
        <f t="shared" si="1"/>
        <v>a_m_o_acult_02</v>
      </c>
      <c r="C53" s="6" t="s">
        <v>187</v>
      </c>
      <c r="D53" s="7" t="str">
        <f>PROPER(C53)</f>
        <v>Acult</v>
      </c>
      <c r="E53" s="4" t="s">
        <v>1376</v>
      </c>
      <c r="F53" s="9" t="str">
        <f>IF(regexMatch(A53,"[A-Za-z]*_y_.*")," Young",(IF(regexMatch(A53,"[A-Za-z]*_o_.*")," Old", "")))</f>
        <v xml:space="preserve"> Old</v>
      </c>
      <c r="G53" s="16" t="str">
        <f>IF(regexMatch(A53,"[A-Za-z]*_f_.*")," Female", (IF(regexMatch(A53,"[A-Za-z]*_m_.*"), " Male", "")))</f>
        <v xml:space="preserve"> Male</v>
      </c>
      <c r="H53" s="16" t="str">
        <f>IF(regexMatch(A53,".*_([0-9]+$)"), CONCATENATE(" ",VALUE(TRIM(CLEAN(RegexFindGroup(A53,".*_([0-9]*)"))))), "")</f>
        <v xml:space="preserve"> 2</v>
      </c>
      <c r="I53" s="16" t="str">
        <f>IF(regexMatch(A53,"cs_.*")," (CS)", (IF(regexMatch(A53,"ig_.*"), " (IG)", "")))</f>
        <v/>
      </c>
      <c r="J53" s="10" t="str">
        <f t="shared" si="0"/>
        <v>Altruist Cult Old Male 2</v>
      </c>
    </row>
    <row r="54" spans="1:10" x14ac:dyDescent="0.25">
      <c r="A54" s="6" t="s">
        <v>190</v>
      </c>
      <c r="B54" s="6" t="str">
        <f t="shared" si="1"/>
        <v>a_m_y_acult_01</v>
      </c>
      <c r="C54" s="6" t="s">
        <v>187</v>
      </c>
      <c r="D54" s="7" t="str">
        <f>PROPER(C54)</f>
        <v>Acult</v>
      </c>
      <c r="E54" s="4" t="s">
        <v>1376</v>
      </c>
      <c r="F54" s="9" t="str">
        <f>IF(regexMatch(A54,"[A-Za-z]*_y_.*")," Young",(IF(regexMatch(A54,"[A-Za-z]*_o_.*")," Old", "")))</f>
        <v xml:space="preserve"> Young</v>
      </c>
      <c r="G54" s="16" t="str">
        <f>IF(regexMatch(A54,"[A-Za-z]*_f_.*")," Female", (IF(regexMatch(A54,"[A-Za-z]*_m_.*"), " Male", "")))</f>
        <v xml:space="preserve"> Male</v>
      </c>
      <c r="H54" s="16" t="str">
        <f>IF(regexMatch(A54,".*_([0-9]+$)"), CONCATENATE(" ",VALUE(TRIM(CLEAN(RegexFindGroup(A54,".*_([0-9]*)"))))), "")</f>
        <v xml:space="preserve"> 1</v>
      </c>
      <c r="I54" s="16" t="str">
        <f>IF(regexMatch(A54,"cs_.*")," (CS)", (IF(regexMatch(A54,"ig_.*"), " (IG)", "")))</f>
        <v/>
      </c>
      <c r="J54" s="10" t="str">
        <f t="shared" si="0"/>
        <v>Altruist Cult Young Male</v>
      </c>
    </row>
    <row r="55" spans="1:10" x14ac:dyDescent="0.25">
      <c r="A55" s="6" t="s">
        <v>191</v>
      </c>
      <c r="B55" s="6" t="str">
        <f t="shared" si="1"/>
        <v>a_m_y_acult_02</v>
      </c>
      <c r="C55" s="6" t="s">
        <v>187</v>
      </c>
      <c r="D55" s="7" t="str">
        <f>PROPER(C55)</f>
        <v>Acult</v>
      </c>
      <c r="E55" s="4" t="s">
        <v>1376</v>
      </c>
      <c r="F55" s="9" t="str">
        <f>IF(regexMatch(A55,"[A-Za-z]*_y_.*")," Young",(IF(regexMatch(A55,"[A-Za-z]*_o_.*")," Old", "")))</f>
        <v xml:space="preserve"> Young</v>
      </c>
      <c r="G55" s="16" t="str">
        <f>IF(regexMatch(A55,"[A-Za-z]*_f_.*")," Female", (IF(regexMatch(A55,"[A-Za-z]*_m_.*"), " Male", "")))</f>
        <v xml:space="preserve"> Male</v>
      </c>
      <c r="H55" s="16" t="str">
        <f>IF(regexMatch(A55,".*_([0-9]+$)"), CONCATENATE(" ",VALUE(TRIM(CLEAN(RegexFindGroup(A55,".*_([0-9]*)"))))), "")</f>
        <v xml:space="preserve"> 2</v>
      </c>
      <c r="I55" s="16" t="str">
        <f>IF(regexMatch(A55,"cs_.*")," (CS)", (IF(regexMatch(A55,"ig_.*"), " (IG)", "")))</f>
        <v/>
      </c>
      <c r="J55" s="10" t="str">
        <f t="shared" si="0"/>
        <v>Altruist Cult Young Male 2</v>
      </c>
    </row>
    <row r="56" spans="1:10" x14ac:dyDescent="0.25">
      <c r="A56" s="6" t="s">
        <v>200</v>
      </c>
      <c r="B56" s="6" t="str">
        <f t="shared" si="1"/>
        <v>cs_amandatownley</v>
      </c>
      <c r="C56" s="6" t="s">
        <v>201</v>
      </c>
      <c r="D56" s="7" t="str">
        <f>PROPER(C56)</f>
        <v>Amandatownley</v>
      </c>
      <c r="E56" s="4" t="s">
        <v>1455</v>
      </c>
      <c r="F56" s="9" t="str">
        <f>IF(regexMatch(A56,"[A-Za-z]*_y_.*")," Young",(IF(regexMatch(A56,"[A-Za-z]*_o_.*")," Old", "")))</f>
        <v/>
      </c>
      <c r="G56" s="16" t="str">
        <f>IF(regexMatch(A56,"[A-Za-z]*_f_.*")," Female", (IF(regexMatch(A56,"[A-Za-z]*_m_.*"), " Male", "")))</f>
        <v/>
      </c>
      <c r="H56" s="16" t="str">
        <f>IF(regexMatch(A56,".*_([0-9]+$)"), CONCATENATE(" ",VALUE(TRIM(CLEAN(RegexFindGroup(A56,".*_([0-9]*)"))))), "")</f>
        <v/>
      </c>
      <c r="I56" s="16" t="str">
        <f>IF(regexMatch(A56,"cs_.*")," (CS)", (IF(regexMatch(A56,"ig_.*"), " (IG)", "")))</f>
        <v xml:space="preserve"> (CS)</v>
      </c>
      <c r="J56" s="10" t="str">
        <f t="shared" si="0"/>
        <v>Amanda De Santa (CS)</v>
      </c>
    </row>
    <row r="57" spans="1:10" x14ac:dyDescent="0.25">
      <c r="A57" s="6" t="s">
        <v>202</v>
      </c>
      <c r="B57" s="6" t="str">
        <f t="shared" si="1"/>
        <v>ig_amandatownley</v>
      </c>
      <c r="C57" s="6" t="s">
        <v>201</v>
      </c>
      <c r="D57" s="7" t="str">
        <f>PROPER(C57)</f>
        <v>Amandatownley</v>
      </c>
      <c r="E57" s="4" t="s">
        <v>1455</v>
      </c>
      <c r="F57" s="9" t="str">
        <f>IF(regexMatch(A57,"[A-Za-z]*_y_.*")," Young",(IF(regexMatch(A57,"[A-Za-z]*_o_.*")," Old", "")))</f>
        <v/>
      </c>
      <c r="G57" s="16" t="str">
        <f>IF(regexMatch(A57,"[A-Za-z]*_f_.*")," Female", (IF(regexMatch(A57,"[A-Za-z]*_m_.*"), " Male", "")))</f>
        <v/>
      </c>
      <c r="H57" s="16" t="str">
        <f>IF(regexMatch(A57,".*_([0-9]+$)"), CONCATENATE(" ",VALUE(TRIM(CLEAN(RegexFindGroup(A57,".*_([0-9]*)"))))), "")</f>
        <v/>
      </c>
      <c r="I57" s="16" t="str">
        <f>IF(regexMatch(A57,"cs_.*")," (CS)", (IF(regexMatch(A57,"ig_.*"), " (IG)", "")))</f>
        <v xml:space="preserve"> (IG)</v>
      </c>
      <c r="J57" s="10" t="str">
        <f t="shared" si="0"/>
        <v>Amanda De Santa (IG)</v>
      </c>
    </row>
    <row r="58" spans="1:10" x14ac:dyDescent="0.25">
      <c r="A58" s="6" t="s">
        <v>203</v>
      </c>
      <c r="B58" s="6" t="str">
        <f t="shared" si="1"/>
        <v>s_m_y_ammucity_01</v>
      </c>
      <c r="C58" s="6" t="s">
        <v>204</v>
      </c>
      <c r="D58" s="7" t="str">
        <f>PROPER(C58)</f>
        <v>Ammucity</v>
      </c>
      <c r="E58" s="4" t="s">
        <v>1444</v>
      </c>
      <c r="F58" s="9"/>
      <c r="G58" s="16"/>
      <c r="H58" s="16" t="str">
        <f>IF(regexMatch(A58,".*_([0-9]+$)"), CONCATENATE(" ",VALUE(TRIM(CLEAN(RegexFindGroup(A58,".*_([0-9]*)"))))), "")</f>
        <v xml:space="preserve"> 1</v>
      </c>
      <c r="I58" s="16" t="str">
        <f>IF(regexMatch(A58,"cs_.*")," (CS)", (IF(regexMatch(A58,"ig_.*"), " (IG)", "")))</f>
        <v/>
      </c>
      <c r="J58" s="10" t="str">
        <f t="shared" si="0"/>
        <v>Ammu-Nation City Clerk</v>
      </c>
    </row>
    <row r="59" spans="1:10" x14ac:dyDescent="0.25">
      <c r="A59" s="6" t="s">
        <v>205</v>
      </c>
      <c r="B59" s="6" t="str">
        <f t="shared" si="1"/>
        <v>s_m_m_ammucountry</v>
      </c>
      <c r="C59" s="6" t="s">
        <v>206</v>
      </c>
      <c r="D59" s="7" t="str">
        <f>PROPER(C59)</f>
        <v>Ammucountry</v>
      </c>
      <c r="E59" s="4" t="s">
        <v>1443</v>
      </c>
      <c r="F59" s="9"/>
      <c r="G59" s="16"/>
      <c r="H59" s="16" t="str">
        <f>IF(regexMatch(A59,".*_([0-9]+$)"), CONCATENATE(" ",VALUE(TRIM(CLEAN(RegexFindGroup(A59,".*_([0-9]*)"))))), "")</f>
        <v/>
      </c>
      <c r="I59" s="16" t="str">
        <f>IF(regexMatch(A59,"cs_.*")," (CS)", (IF(regexMatch(A59,"ig_.*"), " (IG)", "")))</f>
        <v/>
      </c>
      <c r="J59" s="10" t="str">
        <f t="shared" si="0"/>
        <v>Ammu-Nation Rural Clerk</v>
      </c>
    </row>
    <row r="60" spans="1:10" x14ac:dyDescent="0.25">
      <c r="A60" s="6" t="s">
        <v>7</v>
      </c>
      <c r="B60" s="6" t="str">
        <f t="shared" si="1"/>
        <v xml:space="preserve">	cs_andreas</v>
      </c>
      <c r="C60" s="6" t="s">
        <v>6</v>
      </c>
      <c r="D60" s="7" t="str">
        <f>PROPER(C60)</f>
        <v xml:space="preserve">	Andreas</v>
      </c>
      <c r="E60" s="4" t="s">
        <v>1445</v>
      </c>
      <c r="F60" s="9" t="str">
        <f>IF(regexMatch(A60,"[A-Za-z]*_y_.*")," Young",(IF(regexMatch(A60,"[A-Za-z]*_o_.*")," Old", "")))</f>
        <v/>
      </c>
      <c r="G60" s="16" t="str">
        <f>IF(regexMatch(A60,"[A-Za-z]*_f_.*")," Female", (IF(regexMatch(A60,"[A-Za-z]*_m_.*"), " Male", "")))</f>
        <v/>
      </c>
      <c r="H60" s="16" t="str">
        <f>IF(regexMatch(A60,".*_([0-9]+$)"), CONCATENATE(" ",VALUE(TRIM(CLEAN(RegexFindGroup(A60,".*_([0-9]*)"))))), "")</f>
        <v/>
      </c>
      <c r="I60" s="16" t="str">
        <f>IF(regexMatch(A60,"cs_.*")," (CS)", (IF(regexMatch(A60,"ig_.*"), " (IG)", "")))</f>
        <v xml:space="preserve"> (CS)</v>
      </c>
      <c r="J60" s="10" t="str">
        <f t="shared" si="0"/>
        <v>Andreas Sanchez (CS)</v>
      </c>
    </row>
    <row r="61" spans="1:10" x14ac:dyDescent="0.25">
      <c r="A61" s="6" t="s">
        <v>207</v>
      </c>
      <c r="B61" s="6" t="str">
        <f t="shared" si="1"/>
        <v>ig_andreas</v>
      </c>
      <c r="C61" s="6" t="s">
        <v>208</v>
      </c>
      <c r="D61" s="7" t="str">
        <f>PROPER(C61)</f>
        <v>Andreas</v>
      </c>
      <c r="E61" s="4" t="s">
        <v>1445</v>
      </c>
      <c r="F61" s="9" t="str">
        <f>IF(regexMatch(A61,"[A-Za-z]*_y_.*")," Young",(IF(regexMatch(A61,"[A-Za-z]*_o_.*")," Old", "")))</f>
        <v/>
      </c>
      <c r="G61" s="16" t="str">
        <f>IF(regexMatch(A61,"[A-Za-z]*_f_.*")," Female", (IF(regexMatch(A61,"[A-Za-z]*_m_.*"), " Male", "")))</f>
        <v/>
      </c>
      <c r="H61" s="16" t="str">
        <f>IF(regexMatch(A61,".*_([0-9]+$)"), CONCATENATE(" ",VALUE(TRIM(CLEAN(RegexFindGroup(A61,".*_([0-9]*)"))))), "")</f>
        <v/>
      </c>
      <c r="I61" s="16" t="str">
        <f>IF(regexMatch(A61,"cs_.*")," (CS)", (IF(regexMatch(A61,"ig_.*"), " (IG)", "")))</f>
        <v xml:space="preserve"> (IG)</v>
      </c>
      <c r="J61" s="10" t="str">
        <f t="shared" si="0"/>
        <v>Andreas Sanchez (IG)</v>
      </c>
    </row>
    <row r="62" spans="1:10" x14ac:dyDescent="0.25">
      <c r="A62" s="6" t="s">
        <v>209</v>
      </c>
      <c r="B62" s="6" t="str">
        <f t="shared" si="1"/>
        <v>csb_anita</v>
      </c>
      <c r="C62" s="6" t="s">
        <v>210</v>
      </c>
      <c r="D62" s="7" t="str">
        <f>PROPER(C62)</f>
        <v>Anita</v>
      </c>
      <c r="E62" s="4" t="s">
        <v>1442</v>
      </c>
      <c r="F62" s="9" t="str">
        <f>IF(regexMatch(A62,"[A-Za-z]*_y_.*")," Young",(IF(regexMatch(A62,"[A-Za-z]*_o_.*")," Old", "")))</f>
        <v/>
      </c>
      <c r="G62" s="16" t="str">
        <f>IF(regexMatch(A62,"[A-Za-z]*_f_.*")," Female", (IF(regexMatch(A62,"[A-Za-z]*_m_.*"), " Male", "")))</f>
        <v/>
      </c>
      <c r="H62" s="16" t="str">
        <f>IF(regexMatch(A62,".*_([0-9]+$)"), CONCATENATE(" ",VALUE(TRIM(CLEAN(RegexFindGroup(A62,".*_([0-9]*)"))))), "")</f>
        <v/>
      </c>
      <c r="I62" s="16" t="str">
        <f>IF(regexMatch(A62,"cs_.*")," (CS)", (IF(regexMatch(A62,"ig_.*"), " (IG)", "")))</f>
        <v/>
      </c>
      <c r="J62" s="10" t="str">
        <f t="shared" si="0"/>
        <v>Anita Mendoza</v>
      </c>
    </row>
    <row r="63" spans="1:10" x14ac:dyDescent="0.25">
      <c r="A63" s="6" t="s">
        <v>211</v>
      </c>
      <c r="B63" s="6" t="str">
        <f t="shared" si="1"/>
        <v>csb_anton</v>
      </c>
      <c r="C63" s="6" t="s">
        <v>212</v>
      </c>
      <c r="D63" s="7" t="str">
        <f>PROPER(C63)</f>
        <v>Anton</v>
      </c>
      <c r="E63" s="4" t="s">
        <v>1418</v>
      </c>
      <c r="F63" s="9" t="str">
        <f>IF(regexMatch(A63,"[A-Za-z]*_y_.*")," Young",(IF(regexMatch(A63,"[A-Za-z]*_o_.*")," Old", "")))</f>
        <v/>
      </c>
      <c r="G63" s="16" t="str">
        <f>IF(regexMatch(A63,"[A-Za-z]*_f_.*")," Female", (IF(regexMatch(A63,"[A-Za-z]*_m_.*"), " Male", "")))</f>
        <v/>
      </c>
      <c r="H63" s="16" t="str">
        <f>IF(regexMatch(A63,".*_([0-9]+$)"), CONCATENATE(" ",VALUE(TRIM(CLEAN(RegexFindGroup(A63,".*_([0-9]*)"))))), "")</f>
        <v/>
      </c>
      <c r="I63" s="16" t="str">
        <f>IF(regexMatch(A63,"cs_.*")," (CS)", (IF(regexMatch(A63,"ig_.*"), " (IG)", "")))</f>
        <v/>
      </c>
      <c r="J63" s="10" t="str">
        <f t="shared" si="0"/>
        <v>Anton Beaudelaire</v>
      </c>
    </row>
    <row r="64" spans="1:10" x14ac:dyDescent="0.25">
      <c r="A64" s="6" t="s">
        <v>213</v>
      </c>
      <c r="B64" s="6" t="str">
        <f t="shared" si="1"/>
        <v>u_m_y_antonb</v>
      </c>
      <c r="C64" s="6" t="s">
        <v>214</v>
      </c>
      <c r="D64" s="7" t="str">
        <f>PROPER(C64)</f>
        <v>Antonb</v>
      </c>
      <c r="E64" s="4" t="s">
        <v>1418</v>
      </c>
      <c r="F64" s="9"/>
      <c r="G64" s="16"/>
      <c r="H64" s="16" t="str">
        <f>IF(regexMatch(A64,".*_([0-9]+$)"), CONCATENATE(" ",VALUE(TRIM(CLEAN(RegexFindGroup(A64,".*_([0-9]*)"))))), "")</f>
        <v/>
      </c>
      <c r="I64" s="16" t="str">
        <f>IF(regexMatch(A64,"cs_.*")," (CS)", (IF(regexMatch(A64,"ig_.*"), " (IG)", "")))</f>
        <v/>
      </c>
      <c r="J64" s="10" t="str">
        <f t="shared" si="0"/>
        <v>Anton Beaudelaire</v>
      </c>
    </row>
    <row r="65" spans="1:10" x14ac:dyDescent="0.25">
      <c r="A65" s="6" t="s">
        <v>215</v>
      </c>
      <c r="B65" s="6" t="str">
        <f t="shared" si="1"/>
        <v>g_m_m_armboss_01</v>
      </c>
      <c r="C65" s="6" t="s">
        <v>216</v>
      </c>
      <c r="D65" s="7" t="str">
        <f>PROPER(C65)</f>
        <v>Armboss</v>
      </c>
      <c r="E65" s="4" t="s">
        <v>1372</v>
      </c>
      <c r="F65" s="9"/>
      <c r="G65" s="16"/>
      <c r="H65" s="16" t="str">
        <f>IF(regexMatch(A65,".*_([0-9]+$)"), CONCATENATE(" ",VALUE(TRIM(CLEAN(RegexFindGroup(A65,".*_([0-9]*)"))))), "")</f>
        <v xml:space="preserve"> 1</v>
      </c>
      <c r="I65" s="16" t="str">
        <f>IF(regexMatch(A65,"cs_.*")," (CS)", (IF(regexMatch(A65,"ig_.*"), " (IG)", "")))</f>
        <v/>
      </c>
      <c r="J65" s="10" t="str">
        <f t="shared" si="0"/>
        <v>Armenian Boss</v>
      </c>
    </row>
    <row r="66" spans="1:10" x14ac:dyDescent="0.25">
      <c r="A66" s="6" t="s">
        <v>217</v>
      </c>
      <c r="B66" s="6" t="str">
        <f t="shared" si="1"/>
        <v>g_m_m_armgoon_01</v>
      </c>
      <c r="C66" s="6" t="s">
        <v>218</v>
      </c>
      <c r="D66" s="7" t="str">
        <f>PROPER(C66)</f>
        <v>Armgoon</v>
      </c>
      <c r="E66" s="4" t="s">
        <v>1373</v>
      </c>
      <c r="F66" s="9"/>
      <c r="G66" s="16"/>
      <c r="H66" s="16" t="str">
        <f>IF(regexMatch(A66,".*_([0-9]+$)"), CONCATENATE(" ",VALUE(TRIM(CLEAN(RegexFindGroup(A66,".*_([0-9]*)"))))), "")</f>
        <v xml:space="preserve"> 1</v>
      </c>
      <c r="I66" s="16" t="str">
        <f>IF(regexMatch(A66,"cs_.*")," (CS)", (IF(regexMatch(A66,"ig_.*"), " (IG)", "")))</f>
        <v/>
      </c>
      <c r="J66" s="10" t="str">
        <f t="shared" si="0"/>
        <v>Armenian Goon</v>
      </c>
    </row>
    <row r="67" spans="1:10" x14ac:dyDescent="0.25">
      <c r="A67" s="6" t="s">
        <v>219</v>
      </c>
      <c r="B67" s="6" t="str">
        <f t="shared" si="1"/>
        <v>g_m_y_armgoon_02</v>
      </c>
      <c r="C67" s="6" t="s">
        <v>218</v>
      </c>
      <c r="D67" s="7" t="str">
        <f>PROPER(C67)</f>
        <v>Armgoon</v>
      </c>
      <c r="E67" s="4" t="s">
        <v>1373</v>
      </c>
      <c r="F67" s="9"/>
      <c r="G67" s="16"/>
      <c r="H67" s="16" t="str">
        <f>IF(regexMatch(A67,".*_([0-9]+$)"), CONCATENATE(" ",VALUE(TRIM(CLEAN(RegexFindGroup(A67,".*_([0-9]*)"))))), "")</f>
        <v xml:space="preserve"> 2</v>
      </c>
      <c r="I67" s="16" t="str">
        <f>IF(regexMatch(A67,"cs_.*")," (CS)", (IF(regexMatch(A67,"ig_.*"), " (IG)", "")))</f>
        <v/>
      </c>
      <c r="J67" s="10" t="str">
        <f t="shared" ref="J67:J130" si="3">TRIM(CONCATENATE(E67,F67,G67,IF(H67=" 1","",H67),I67))</f>
        <v>Armenian Goon 2</v>
      </c>
    </row>
    <row r="68" spans="1:10" x14ac:dyDescent="0.25">
      <c r="A68" s="6" t="s">
        <v>220</v>
      </c>
      <c r="B68" s="6" t="str">
        <f t="shared" ref="B68:B131" si="4">TRIM(A68)</f>
        <v>g_m_m_armlieut_01</v>
      </c>
      <c r="C68" s="6" t="s">
        <v>221</v>
      </c>
      <c r="D68" s="7" t="str">
        <f>PROPER(C68)</f>
        <v>Armlieut</v>
      </c>
      <c r="E68" s="4" t="s">
        <v>1374</v>
      </c>
      <c r="F68" s="9"/>
      <c r="G68" s="16"/>
      <c r="H68" s="16" t="str">
        <f>IF(regexMatch(A68,".*_([0-9]+$)"), CONCATENATE(" ",VALUE(TRIM(CLEAN(RegexFindGroup(A68,".*_([0-9]*)"))))), "")</f>
        <v xml:space="preserve"> 1</v>
      </c>
      <c r="I68" s="16" t="str">
        <f>IF(regexMatch(A68,"cs_.*")," (CS)", (IF(regexMatch(A68,"ig_.*"), " (IG)", "")))</f>
        <v/>
      </c>
      <c r="J68" s="10" t="str">
        <f t="shared" si="3"/>
        <v>Armenian Lieutenant</v>
      </c>
    </row>
    <row r="69" spans="1:10" x14ac:dyDescent="0.25">
      <c r="A69" s="6" t="s">
        <v>222</v>
      </c>
      <c r="B69" s="6" t="str">
        <f t="shared" si="4"/>
        <v>mp_s_m_armoured_01</v>
      </c>
      <c r="C69" s="6" t="s">
        <v>223</v>
      </c>
      <c r="D69" s="7" t="str">
        <f>PROPER(C69)</f>
        <v>Armoured</v>
      </c>
      <c r="E69" s="4" t="s">
        <v>1301</v>
      </c>
      <c r="F69" s="9"/>
      <c r="G69" s="16"/>
      <c r="H69" s="16" t="str">
        <f>IF(regexMatch(A69,".*_([0-9]+$)"), CONCATENATE(" ",VALUE(TRIM(CLEAN(RegexFindGroup(A69,".*_([0-9]*)"))))), "")</f>
        <v xml:space="preserve"> 1</v>
      </c>
      <c r="I69" s="16" t="str">
        <f>IF(regexMatch(A69,"cs_.*")," (CS)", (IF(regexMatch(A69,"ig_.*"), " (IG)", "")))</f>
        <v/>
      </c>
      <c r="J69" s="10" t="str">
        <f t="shared" si="3"/>
        <v>Armoured Van Security</v>
      </c>
    </row>
    <row r="70" spans="1:10" x14ac:dyDescent="0.25">
      <c r="A70" s="6" t="s">
        <v>224</v>
      </c>
      <c r="B70" s="6" t="str">
        <f t="shared" si="4"/>
        <v>s_m_m_armoured_01</v>
      </c>
      <c r="C70" s="6" t="s">
        <v>223</v>
      </c>
      <c r="D70" s="7" t="str">
        <f>PROPER(C70)</f>
        <v>Armoured</v>
      </c>
      <c r="E70" s="4" t="s">
        <v>1301</v>
      </c>
      <c r="F70" s="9"/>
      <c r="G70" s="16"/>
      <c r="H70" s="16" t="str">
        <f>IF(regexMatch(A70,".*_([0-9]+$)"), CONCATENATE(" ",VALUE(TRIM(CLEAN(RegexFindGroup(A70,".*_([0-9]*)"))))), "")</f>
        <v xml:space="preserve"> 1</v>
      </c>
      <c r="I70" s="16" t="str">
        <f>IF(regexMatch(A70,"cs_.*")," (CS)", (IF(regexMatch(A70,"ig_.*"), " (IG)", "")))</f>
        <v/>
      </c>
      <c r="J70" s="10" t="str">
        <f t="shared" si="3"/>
        <v>Armoured Van Security</v>
      </c>
    </row>
    <row r="71" spans="1:10" x14ac:dyDescent="0.25">
      <c r="A71" s="6" t="s">
        <v>225</v>
      </c>
      <c r="B71" s="6" t="str">
        <f t="shared" si="4"/>
        <v>s_m_m_armoured_02</v>
      </c>
      <c r="C71" s="6" t="s">
        <v>223</v>
      </c>
      <c r="D71" s="7" t="str">
        <f>PROPER(C71)</f>
        <v>Armoured</v>
      </c>
      <c r="E71" s="4" t="s">
        <v>1301</v>
      </c>
      <c r="F71" s="9"/>
      <c r="G71" s="16"/>
      <c r="H71" s="16" t="str">
        <f>IF(regexMatch(A71,".*_([0-9]+$)"), CONCATENATE(" ",VALUE(TRIM(CLEAN(RegexFindGroup(A71,".*_([0-9]*)"))))), "")</f>
        <v xml:space="preserve"> 2</v>
      </c>
      <c r="I71" s="16" t="str">
        <f>IF(regexMatch(A71,"cs_.*")," (CS)", (IF(regexMatch(A71,"ig_.*"), " (IG)", "")))</f>
        <v/>
      </c>
      <c r="J71" s="10" t="str">
        <f t="shared" si="3"/>
        <v>Armoured Van Security 2</v>
      </c>
    </row>
    <row r="72" spans="1:10" x14ac:dyDescent="0.25">
      <c r="A72" s="6" t="s">
        <v>226</v>
      </c>
      <c r="B72" s="6" t="str">
        <f t="shared" si="4"/>
        <v>s_m_y_armymech_01</v>
      </c>
      <c r="C72" s="6" t="s">
        <v>227</v>
      </c>
      <c r="D72" s="7" t="str">
        <f>PROPER(C72)</f>
        <v>Armymech</v>
      </c>
      <c r="E72" s="4" t="s">
        <v>1416</v>
      </c>
      <c r="F72" s="9"/>
      <c r="G72" s="16"/>
      <c r="H72" s="16" t="str">
        <f>IF(regexMatch(A72,".*_([0-9]+$)"), CONCATENATE(" ",VALUE(TRIM(CLEAN(RegexFindGroup(A72,".*_([0-9]*)"))))), "")</f>
        <v xml:space="preserve"> 1</v>
      </c>
      <c r="I72" s="16" t="str">
        <f>IF(regexMatch(A72,"cs_.*")," (CS)", (IF(regexMatch(A72,"ig_.*"), " (IG)", "")))</f>
        <v/>
      </c>
      <c r="J72" s="10" t="str">
        <f t="shared" si="3"/>
        <v>Army Mechanic</v>
      </c>
    </row>
    <row r="73" spans="1:10" x14ac:dyDescent="0.25">
      <c r="A73" s="6" t="s">
        <v>228</v>
      </c>
      <c r="B73" s="6" t="str">
        <f t="shared" si="4"/>
        <v>cs_ashley</v>
      </c>
      <c r="C73" s="6" t="s">
        <v>229</v>
      </c>
      <c r="D73" s="7" t="str">
        <f>PROPER(C73)</f>
        <v>Ashley</v>
      </c>
      <c r="E73" s="4" t="s">
        <v>1417</v>
      </c>
      <c r="F73" s="9"/>
      <c r="G73" s="16"/>
      <c r="H73" s="16" t="str">
        <f>IF(regexMatch(A73,".*_([0-9]+$)"), CONCATENATE(" ",VALUE(TRIM(CLEAN(RegexFindGroup(A73,".*_([0-9]*)"))))), "")</f>
        <v/>
      </c>
      <c r="I73" s="16" t="str">
        <f>IF(regexMatch(A73,"cs_.*")," (CS)", (IF(regexMatch(A73,"ig_.*"), " (IG)", "")))</f>
        <v xml:space="preserve"> (CS)</v>
      </c>
      <c r="J73" s="10" t="str">
        <f t="shared" si="3"/>
        <v>Ashley Butler (CS)</v>
      </c>
    </row>
    <row r="74" spans="1:10" x14ac:dyDescent="0.25">
      <c r="A74" s="6" t="s">
        <v>230</v>
      </c>
      <c r="B74" s="6" t="str">
        <f t="shared" si="4"/>
        <v>ig_ashley</v>
      </c>
      <c r="C74" s="6" t="s">
        <v>229</v>
      </c>
      <c r="D74" s="7" t="str">
        <f>PROPER(C74)</f>
        <v>Ashley</v>
      </c>
      <c r="E74" s="4" t="s">
        <v>1417</v>
      </c>
      <c r="F74" s="9"/>
      <c r="G74" s="16"/>
      <c r="H74" s="16" t="str">
        <f>IF(regexMatch(A74,".*_([0-9]+$)"), CONCATENATE(" ",VALUE(TRIM(CLEAN(RegexFindGroup(A74,".*_([0-9]*)"))))), "")</f>
        <v/>
      </c>
      <c r="I74" s="16" t="str">
        <f>IF(regexMatch(A74,"cs_.*")," (CS)", (IF(regexMatch(A74,"ig_.*"), " (IG)", "")))</f>
        <v xml:space="preserve"> (IG)</v>
      </c>
      <c r="J74" s="10" t="str">
        <f t="shared" si="3"/>
        <v>Ashley Butler (IG)</v>
      </c>
    </row>
    <row r="75" spans="1:10" x14ac:dyDescent="0.25">
      <c r="A75" s="6" t="s">
        <v>231</v>
      </c>
      <c r="B75" s="6" t="str">
        <f t="shared" si="4"/>
        <v>s_m_y_autopsy_01</v>
      </c>
      <c r="C75" s="6" t="s">
        <v>232</v>
      </c>
      <c r="D75" s="7" t="str">
        <f>PROPER(C75)</f>
        <v>Autopsy</v>
      </c>
      <c r="E75" s="4" t="s">
        <v>1401</v>
      </c>
      <c r="F75" s="9"/>
      <c r="G75" s="16"/>
      <c r="H75" s="16" t="str">
        <f>IF(regexMatch(A75,".*_([0-9]+$)"), CONCATENATE(" ",VALUE(TRIM(CLEAN(RegexFindGroup(A75,".*_([0-9]*)"))))), "")</f>
        <v xml:space="preserve"> 1</v>
      </c>
      <c r="I75" s="16" t="str">
        <f>IF(regexMatch(A75,"cs_.*")," (CS)", (IF(regexMatch(A75,"ig_.*"), " (IG)", "")))</f>
        <v/>
      </c>
      <c r="J75" s="10" t="str">
        <f t="shared" si="3"/>
        <v>Autopsy Tech</v>
      </c>
    </row>
    <row r="76" spans="1:10" x14ac:dyDescent="0.25">
      <c r="A76" s="6" t="s">
        <v>233</v>
      </c>
      <c r="B76" s="6" t="str">
        <f t="shared" si="4"/>
        <v>s_m_m_autoshop_01</v>
      </c>
      <c r="C76" s="6" t="s">
        <v>234</v>
      </c>
      <c r="D76" s="7" t="str">
        <f>PROPER(C76)</f>
        <v>Autoshop</v>
      </c>
      <c r="E76" s="4" t="s">
        <v>1396</v>
      </c>
      <c r="F76" s="9"/>
      <c r="G76" s="16"/>
      <c r="H76" s="16" t="str">
        <f>IF(regexMatch(A76,".*_([0-9]+$)"), CONCATENATE(" ",VALUE(TRIM(CLEAN(RegexFindGroup(A76,".*_([0-9]*)"))))), "")</f>
        <v xml:space="preserve"> 1</v>
      </c>
      <c r="I76" s="16" t="str">
        <f>IF(regexMatch(A76,"cs_.*")," (CS)", (IF(regexMatch(A76,"ig_.*"), " (IG)", "")))</f>
        <v/>
      </c>
      <c r="J76" s="10" t="str">
        <f t="shared" si="3"/>
        <v>Autoshop Worker</v>
      </c>
    </row>
    <row r="77" spans="1:10" x14ac:dyDescent="0.25">
      <c r="A77" s="6" t="s">
        <v>235</v>
      </c>
      <c r="B77" s="6" t="str">
        <f t="shared" si="4"/>
        <v>s_m_m_autoshop_02</v>
      </c>
      <c r="C77" s="6" t="s">
        <v>234</v>
      </c>
      <c r="D77" s="7" t="str">
        <f>PROPER(C77)</f>
        <v>Autoshop</v>
      </c>
      <c r="E77" s="4" t="s">
        <v>1396</v>
      </c>
      <c r="F77" s="9"/>
      <c r="G77" s="16"/>
      <c r="H77" s="16" t="str">
        <f>IF(regexMatch(A77,".*_([0-9]+$)"), CONCATENATE(" ",VALUE(TRIM(CLEAN(RegexFindGroup(A77,".*_([0-9]*)"))))), "")</f>
        <v xml:space="preserve"> 2</v>
      </c>
      <c r="I77" s="16" t="str">
        <f>IF(regexMatch(A77,"cs_.*")," (CS)", (IF(regexMatch(A77,"ig_.*"), " (IG)", "")))</f>
        <v/>
      </c>
      <c r="J77" s="10" t="str">
        <f t="shared" si="3"/>
        <v>Autoshop Worker 2</v>
      </c>
    </row>
    <row r="78" spans="1:10" x14ac:dyDescent="0.25">
      <c r="A78" s="6" t="s">
        <v>9</v>
      </c>
      <c r="B78" s="6" t="str">
        <f t="shared" si="4"/>
        <v xml:space="preserve">	g_m_y_azteca_01</v>
      </c>
      <c r="C78" s="6" t="s">
        <v>8</v>
      </c>
      <c r="D78" s="7" t="str">
        <f>PROPER(C78)</f>
        <v xml:space="preserve">	Azteca</v>
      </c>
      <c r="E78" s="4" t="s">
        <v>1474</v>
      </c>
      <c r="F78" s="9"/>
      <c r="G78" s="16"/>
      <c r="H78" s="16" t="str">
        <f>IF(regexMatch(A78,".*_([0-9]+$)"), CONCATENATE(" ",VALUE(TRIM(CLEAN(RegexFindGroup(A78,".*_([0-9]*)"))))), "")</f>
        <v xml:space="preserve"> 1</v>
      </c>
      <c r="I78" s="16" t="str">
        <f>IF(regexMatch(A78,"cs_.*")," (CS)", (IF(regexMatch(A78,"ig_.*"), " (IG)", "")))</f>
        <v/>
      </c>
      <c r="J78" s="10" t="str">
        <f t="shared" si="3"/>
        <v>Azteca</v>
      </c>
    </row>
    <row r="79" spans="1:10" x14ac:dyDescent="0.25">
      <c r="A79" s="6" t="s">
        <v>236</v>
      </c>
      <c r="B79" s="6" t="str">
        <f t="shared" si="4"/>
        <v>u_m_y_babyd</v>
      </c>
      <c r="C79" s="6" t="s">
        <v>237</v>
      </c>
      <c r="D79" s="7" t="str">
        <f>PROPER(C79)</f>
        <v>Babyd</v>
      </c>
      <c r="E79" s="4" t="s">
        <v>1441</v>
      </c>
      <c r="F79" s="9"/>
      <c r="G79" s="16"/>
      <c r="H79" s="16" t="str">
        <f>IF(regexMatch(A79,".*_([0-9]+$)"), CONCATENATE(" ",VALUE(TRIM(CLEAN(RegexFindGroup(A79,".*_([0-9]*)"))))), "")</f>
        <v/>
      </c>
      <c r="I79" s="16" t="str">
        <f>IF(regexMatch(A79,"cs_.*")," (CS)", (IF(regexMatch(A79,"ig_.*"), " (IG)", "")))</f>
        <v/>
      </c>
      <c r="J79" s="10" t="str">
        <f t="shared" si="3"/>
        <v>Baby D</v>
      </c>
    </row>
    <row r="80" spans="1:10" x14ac:dyDescent="0.25">
      <c r="A80" s="6" t="s">
        <v>238</v>
      </c>
      <c r="B80" s="6" t="str">
        <f t="shared" si="4"/>
        <v>g_m_y_ballaeast_01</v>
      </c>
      <c r="C80" s="6" t="s">
        <v>239</v>
      </c>
      <c r="D80" s="7" t="str">
        <f>PROPER(C80)</f>
        <v>Ballaeast</v>
      </c>
      <c r="E80" s="4" t="s">
        <v>1400</v>
      </c>
      <c r="F80" s="9"/>
      <c r="G80" s="16" t="str">
        <f>IF(regexMatch(A80,"[A-Za-z]*_f_.*")," Female", (IF(regexMatch(A80,"[A-Za-z]*_m_.*"), " Male", "")))</f>
        <v xml:space="preserve"> Male</v>
      </c>
      <c r="H80" s="16" t="str">
        <f>IF(regexMatch(A80,".*_([0-9]+$)"), CONCATENATE(" ",VALUE(TRIM(CLEAN(RegexFindGroup(A80,".*_([0-9]*)"))))), "")</f>
        <v xml:space="preserve"> 1</v>
      </c>
      <c r="I80" s="16" t="str">
        <f>IF(regexMatch(A80,"cs_.*")," (CS)", (IF(regexMatch(A80,"ig_.*"), " (IG)", "")))</f>
        <v/>
      </c>
      <c r="J80" s="10" t="str">
        <f t="shared" si="3"/>
        <v>Ballas East Male</v>
      </c>
    </row>
    <row r="81" spans="1:10" x14ac:dyDescent="0.25">
      <c r="A81" s="6" t="s">
        <v>11</v>
      </c>
      <c r="B81" s="6" t="str">
        <f t="shared" si="4"/>
        <v xml:space="preserve">	g_f_y_ballas_01</v>
      </c>
      <c r="C81" s="6" t="s">
        <v>10</v>
      </c>
      <c r="D81" s="7" t="str">
        <f>PROPER(C81)</f>
        <v xml:space="preserve">	Ballas</v>
      </c>
      <c r="E81" s="4" t="s">
        <v>1473</v>
      </c>
      <c r="F81" s="9"/>
      <c r="G81" s="16" t="str">
        <f>IF(regexMatch(A81,"[A-Za-z]*_f_.*")," Female", (IF(regexMatch(A81,"[A-Za-z]*_m_.*"), " Male", "")))</f>
        <v xml:space="preserve"> Female</v>
      </c>
      <c r="H81" s="16" t="str">
        <f>IF(regexMatch(A81,".*_([0-9]+$)"), CONCATENATE(" ",VALUE(TRIM(CLEAN(RegexFindGroup(A81,".*_([0-9]*)"))))), "")</f>
        <v xml:space="preserve"> 1</v>
      </c>
      <c r="I81" s="16" t="str">
        <f>IF(regexMatch(A81,"cs_.*")," (CS)", (IF(regexMatch(A81,"ig_.*"), " (IG)", "")))</f>
        <v/>
      </c>
      <c r="J81" s="10" t="str">
        <f t="shared" si="3"/>
        <v>Ballas Female</v>
      </c>
    </row>
    <row r="82" spans="1:10" x14ac:dyDescent="0.25">
      <c r="A82" s="6" t="s">
        <v>13</v>
      </c>
      <c r="B82" s="6" t="str">
        <f t="shared" si="4"/>
        <v xml:space="preserve">	csb_ballasog</v>
      </c>
      <c r="C82" s="6" t="s">
        <v>12</v>
      </c>
      <c r="D82" s="7" t="str">
        <f>PROPER(C82)</f>
        <v xml:space="preserve">	Ballasog</v>
      </c>
      <c r="E82" s="4" t="s">
        <v>1240</v>
      </c>
      <c r="F82" s="9" t="str">
        <f>IF(regexMatch(A82,"[A-Za-z]*_y_.*")," Young",(IF(regexMatch(A82,"[A-Za-z]*_o_.*")," Old", "")))</f>
        <v/>
      </c>
      <c r="G82" s="16" t="str">
        <f>IF(regexMatch(A82,"[A-Za-z]*_f_.*")," Female", (IF(regexMatch(A82,"[A-Za-z]*_m_.*"), " Male", "")))</f>
        <v/>
      </c>
      <c r="H82" s="16" t="str">
        <f>IF(regexMatch(A82,".*_([0-9]+$)"), CONCATENATE(" ",VALUE(TRIM(CLEAN(RegexFindGroup(A82,".*_([0-9]*)"))))), "")</f>
        <v/>
      </c>
      <c r="I82" s="16" t="str">
        <f>IF(regexMatch(A82,"cs_.*")," (CS)", (IF(regexMatch(A82,"ig_.*"), " (IG)", "")))</f>
        <v/>
      </c>
      <c r="J82" s="10" t="str">
        <f t="shared" si="3"/>
        <v>Ballas OG</v>
      </c>
    </row>
    <row r="83" spans="1:10" x14ac:dyDescent="0.25">
      <c r="A83" s="6" t="s">
        <v>242</v>
      </c>
      <c r="B83" s="6" t="str">
        <f t="shared" si="4"/>
        <v>ig_ballasog</v>
      </c>
      <c r="C83" s="6" t="s">
        <v>243</v>
      </c>
      <c r="D83" s="7" t="str">
        <f>PROPER(C83)</f>
        <v>Ballasog</v>
      </c>
      <c r="E83" s="4" t="s">
        <v>1240</v>
      </c>
      <c r="F83" s="9" t="str">
        <f>IF(regexMatch(A83,"[A-Za-z]*_y_.*")," Young",(IF(regexMatch(A83,"[A-Za-z]*_o_.*")," Old", "")))</f>
        <v/>
      </c>
      <c r="G83" s="16" t="str">
        <f>IF(regexMatch(A83,"[A-Za-z]*_f_.*")," Female", (IF(regexMatch(A83,"[A-Za-z]*_m_.*"), " Male", "")))</f>
        <v/>
      </c>
      <c r="H83" s="16" t="str">
        <f>IF(regexMatch(A83,".*_([0-9]+$)"), CONCATENATE(" ",VALUE(TRIM(CLEAN(RegexFindGroup(A83,".*_([0-9]*)"))))), "")</f>
        <v/>
      </c>
      <c r="I83" s="16" t="str">
        <f>IF(regexMatch(A83,"cs_.*")," (CS)", (IF(regexMatch(A83,"ig_.*"), " (IG)", "")))</f>
        <v xml:space="preserve"> (IG)</v>
      </c>
      <c r="J83" s="10" t="str">
        <f t="shared" si="3"/>
        <v>Ballas OG (IG)</v>
      </c>
    </row>
    <row r="84" spans="1:10" x14ac:dyDescent="0.25">
      <c r="A84" s="6" t="s">
        <v>240</v>
      </c>
      <c r="B84" s="6" t="str">
        <f t="shared" si="4"/>
        <v>g_m_y_ballaorig_01</v>
      </c>
      <c r="C84" s="6" t="s">
        <v>241</v>
      </c>
      <c r="D84" s="7" t="str">
        <f>PROPER(C84)</f>
        <v>Ballaorig</v>
      </c>
      <c r="E84" s="4" t="s">
        <v>1399</v>
      </c>
      <c r="F84" s="9"/>
      <c r="G84" s="16" t="str">
        <f>IF(regexMatch(A84,"[A-Za-z]*_f_.*")," Female", (IF(regexMatch(A84,"[A-Za-z]*_m_.*"), " Male", "")))</f>
        <v xml:space="preserve"> Male</v>
      </c>
      <c r="H84" s="16" t="str">
        <f>IF(regexMatch(A84,".*_([0-9]+$)"), CONCATENATE(" ",VALUE(TRIM(CLEAN(RegexFindGroup(A84,".*_([0-9]*)"))))), "")</f>
        <v xml:space="preserve"> 1</v>
      </c>
      <c r="I84" s="16" t="str">
        <f>IF(regexMatch(A84,"cs_.*")," (CS)", (IF(regexMatch(A84,"ig_.*"), " (IG)", "")))</f>
        <v xml:space="preserve"> (IG)</v>
      </c>
      <c r="J84" s="10" t="str">
        <f t="shared" si="3"/>
        <v>Ballas Original Male (IG)</v>
      </c>
    </row>
    <row r="85" spans="1:10" x14ac:dyDescent="0.25">
      <c r="A85" s="6" t="s">
        <v>244</v>
      </c>
      <c r="B85" s="6" t="str">
        <f t="shared" si="4"/>
        <v>g_m_y_ballasout_01</v>
      </c>
      <c r="C85" s="6" t="s">
        <v>245</v>
      </c>
      <c r="D85" s="7" t="str">
        <f>PROPER(C85)</f>
        <v>Ballasout</v>
      </c>
      <c r="E85" s="4" t="s">
        <v>1398</v>
      </c>
      <c r="F85" s="9"/>
      <c r="G85" s="16" t="str">
        <f>IF(regexMatch(A85,"[A-Za-z]*_f_.*")," Female", (IF(regexMatch(A85,"[A-Za-z]*_m_.*"), " Male", "")))</f>
        <v xml:space="preserve"> Male</v>
      </c>
      <c r="H85" s="16" t="str">
        <f>IF(regexMatch(A85,".*_([0-9]+$)"), CONCATENATE(" ",VALUE(TRIM(CLEAN(RegexFindGroup(A85,".*_([0-9]*)"))))), "")</f>
        <v xml:space="preserve"> 1</v>
      </c>
      <c r="I85" s="16" t="str">
        <f>IF(regexMatch(A85,"cs_.*")," (CS)", (IF(regexMatch(A85,"ig_.*"), " (IG)", "")))</f>
        <v/>
      </c>
      <c r="J85" s="10" t="str">
        <f t="shared" si="3"/>
        <v>Ballas South Male</v>
      </c>
    </row>
    <row r="86" spans="1:10" x14ac:dyDescent="0.25">
      <c r="A86" s="6" t="s">
        <v>246</v>
      </c>
      <c r="B86" s="6" t="str">
        <f t="shared" si="4"/>
        <v>cs_bankman</v>
      </c>
      <c r="C86" s="6" t="s">
        <v>247</v>
      </c>
      <c r="D86" s="7" t="str">
        <f>PROPER(C86)</f>
        <v>Bankman</v>
      </c>
      <c r="E86" s="4" t="s">
        <v>1397</v>
      </c>
      <c r="F86" s="9" t="str">
        <f>IF(regexMatch(A86,"[A-Za-z]*_y_.*")," Young",(IF(regexMatch(A86,"[A-Za-z]*_o_.*")," Old", "")))</f>
        <v/>
      </c>
      <c r="G86" s="16" t="str">
        <f>IF(regexMatch(A86,"[A-Za-z]*_f_.*")," Female", (IF(regexMatch(A86,"[A-Za-z]*_m_.*"), " Male", "")))</f>
        <v/>
      </c>
      <c r="H86" s="16" t="str">
        <f>IF(regexMatch(A86,".*_([0-9]+$)"), CONCATENATE(" ",VALUE(TRIM(CLEAN(RegexFindGroup(A86,".*_([0-9]*)"))))), "")</f>
        <v/>
      </c>
      <c r="I86" s="16" t="str">
        <f>IF(regexMatch(A86,"cs_.*")," (CS)", (IF(regexMatch(A86,"ig_.*"), " (IG)", "")))</f>
        <v xml:space="preserve"> (CS)</v>
      </c>
      <c r="J86" s="10" t="str">
        <f t="shared" si="3"/>
        <v>Bank Manager (CS)</v>
      </c>
    </row>
    <row r="87" spans="1:10" x14ac:dyDescent="0.25">
      <c r="A87" s="6" t="s">
        <v>248</v>
      </c>
      <c r="B87" s="6" t="str">
        <f t="shared" si="4"/>
        <v>ig_bankman</v>
      </c>
      <c r="C87" s="6" t="s">
        <v>247</v>
      </c>
      <c r="D87" s="7" t="str">
        <f>PROPER(C87)</f>
        <v>Bankman</v>
      </c>
      <c r="E87" s="4" t="s">
        <v>1397</v>
      </c>
      <c r="F87" s="9" t="str">
        <f>IF(regexMatch(A87,"[A-Za-z]*_y_.*")," Young",(IF(regexMatch(A87,"[A-Za-z]*_o_.*")," Old", "")))</f>
        <v/>
      </c>
      <c r="G87" s="16" t="str">
        <f>IF(regexMatch(A87,"[A-Za-z]*_f_.*")," Female", (IF(regexMatch(A87,"[A-Za-z]*_m_.*"), " Male", "")))</f>
        <v/>
      </c>
      <c r="H87" s="16" t="str">
        <f>IF(regexMatch(A87,".*_([0-9]+$)"), CONCATENATE(" ",VALUE(TRIM(CLEAN(RegexFindGroup(A87,".*_([0-9]*)"))))), "")</f>
        <v/>
      </c>
      <c r="I87" s="16" t="str">
        <f>IF(regexMatch(A87,"cs_.*")," (CS)", (IF(regexMatch(A87,"ig_.*"), " (IG)", "")))</f>
        <v xml:space="preserve"> (IG)</v>
      </c>
      <c r="J87" s="10" t="str">
        <f t="shared" si="3"/>
        <v>Bank Manager (IG)</v>
      </c>
    </row>
    <row r="88" spans="1:10" x14ac:dyDescent="0.25">
      <c r="A88" s="6" t="s">
        <v>249</v>
      </c>
      <c r="B88" s="6" t="str">
        <f t="shared" si="4"/>
        <v>u_m_m_bankman</v>
      </c>
      <c r="C88" s="6" t="s">
        <v>247</v>
      </c>
      <c r="D88" s="7" t="str">
        <f>PROPER(C88)</f>
        <v>Bankman</v>
      </c>
      <c r="E88" s="4" t="s">
        <v>1397</v>
      </c>
      <c r="F88" s="9" t="str">
        <f>IF(regexMatch(A88,"[A-Za-z]*_y_.*")," Young",(IF(regexMatch(A88,"[A-Za-z]*_o_.*")," Old", "")))</f>
        <v/>
      </c>
      <c r="G88" s="16" t="str">
        <f>IF(regexMatch(A88,"[A-Za-z]*_f_.*")," Female", (IF(regexMatch(A88,"[A-Za-z]*_m_.*"), " Male", "")))</f>
        <v xml:space="preserve"> Male</v>
      </c>
      <c r="H88" s="16" t="str">
        <f>IF(regexMatch(A88,".*_([0-9]+$)"), CONCATENATE(" ",VALUE(TRIM(CLEAN(RegexFindGroup(A88,".*_([0-9]*)"))))), "")</f>
        <v/>
      </c>
      <c r="I88" s="16" t="str">
        <f>IF(regexMatch(A88,"cs_.*")," (CS)", (IF(regexMatch(A88,"ig_.*"), " (IG)", "")))</f>
        <v/>
      </c>
      <c r="J88" s="10" t="str">
        <f t="shared" si="3"/>
        <v>Bank Manager Male</v>
      </c>
    </row>
    <row r="89" spans="1:10" x14ac:dyDescent="0.25">
      <c r="A89" s="6" t="s">
        <v>472</v>
      </c>
      <c r="B89" s="6" t="str">
        <f t="shared" si="4"/>
        <v>s_f_m_fembarber</v>
      </c>
      <c r="C89" s="6" t="s">
        <v>473</v>
      </c>
      <c r="D89" s="7" t="str">
        <f>PROPER(C89)</f>
        <v>Fembarber</v>
      </c>
      <c r="E89" s="4" t="s">
        <v>1302</v>
      </c>
      <c r="F89" s="9" t="str">
        <f>IF(regexMatch(A89,"[A-Za-z]*_y_.*")," Young",(IF(regexMatch(A89,"[A-Za-z]*_o_.*")," Old", "")))</f>
        <v/>
      </c>
      <c r="G89" s="16" t="str">
        <f>IF(regexMatch(A89,"[A-Za-z]*_f_.*")," Female", (IF(regexMatch(A89,"[A-Za-z]*_m_.*"), " Male", "")))</f>
        <v xml:space="preserve"> Female</v>
      </c>
      <c r="H89" s="16" t="str">
        <f>IF(regexMatch(A89,".*_([0-9]+$)"), CONCATENATE(" ",VALUE(TRIM(CLEAN(RegexFindGroup(A89,".*_([0-9]*)"))))), "")</f>
        <v/>
      </c>
      <c r="I89" s="16" t="str">
        <f>IF(regexMatch(A89,"cs_.*")," (CS)", (IF(regexMatch(A89,"ig_.*"), " (IG)", "")))</f>
        <v/>
      </c>
      <c r="J89" s="10" t="str">
        <f t="shared" si="3"/>
        <v>Barber Female</v>
      </c>
    </row>
    <row r="90" spans="1:10" x14ac:dyDescent="0.25">
      <c r="A90" s="6" t="s">
        <v>250</v>
      </c>
      <c r="B90" s="6" t="str">
        <f t="shared" si="4"/>
        <v>s_m_y_barman_01</v>
      </c>
      <c r="C90" s="6" t="s">
        <v>251</v>
      </c>
      <c r="D90" s="7" t="str">
        <f>PROPER(C90)</f>
        <v>Barman</v>
      </c>
      <c r="E90" s="4" t="s">
        <v>1122</v>
      </c>
      <c r="F90" s="9"/>
      <c r="G90" s="16"/>
      <c r="H90" s="16" t="str">
        <f>IF(regexMatch(A90,".*_([0-9]+$)"), CONCATENATE(" ",VALUE(TRIM(CLEAN(RegexFindGroup(A90,".*_([0-9]*)"))))), "")</f>
        <v xml:space="preserve"> 1</v>
      </c>
      <c r="I90" s="16" t="str">
        <f>IF(regexMatch(A90,"cs_.*")," (CS)", (IF(regexMatch(A90,"ig_.*"), " (IG)", "")))</f>
        <v/>
      </c>
      <c r="J90" s="10" t="str">
        <f t="shared" si="3"/>
        <v>Barman</v>
      </c>
    </row>
    <row r="91" spans="1:10" x14ac:dyDescent="0.25">
      <c r="A91" s="6" t="s">
        <v>252</v>
      </c>
      <c r="B91" s="6" t="str">
        <f t="shared" si="4"/>
        <v>cs_barry</v>
      </c>
      <c r="C91" s="6" t="s">
        <v>253</v>
      </c>
      <c r="D91" s="7" t="str">
        <f>PROPER(C91)</f>
        <v>Barry</v>
      </c>
      <c r="E91" s="4" t="s">
        <v>1123</v>
      </c>
      <c r="F91" s="9" t="str">
        <f>IF(regexMatch(A91,"[A-Za-z]*_y_.*")," Young",(IF(regexMatch(A91,"[A-Za-z]*_o_.*")," Old", "")))</f>
        <v/>
      </c>
      <c r="G91" s="16" t="str">
        <f>IF(regexMatch(A91,"[A-Za-z]*_f_.*")," Female", (IF(regexMatch(A91,"[A-Za-z]*_m_.*"), " Male", "")))</f>
        <v/>
      </c>
      <c r="H91" s="16" t="str">
        <f>IF(regexMatch(A91,".*_([0-9]+$)"), CONCATENATE(" ",VALUE(TRIM(CLEAN(RegexFindGroup(A91,".*_([0-9]*)"))))), "")</f>
        <v/>
      </c>
      <c r="I91" s="16" t="str">
        <f>IF(regexMatch(A91,"cs_.*")," (CS)", (IF(regexMatch(A91,"ig_.*"), " (IG)", "")))</f>
        <v xml:space="preserve"> (CS)</v>
      </c>
      <c r="J91" s="10" t="str">
        <f t="shared" si="3"/>
        <v>Barry (CS)</v>
      </c>
    </row>
    <row r="92" spans="1:10" x14ac:dyDescent="0.25">
      <c r="A92" s="6" t="s">
        <v>254</v>
      </c>
      <c r="B92" s="6" t="str">
        <f t="shared" si="4"/>
        <v>ig_barry</v>
      </c>
      <c r="C92" s="6" t="s">
        <v>253</v>
      </c>
      <c r="D92" s="7" t="str">
        <f>PROPER(C92)</f>
        <v>Barry</v>
      </c>
      <c r="E92" s="4" t="s">
        <v>1123</v>
      </c>
      <c r="F92" s="9" t="str">
        <f>IF(regexMatch(A92,"[A-Za-z]*_y_.*")," Young",(IF(regexMatch(A92,"[A-Za-z]*_o_.*")," Old", "")))</f>
        <v/>
      </c>
      <c r="G92" s="16" t="str">
        <f>IF(regexMatch(A92,"[A-Za-z]*_f_.*")," Female", (IF(regexMatch(A92,"[A-Za-z]*_m_.*"), " Male", "")))</f>
        <v/>
      </c>
      <c r="H92" s="16" t="str">
        <f>IF(regexMatch(A92,".*_([0-9]+$)"), CONCATENATE(" ",VALUE(TRIM(CLEAN(RegexFindGroup(A92,".*_([0-9]*)"))))), "")</f>
        <v/>
      </c>
      <c r="I92" s="16" t="str">
        <f>IF(regexMatch(A92,"cs_.*")," (CS)", (IF(regexMatch(A92,"ig_.*"), " (IG)", "")))</f>
        <v xml:space="preserve"> (IG)</v>
      </c>
      <c r="J92" s="10" t="str">
        <f t="shared" si="3"/>
        <v>Barry (IG)</v>
      </c>
    </row>
    <row r="93" spans="1:10" x14ac:dyDescent="0.25">
      <c r="A93" s="6" t="s">
        <v>255</v>
      </c>
      <c r="B93" s="6" t="str">
        <f t="shared" si="4"/>
        <v>s_f_y_bartender_01</v>
      </c>
      <c r="C93" s="6" t="s">
        <v>256</v>
      </c>
      <c r="D93" s="7" t="str">
        <f>PROPER(C93)</f>
        <v>Bartender</v>
      </c>
      <c r="E93" s="4" t="s">
        <v>1124</v>
      </c>
      <c r="F93" s="9"/>
      <c r="G93" s="16"/>
      <c r="H93" s="16" t="str">
        <f>IF(regexMatch(A93,".*_([0-9]+$)"), CONCATENATE(" ",VALUE(TRIM(CLEAN(RegexFindGroup(A93,".*_([0-9]*)"))))), "")</f>
        <v xml:space="preserve"> 1</v>
      </c>
      <c r="I93" s="16" t="str">
        <f>IF(regexMatch(A93,"cs_.*")," (CS)", (IF(regexMatch(A93,"ig_.*"), " (IG)", "")))</f>
        <v/>
      </c>
      <c r="J93" s="10" t="str">
        <f t="shared" si="3"/>
        <v>Bartender</v>
      </c>
    </row>
    <row r="94" spans="1:10" x14ac:dyDescent="0.25">
      <c r="A94" s="6" t="s">
        <v>368</v>
      </c>
      <c r="B94" s="6" t="str">
        <f t="shared" si="4"/>
        <v>s_m_m_cntrybar_01</v>
      </c>
      <c r="C94" s="6" t="s">
        <v>369</v>
      </c>
      <c r="D94" s="7" t="str">
        <f>PROPER(C94)</f>
        <v>Cntrybar</v>
      </c>
      <c r="E94" s="4" t="s">
        <v>1425</v>
      </c>
      <c r="F94" s="9"/>
      <c r="G94" s="16"/>
      <c r="H94" s="16" t="str">
        <f>IF(regexMatch(A94,".*_([0-9]+$)"), CONCATENATE(" ",VALUE(TRIM(CLEAN(RegexFindGroup(A94,".*_([0-9]*)"))))), "")</f>
        <v xml:space="preserve"> 1</v>
      </c>
      <c r="I94" s="16" t="str">
        <f>IF(regexMatch(A94,"cs_.*")," (CS)", (IF(regexMatch(A94,"ig_.*"), " (IG)", "")))</f>
        <v/>
      </c>
      <c r="J94" s="10" t="str">
        <f t="shared" si="3"/>
        <v>Bartender (Rural)</v>
      </c>
    </row>
    <row r="95" spans="1:10" x14ac:dyDescent="0.25">
      <c r="A95" s="6" t="s">
        <v>259</v>
      </c>
      <c r="B95" s="6" t="str">
        <f t="shared" si="4"/>
        <v>s_f_y_baywatch_01</v>
      </c>
      <c r="C95" s="6" t="s">
        <v>260</v>
      </c>
      <c r="D95" s="7" t="str">
        <f>PROPER(C95)</f>
        <v>Baywatch</v>
      </c>
      <c r="E95" s="4" t="s">
        <v>1125</v>
      </c>
      <c r="F95" s="9"/>
      <c r="G95" s="16" t="str">
        <f>IF(regexMatch(A95,"[A-Za-z]*_f_.*")," Female", (IF(regexMatch(A95,"[A-Za-z]*_m_.*"), " Male", "")))</f>
        <v xml:space="preserve"> Female</v>
      </c>
      <c r="H95" s="16" t="str">
        <f>IF(regexMatch(A95,".*_([0-9]+$)"), CONCATENATE(" ",VALUE(TRIM(CLEAN(RegexFindGroup(A95,".*_([0-9]*)"))))), "")</f>
        <v xml:space="preserve"> 1</v>
      </c>
      <c r="I95" s="16" t="str">
        <f>IF(regexMatch(A95,"cs_.*")," (CS)", (IF(regexMatch(A95,"ig_.*"), " (IG)", "")))</f>
        <v/>
      </c>
      <c r="J95" s="10" t="str">
        <f t="shared" si="3"/>
        <v>Baywatch Female</v>
      </c>
    </row>
    <row r="96" spans="1:10" x14ac:dyDescent="0.25">
      <c r="A96" s="6" t="s">
        <v>261</v>
      </c>
      <c r="B96" s="6" t="str">
        <f t="shared" si="4"/>
        <v>s_m_y_baywatch_01</v>
      </c>
      <c r="C96" s="6" t="s">
        <v>260</v>
      </c>
      <c r="D96" s="7" t="str">
        <f>PROPER(C96)</f>
        <v>Baywatch</v>
      </c>
      <c r="E96" s="4" t="s">
        <v>1125</v>
      </c>
      <c r="F96" s="9"/>
      <c r="G96" s="16" t="str">
        <f>IF(regexMatch(A96,"[A-Za-z]*_f_.*")," Female", (IF(regexMatch(A96,"[A-Za-z]*_m_.*"), " Male", "")))</f>
        <v xml:space="preserve"> Male</v>
      </c>
      <c r="H96" s="16" t="str">
        <f>IF(regexMatch(A96,".*_([0-9]+$)"), CONCATENATE(" ",VALUE(TRIM(CLEAN(RegexFindGroup(A96,".*_([0-9]*)"))))), "")</f>
        <v xml:space="preserve"> 1</v>
      </c>
      <c r="I96" s="16" t="str">
        <f>IF(regexMatch(A96,"cs_.*")," (CS)", (IF(regexMatch(A96,"ig_.*"), " (IG)", "")))</f>
        <v/>
      </c>
      <c r="J96" s="10" t="str">
        <f t="shared" si="3"/>
        <v>Baywatch Male</v>
      </c>
    </row>
    <row r="97" spans="1:10" x14ac:dyDescent="0.25">
      <c r="A97" s="6" t="s">
        <v>15</v>
      </c>
      <c r="B97" s="6" t="str">
        <f t="shared" si="4"/>
        <v xml:space="preserve">	a_f_m_beach_01</v>
      </c>
      <c r="C97" s="6" t="s">
        <v>14</v>
      </c>
      <c r="D97" s="7" t="str">
        <f>PROPER(C97)</f>
        <v xml:space="preserve">	Beach</v>
      </c>
      <c r="E97" s="4" t="s">
        <v>1126</v>
      </c>
      <c r="F97" s="9" t="str">
        <f>IF(regexMatch(A97,"[A-Za-z]*_y_.*")," Young",(IF(regexMatch(A97,"[A-Za-z]*_o_.*")," Old", "")))</f>
        <v/>
      </c>
      <c r="G97" s="16" t="str">
        <f>IF(regexMatch(A97,"[A-Za-z]*_f_.*")," Female", (IF(regexMatch(A97,"[A-Za-z]*_m_.*"), " Male", "")))</f>
        <v xml:space="preserve"> Female</v>
      </c>
      <c r="H97" s="16" t="str">
        <f>IF(regexMatch(A97,".*_([0-9]+$)"), CONCATENATE(" ",VALUE(TRIM(CLEAN(RegexFindGroup(A97,".*_([0-9]*)"))))), "")</f>
        <v xml:space="preserve"> 1</v>
      </c>
      <c r="I97" s="16" t="str">
        <f>IF(regexMatch(A97,"cs_.*")," (CS)", (IF(regexMatch(A97,"ig_.*"), " (IG)", "")))</f>
        <v/>
      </c>
      <c r="J97" s="10" t="str">
        <f t="shared" si="3"/>
        <v>Beach Female</v>
      </c>
    </row>
    <row r="98" spans="1:10" x14ac:dyDescent="0.25">
      <c r="A98" s="6" t="s">
        <v>264</v>
      </c>
      <c r="B98" s="6" t="str">
        <f t="shared" si="4"/>
        <v>a_m_m_beach_01</v>
      </c>
      <c r="C98" s="6" t="s">
        <v>263</v>
      </c>
      <c r="D98" s="7" t="str">
        <f>PROPER(C98)</f>
        <v>Beach</v>
      </c>
      <c r="E98" s="4" t="s">
        <v>1126</v>
      </c>
      <c r="F98" s="9" t="str">
        <f>IF(regexMatch(A98,"[A-Za-z]*_y_.*")," Young",(IF(regexMatch(A98,"[A-Za-z]*_o_.*")," Old", "")))</f>
        <v/>
      </c>
      <c r="G98" s="16" t="str">
        <f>IF(regexMatch(A98,"[A-Za-z]*_f_.*")," Female", (IF(regexMatch(A98,"[A-Za-z]*_m_.*"), " Male", "")))</f>
        <v xml:space="preserve"> Male</v>
      </c>
      <c r="H98" s="16" t="str">
        <f>IF(regexMatch(A98,".*_([0-9]+$)"), CONCATENATE(" ",VALUE(TRIM(CLEAN(RegexFindGroup(A98,".*_([0-9]*)"))))), "")</f>
        <v xml:space="preserve"> 1</v>
      </c>
      <c r="I98" s="16" t="str">
        <f>IF(regexMatch(A98,"cs_.*")," (CS)", (IF(regexMatch(A98,"ig_.*"), " (IG)", "")))</f>
        <v/>
      </c>
      <c r="J98" s="10" t="str">
        <f t="shared" si="3"/>
        <v>Beach Male</v>
      </c>
    </row>
    <row r="99" spans="1:10" x14ac:dyDescent="0.25">
      <c r="A99" s="6" t="s">
        <v>265</v>
      </c>
      <c r="B99" s="6" t="str">
        <f t="shared" si="4"/>
        <v>a_m_m_beach_02</v>
      </c>
      <c r="C99" s="6" t="s">
        <v>263</v>
      </c>
      <c r="D99" s="7" t="str">
        <f>PROPER(C99)</f>
        <v>Beach</v>
      </c>
      <c r="E99" s="4" t="s">
        <v>1126</v>
      </c>
      <c r="F99" s="9" t="str">
        <f>IF(regexMatch(A99,"[A-Za-z]*_y_.*")," Young",(IF(regexMatch(A99,"[A-Za-z]*_o_.*")," Old", "")))</f>
        <v/>
      </c>
      <c r="G99" s="16" t="str">
        <f>IF(regexMatch(A99,"[A-Za-z]*_f_.*")," Female", (IF(regexMatch(A99,"[A-Za-z]*_m_.*"), " Male", "")))</f>
        <v xml:space="preserve"> Male</v>
      </c>
      <c r="H99" s="16" t="str">
        <f>IF(regexMatch(A99,".*_([0-9]+$)"), CONCATENATE(" ",VALUE(TRIM(CLEAN(RegexFindGroup(A99,".*_([0-9]*)"))))), "")</f>
        <v xml:space="preserve"> 2</v>
      </c>
      <c r="I99" s="16" t="str">
        <f>IF(regexMatch(A99,"cs_.*")," (CS)", (IF(regexMatch(A99,"ig_.*"), " (IG)", "")))</f>
        <v/>
      </c>
      <c r="J99" s="10" t="str">
        <f t="shared" si="3"/>
        <v>Beach Male 2</v>
      </c>
    </row>
    <row r="100" spans="1:10" x14ac:dyDescent="0.25">
      <c r="A100" s="6" t="s">
        <v>770</v>
      </c>
      <c r="B100" s="6" t="str">
        <f t="shared" si="4"/>
        <v>a_m_y_musclbeac_01</v>
      </c>
      <c r="C100" s="6" t="s">
        <v>771</v>
      </c>
      <c r="D100" s="7" t="str">
        <f>PROPER(C100)</f>
        <v>Musclbeac</v>
      </c>
      <c r="E100" s="4" t="s">
        <v>1352</v>
      </c>
      <c r="F100" s="9"/>
      <c r="G100" s="16" t="str">
        <f>IF(regexMatch(A100,"[A-Za-z]*_f_.*")," Female", (IF(regexMatch(A100,"[A-Za-z]*_m_.*"), " Male", "")))</f>
        <v xml:space="preserve"> Male</v>
      </c>
      <c r="H100" s="16" t="str">
        <f>IF(regexMatch(A100,".*_([0-9]+$)"), CONCATENATE(" ",VALUE(TRIM(CLEAN(RegexFindGroup(A100,".*_([0-9]*)"))))), "")</f>
        <v xml:space="preserve"> 1</v>
      </c>
      <c r="I100" s="16" t="str">
        <f>IF(regexMatch(A100,"cs_.*")," (CS)", (IF(regexMatch(A100,"ig_.*"), " (IG)", "")))</f>
        <v/>
      </c>
      <c r="J100" s="10" t="str">
        <f t="shared" si="3"/>
        <v>Beach Muscle Male</v>
      </c>
    </row>
    <row r="101" spans="1:10" x14ac:dyDescent="0.25">
      <c r="A101" s="6" t="s">
        <v>772</v>
      </c>
      <c r="B101" s="6" t="str">
        <f t="shared" si="4"/>
        <v>a_m_y_musclbeac_02</v>
      </c>
      <c r="C101" s="6" t="s">
        <v>771</v>
      </c>
      <c r="D101" s="7" t="str">
        <f>PROPER(C101)</f>
        <v>Musclbeac</v>
      </c>
      <c r="E101" s="4" t="s">
        <v>1352</v>
      </c>
      <c r="F101" s="9"/>
      <c r="G101" s="16" t="str">
        <f>IF(regexMatch(A101,"[A-Za-z]*_f_.*")," Female", (IF(regexMatch(A101,"[A-Za-z]*_m_.*"), " Male", "")))</f>
        <v xml:space="preserve"> Male</v>
      </c>
      <c r="H101" s="16" t="str">
        <f>IF(regexMatch(A101,".*_([0-9]+$)"), CONCATENATE(" ",VALUE(TRIM(CLEAN(RegexFindGroup(A101,".*_([0-9]*)"))))), "")</f>
        <v xml:space="preserve"> 2</v>
      </c>
      <c r="I101" s="16" t="str">
        <f>IF(regexMatch(A101,"cs_.*")," (CS)", (IF(regexMatch(A101,"ig_.*"), " (IG)", "")))</f>
        <v/>
      </c>
      <c r="J101" s="10" t="str">
        <f t="shared" si="3"/>
        <v>Beach Muscle Male 2</v>
      </c>
    </row>
    <row r="102" spans="1:10" x14ac:dyDescent="0.25">
      <c r="A102" s="6" t="s">
        <v>266</v>
      </c>
      <c r="B102" s="6" t="str">
        <f t="shared" si="4"/>
        <v>a_m_o_beach_01</v>
      </c>
      <c r="C102" s="6" t="s">
        <v>263</v>
      </c>
      <c r="D102" s="7" t="str">
        <f>PROPER(C102)</f>
        <v>Beach</v>
      </c>
      <c r="E102" s="4" t="s">
        <v>1126</v>
      </c>
      <c r="F102" s="9" t="str">
        <f>IF(regexMatch(A102,"[A-Za-z]*_y_.*")," Young",(IF(regexMatch(A102,"[A-Za-z]*_o_.*")," Old", "")))</f>
        <v xml:space="preserve"> Old</v>
      </c>
      <c r="G102" s="16" t="str">
        <f>IF(regexMatch(A102,"[A-Za-z]*_f_.*")," Female", (IF(regexMatch(A102,"[A-Za-z]*_m_.*"), " Male", "")))</f>
        <v xml:space="preserve"> Male</v>
      </c>
      <c r="H102" s="16" t="str">
        <f>IF(regexMatch(A102,".*_([0-9]+$)"), CONCATENATE(" ",VALUE(TRIM(CLEAN(RegexFindGroup(A102,".*_([0-9]*)"))))), "")</f>
        <v xml:space="preserve"> 1</v>
      </c>
      <c r="I102" s="16" t="str">
        <f>IF(regexMatch(A102,"cs_.*")," (CS)", (IF(regexMatch(A102,"ig_.*"), " (IG)", "")))</f>
        <v/>
      </c>
      <c r="J102" s="10" t="str">
        <f t="shared" si="3"/>
        <v>Beach Old Male</v>
      </c>
    </row>
    <row r="103" spans="1:10" x14ac:dyDescent="0.25">
      <c r="A103" s="6" t="s">
        <v>119</v>
      </c>
      <c r="B103" s="6" t="str">
        <f t="shared" si="4"/>
        <v xml:space="preserve">	a_f_m_trampbeac_01</v>
      </c>
      <c r="C103" s="6" t="s">
        <v>118</v>
      </c>
      <c r="D103" s="7" t="str">
        <f>PROPER(C103)</f>
        <v xml:space="preserve">	Trampbeac</v>
      </c>
      <c r="E103" s="4" t="s">
        <v>1242</v>
      </c>
      <c r="F103" s="9" t="str">
        <f>IF(regexMatch(A103,"[A-Za-z]*_y_.*")," Young",(IF(regexMatch(A103,"[A-Za-z]*_o_.*")," Old", "")))</f>
        <v/>
      </c>
      <c r="G103" s="16" t="str">
        <f>IF(regexMatch(A103,"[A-Za-z]*_f_.*")," Female", (IF(regexMatch(A103,"[A-Za-z]*_m_.*"), " Male", "")))</f>
        <v xml:space="preserve"> Female</v>
      </c>
      <c r="H103" s="16" t="str">
        <f>IF(regexMatch(A103,".*_([0-9]+$)"), CONCATENATE(" ",VALUE(TRIM(CLEAN(RegexFindGroup(A103,".*_([0-9]*)"))))), "")</f>
        <v xml:space="preserve"> 1</v>
      </c>
      <c r="I103" s="16" t="str">
        <f>IF(regexMatch(A103,"cs_.*")," (CS)", (IF(regexMatch(A103,"ig_.*"), " (IG)", "")))</f>
        <v/>
      </c>
      <c r="J103" s="10" t="str">
        <f t="shared" si="3"/>
        <v>Beach Tramp Female</v>
      </c>
    </row>
    <row r="104" spans="1:10" x14ac:dyDescent="0.25">
      <c r="A104" s="6" t="s">
        <v>120</v>
      </c>
      <c r="B104" s="6" t="str">
        <f t="shared" si="4"/>
        <v xml:space="preserve">	a_m_m_trampbeac_01</v>
      </c>
      <c r="C104" s="6" t="s">
        <v>118</v>
      </c>
      <c r="D104" s="7" t="str">
        <f>PROPER(C104)</f>
        <v xml:space="preserve">	Trampbeac</v>
      </c>
      <c r="E104" s="4" t="s">
        <v>1242</v>
      </c>
      <c r="F104" s="9" t="str">
        <f>IF(regexMatch(A104,"[A-Za-z]*_y_.*")," Young",(IF(regexMatch(A104,"[A-Za-z]*_o_.*")," Old", "")))</f>
        <v/>
      </c>
      <c r="G104" s="16" t="str">
        <f>IF(regexMatch(A104,"[A-Za-z]*_f_.*")," Female", (IF(regexMatch(A104,"[A-Za-z]*_m_.*"), " Male", "")))</f>
        <v xml:space="preserve"> Male</v>
      </c>
      <c r="H104" s="16" t="str">
        <f>IF(regexMatch(A104,".*_([0-9]+$)"), CONCATENATE(" ",VALUE(TRIM(CLEAN(RegexFindGroup(A104,".*_([0-9]*)"))))), "")</f>
        <v xml:space="preserve"> 1</v>
      </c>
      <c r="I104" s="16" t="str">
        <f>IF(regexMatch(A104,"cs_.*")," (CS)", (IF(regexMatch(A104,"ig_.*"), " (IG)", "")))</f>
        <v/>
      </c>
      <c r="J104" s="10" t="str">
        <f t="shared" si="3"/>
        <v>Beach Tramp Male</v>
      </c>
    </row>
    <row r="105" spans="1:10" x14ac:dyDescent="0.25">
      <c r="A105" s="6" t="s">
        <v>262</v>
      </c>
      <c r="B105" s="6" t="str">
        <f t="shared" si="4"/>
        <v>a_f_y_beach_01</v>
      </c>
      <c r="C105" s="6" t="s">
        <v>263</v>
      </c>
      <c r="D105" s="7" t="str">
        <f>PROPER(C105)</f>
        <v>Beach</v>
      </c>
      <c r="E105" s="4" t="s">
        <v>1126</v>
      </c>
      <c r="F105" s="9" t="str">
        <f>IF(regexMatch(A105,"[A-Za-z]*_y_.*")," Young",(IF(regexMatch(A105,"[A-Za-z]*_o_.*")," Old", "")))</f>
        <v xml:space="preserve"> Young</v>
      </c>
      <c r="G105" s="16" t="str">
        <f>IF(regexMatch(A105,"[A-Za-z]*_f_.*")," Female", (IF(regexMatch(A105,"[A-Za-z]*_m_.*"), " Male", "")))</f>
        <v xml:space="preserve"> Female</v>
      </c>
      <c r="H105" s="16" t="str">
        <f>IF(regexMatch(A105,".*_([0-9]+$)"), CONCATENATE(" ",VALUE(TRIM(CLEAN(RegexFindGroup(A105,".*_([0-9]*)"))))), "")</f>
        <v xml:space="preserve"> 1</v>
      </c>
      <c r="I105" s="16" t="str">
        <f>IF(regexMatch(A105,"cs_.*")," (CS)", (IF(regexMatch(A105,"ig_.*"), " (IG)", "")))</f>
        <v/>
      </c>
      <c r="J105" s="10" t="str">
        <f t="shared" si="3"/>
        <v>Beach Young Female</v>
      </c>
    </row>
    <row r="106" spans="1:10" x14ac:dyDescent="0.25">
      <c r="A106" s="6" t="s">
        <v>267</v>
      </c>
      <c r="B106" s="6" t="str">
        <f t="shared" si="4"/>
        <v>a_m_y_beach_01</v>
      </c>
      <c r="C106" s="6" t="s">
        <v>263</v>
      </c>
      <c r="D106" s="7" t="str">
        <f>PROPER(C106)</f>
        <v>Beach</v>
      </c>
      <c r="E106" s="4" t="s">
        <v>1126</v>
      </c>
      <c r="F106" s="9" t="str">
        <f>IF(regexMatch(A106,"[A-Za-z]*_y_.*")," Young",(IF(regexMatch(A106,"[A-Za-z]*_o_.*")," Old", "")))</f>
        <v xml:space="preserve"> Young</v>
      </c>
      <c r="G106" s="16" t="str">
        <f>IF(regexMatch(A106,"[A-Za-z]*_f_.*")," Female", (IF(regexMatch(A106,"[A-Za-z]*_m_.*"), " Male", "")))</f>
        <v xml:space="preserve"> Male</v>
      </c>
      <c r="H106" s="16" t="str">
        <f>IF(regexMatch(A106,".*_([0-9]+$)"), CONCATENATE(" ",VALUE(TRIM(CLEAN(RegexFindGroup(A106,".*_([0-9]*)"))))), "")</f>
        <v xml:space="preserve"> 1</v>
      </c>
      <c r="I106" s="16" t="str">
        <f>IF(regexMatch(A106,"cs_.*")," (CS)", (IF(regexMatch(A106,"ig_.*"), " (IG)", "")))</f>
        <v/>
      </c>
      <c r="J106" s="10" t="str">
        <f t="shared" si="3"/>
        <v>Beach Young Male</v>
      </c>
    </row>
    <row r="107" spans="1:10" x14ac:dyDescent="0.25">
      <c r="A107" s="6" t="s">
        <v>268</v>
      </c>
      <c r="B107" s="6" t="str">
        <f t="shared" si="4"/>
        <v>a_m_y_beach_02</v>
      </c>
      <c r="C107" s="6" t="s">
        <v>263</v>
      </c>
      <c r="D107" s="7" t="str">
        <f>PROPER(C107)</f>
        <v>Beach</v>
      </c>
      <c r="E107" s="4" t="s">
        <v>1126</v>
      </c>
      <c r="F107" s="9" t="str">
        <f>IF(regexMatch(A107,"[A-Za-z]*_y_.*")," Young",(IF(regexMatch(A107,"[A-Za-z]*_o_.*")," Old", "")))</f>
        <v xml:space="preserve"> Young</v>
      </c>
      <c r="G107" s="16" t="str">
        <f>IF(regexMatch(A107,"[A-Za-z]*_f_.*")," Female", (IF(regexMatch(A107,"[A-Za-z]*_m_.*"), " Male", "")))</f>
        <v xml:space="preserve"> Male</v>
      </c>
      <c r="H107" s="16" t="str">
        <f>IF(regexMatch(A107,".*_([0-9]+$)"), CONCATENATE(" ",VALUE(TRIM(CLEAN(RegexFindGroup(A107,".*_([0-9]*)"))))), "")</f>
        <v xml:space="preserve"> 2</v>
      </c>
      <c r="I107" s="16" t="str">
        <f>IF(regexMatch(A107,"cs_.*")," (CS)", (IF(regexMatch(A107,"ig_.*"), " (IG)", "")))</f>
        <v/>
      </c>
      <c r="J107" s="10" t="str">
        <f t="shared" si="3"/>
        <v>Beach Young Male 2</v>
      </c>
    </row>
    <row r="108" spans="1:10" x14ac:dyDescent="0.25">
      <c r="A108" s="6" t="s">
        <v>16</v>
      </c>
      <c r="B108" s="6" t="str">
        <f t="shared" si="4"/>
        <v xml:space="preserve">	a_m_y_beach_03</v>
      </c>
      <c r="C108" s="6" t="s">
        <v>14</v>
      </c>
      <c r="D108" s="7" t="str">
        <f>PROPER(C108)</f>
        <v xml:space="preserve">	Beach</v>
      </c>
      <c r="E108" s="4" t="s">
        <v>1126</v>
      </c>
      <c r="F108" s="9" t="str">
        <f>IF(regexMatch(A108,"[A-Za-z]*_y_.*")," Young",(IF(regexMatch(A108,"[A-Za-z]*_o_.*")," Old", "")))</f>
        <v xml:space="preserve"> Young</v>
      </c>
      <c r="G108" s="16" t="str">
        <f>IF(regexMatch(A108,"[A-Za-z]*_f_.*")," Female", (IF(regexMatch(A108,"[A-Za-z]*_m_.*"), " Male", "")))</f>
        <v xml:space="preserve"> Male</v>
      </c>
      <c r="H108" s="16" t="str">
        <f>IF(regexMatch(A108,".*_([0-9]+$)"), CONCATENATE(" ",VALUE(TRIM(CLEAN(RegexFindGroup(A108,".*_([0-9]*)"))))), "")</f>
        <v xml:space="preserve"> 3</v>
      </c>
      <c r="I108" s="16" t="str">
        <f>IF(regexMatch(A108,"cs_.*")," (CS)", (IF(regexMatch(A108,"ig_.*"), " (IG)", "")))</f>
        <v/>
      </c>
      <c r="J108" s="10" t="str">
        <f t="shared" si="3"/>
        <v>Beach Young Male 3</v>
      </c>
    </row>
    <row r="109" spans="1:10" x14ac:dyDescent="0.25">
      <c r="A109" s="6" t="s">
        <v>18</v>
      </c>
      <c r="B109" s="6" t="str">
        <f t="shared" si="4"/>
        <v xml:space="preserve">	ig_bestmen</v>
      </c>
      <c r="C109" s="6" t="s">
        <v>17</v>
      </c>
      <c r="D109" s="7" t="str">
        <f>PROPER(C109)</f>
        <v xml:space="preserve">	Bestmen</v>
      </c>
      <c r="E109" s="4" t="s">
        <v>1254</v>
      </c>
      <c r="F109" s="9" t="str">
        <f>IF(regexMatch(A109,"[A-Za-z]*_y_.*")," Young",(IF(regexMatch(A109,"[A-Za-z]*_o_.*")," Old", "")))</f>
        <v/>
      </c>
      <c r="G109" s="16" t="str">
        <f>IF(regexMatch(A109,"[A-Za-z]*_f_.*")," Female", (IF(regexMatch(A109,"[A-Za-z]*_m_.*"), " Male", "")))</f>
        <v/>
      </c>
      <c r="H109" s="16" t="str">
        <f>IF(regexMatch(A109,".*_([0-9]+$)"), CONCATENATE(" ",VALUE(TRIM(CLEAN(RegexFindGroup(A109,".*_([0-9]*)"))))), "")</f>
        <v/>
      </c>
      <c r="I109" s="16" t="str">
        <f>IF(regexMatch(A109,"cs_.*")," (CS)", (IF(regexMatch(A109,"ig_.*"), " (IG)", "")))</f>
        <v xml:space="preserve"> (IG)</v>
      </c>
      <c r="J109" s="10" t="str">
        <f t="shared" si="3"/>
        <v>Best Man (IG)</v>
      </c>
    </row>
    <row r="110" spans="1:10" x14ac:dyDescent="0.25">
      <c r="A110" s="6" t="s">
        <v>272</v>
      </c>
      <c r="B110" s="6" t="str">
        <f t="shared" si="4"/>
        <v>cs_beverly</v>
      </c>
      <c r="C110" s="6" t="s">
        <v>273</v>
      </c>
      <c r="D110" s="7" t="str">
        <f>PROPER(C110)</f>
        <v>Beverly</v>
      </c>
      <c r="E110" s="4" t="s">
        <v>1415</v>
      </c>
      <c r="F110" s="9" t="str">
        <f>IF(regexMatch(A110,"[A-Za-z]*_y_.*")," Young",(IF(regexMatch(A110,"[A-Za-z]*_o_.*")," Old", "")))</f>
        <v/>
      </c>
      <c r="G110" s="16" t="str">
        <f>IF(regexMatch(A110,"[A-Za-z]*_f_.*")," Female", (IF(regexMatch(A110,"[A-Za-z]*_m_.*"), " Male", "")))</f>
        <v/>
      </c>
      <c r="H110" s="16" t="str">
        <f>IF(regexMatch(A110,".*_([0-9]+$)"), CONCATENATE(" ",VALUE(TRIM(CLEAN(RegexFindGroup(A110,".*_([0-9]*)"))))), "")</f>
        <v/>
      </c>
      <c r="I110" s="16" t="str">
        <f>IF(regexMatch(A110,"cs_.*")," (CS)", (IF(regexMatch(A110,"ig_.*"), " (IG)", "")))</f>
        <v xml:space="preserve"> (CS)</v>
      </c>
      <c r="J110" s="10" t="str">
        <f t="shared" si="3"/>
        <v>Beverly Felton (CS)</v>
      </c>
    </row>
    <row r="111" spans="1:10" x14ac:dyDescent="0.25">
      <c r="A111" s="6" t="s">
        <v>274</v>
      </c>
      <c r="B111" s="6" t="str">
        <f t="shared" si="4"/>
        <v>ig_beverly</v>
      </c>
      <c r="C111" s="6" t="s">
        <v>273</v>
      </c>
      <c r="D111" s="7" t="str">
        <f>PROPER(C111)</f>
        <v>Beverly</v>
      </c>
      <c r="E111" s="4" t="s">
        <v>1415</v>
      </c>
      <c r="F111" s="9" t="str">
        <f>IF(regexMatch(A111,"[A-Za-z]*_y_.*")," Young",(IF(regexMatch(A111,"[A-Za-z]*_o_.*")," Old", "")))</f>
        <v/>
      </c>
      <c r="G111" s="16" t="str">
        <f>IF(regexMatch(A111,"[A-Za-z]*_f_.*")," Female", (IF(regexMatch(A111,"[A-Za-z]*_m_.*"), " Male", "")))</f>
        <v/>
      </c>
      <c r="H111" s="16" t="str">
        <f>IF(regexMatch(A111,".*_([0-9]+$)"), CONCATENATE(" ",VALUE(TRIM(CLEAN(RegexFindGroup(A111,".*_([0-9]*)"))))), "")</f>
        <v/>
      </c>
      <c r="I111" s="16" t="str">
        <f>IF(regexMatch(A111,"cs_.*")," (CS)", (IF(regexMatch(A111,"ig_.*"), " (IG)", "")))</f>
        <v xml:space="preserve"> (IG)</v>
      </c>
      <c r="J111" s="10" t="str">
        <f t="shared" si="3"/>
        <v>Beverly Felton (IG)</v>
      </c>
    </row>
    <row r="112" spans="1:10" x14ac:dyDescent="0.25">
      <c r="A112" s="6" t="s">
        <v>275</v>
      </c>
      <c r="B112" s="6" t="str">
        <f t="shared" si="4"/>
        <v>a_f_m_bevhills_01</v>
      </c>
      <c r="C112" s="6" t="s">
        <v>276</v>
      </c>
      <c r="D112" s="7" t="str">
        <f>PROPER(C112)</f>
        <v>Bevhills</v>
      </c>
      <c r="E112" s="4" t="s">
        <v>1245</v>
      </c>
      <c r="F112" s="9" t="str">
        <f>IF(regexMatch(A112,"[A-Za-z]*_y_.*")," Young",(IF(regexMatch(A112,"[A-Za-z]*_o_.*")," Old", "")))</f>
        <v/>
      </c>
      <c r="G112" s="16" t="str">
        <f>IF(regexMatch(A112,"[A-Za-z]*_f_.*")," Female", (IF(regexMatch(A112,"[A-Za-z]*_m_.*"), " Male", "")))</f>
        <v xml:space="preserve"> Female</v>
      </c>
      <c r="H112" s="16" t="str">
        <f>IF(regexMatch(A112,".*_([0-9]+$)"), CONCATENATE(" ",VALUE(TRIM(CLEAN(RegexFindGroup(A112,".*_([0-9]*)"))))), "")</f>
        <v xml:space="preserve"> 1</v>
      </c>
      <c r="I112" s="16" t="str">
        <f>IF(regexMatch(A112,"cs_.*")," (CS)", (IF(regexMatch(A112,"ig_.*"), " (IG)", "")))</f>
        <v/>
      </c>
      <c r="J112" s="10" t="str">
        <f t="shared" si="3"/>
        <v>Beverly Hills Female</v>
      </c>
    </row>
    <row r="113" spans="1:10" x14ac:dyDescent="0.25">
      <c r="A113" s="6" t="s">
        <v>277</v>
      </c>
      <c r="B113" s="6" t="str">
        <f t="shared" si="4"/>
        <v>a_f_m_bevhills_02</v>
      </c>
      <c r="C113" s="6" t="s">
        <v>276</v>
      </c>
      <c r="D113" s="7" t="str">
        <f>PROPER(C113)</f>
        <v>Bevhills</v>
      </c>
      <c r="E113" s="4" t="s">
        <v>1245</v>
      </c>
      <c r="F113" s="9" t="str">
        <f>IF(regexMatch(A113,"[A-Za-z]*_y_.*")," Young",(IF(regexMatch(A113,"[A-Za-z]*_o_.*")," Old", "")))</f>
        <v/>
      </c>
      <c r="G113" s="16" t="str">
        <f>IF(regexMatch(A113,"[A-Za-z]*_f_.*")," Female", (IF(regexMatch(A113,"[A-Za-z]*_m_.*"), " Male", "")))</f>
        <v xml:space="preserve"> Female</v>
      </c>
      <c r="H113" s="16" t="str">
        <f>IF(regexMatch(A113,".*_([0-9]+$)"), CONCATENATE(" ",VALUE(TRIM(CLEAN(RegexFindGroup(A113,".*_([0-9]*)"))))), "")</f>
        <v xml:space="preserve"> 2</v>
      </c>
      <c r="I113" s="16" t="str">
        <f>IF(regexMatch(A113,"cs_.*")," (CS)", (IF(regexMatch(A113,"ig_.*"), " (IG)", "")))</f>
        <v/>
      </c>
      <c r="J113" s="10" t="str">
        <f t="shared" si="3"/>
        <v>Beverly Hills Female 2</v>
      </c>
    </row>
    <row r="114" spans="1:10" x14ac:dyDescent="0.25">
      <c r="A114" s="6" t="s">
        <v>281</v>
      </c>
      <c r="B114" s="6" t="str">
        <f t="shared" si="4"/>
        <v>a_m_m_bevhills_01</v>
      </c>
      <c r="C114" s="6" t="s">
        <v>276</v>
      </c>
      <c r="D114" s="7" t="str">
        <f>PROPER(C114)</f>
        <v>Bevhills</v>
      </c>
      <c r="E114" s="4" t="s">
        <v>1245</v>
      </c>
      <c r="F114" s="9" t="str">
        <f>IF(regexMatch(A114,"[A-Za-z]*_y_.*")," Young",(IF(regexMatch(A114,"[A-Za-z]*_o_.*")," Old", "")))</f>
        <v/>
      </c>
      <c r="G114" s="16" t="str">
        <f>IF(regexMatch(A114,"[A-Za-z]*_f_.*")," Female", (IF(regexMatch(A114,"[A-Za-z]*_m_.*"), " Male", "")))</f>
        <v xml:space="preserve"> Male</v>
      </c>
      <c r="H114" s="16" t="str">
        <f>IF(regexMatch(A114,".*_([0-9]+$)"), CONCATENATE(" ",VALUE(TRIM(CLEAN(RegexFindGroup(A114,".*_([0-9]*)"))))), "")</f>
        <v xml:space="preserve"> 1</v>
      </c>
      <c r="I114" s="16" t="str">
        <f>IF(regexMatch(A114,"cs_.*")," (CS)", (IF(regexMatch(A114,"ig_.*"), " (IG)", "")))</f>
        <v/>
      </c>
      <c r="J114" s="10" t="str">
        <f t="shared" si="3"/>
        <v>Beverly Hills Male</v>
      </c>
    </row>
    <row r="115" spans="1:10" x14ac:dyDescent="0.25">
      <c r="A115" s="6" t="s">
        <v>282</v>
      </c>
      <c r="B115" s="6" t="str">
        <f t="shared" si="4"/>
        <v>a_m_m_bevhills_02</v>
      </c>
      <c r="C115" s="6" t="s">
        <v>276</v>
      </c>
      <c r="D115" s="7" t="str">
        <f>PROPER(C115)</f>
        <v>Bevhills</v>
      </c>
      <c r="E115" s="4" t="s">
        <v>1245</v>
      </c>
      <c r="F115" s="9" t="str">
        <f>IF(regexMatch(A115,"[A-Za-z]*_y_.*")," Young",(IF(regexMatch(A115,"[A-Za-z]*_o_.*")," Old", "")))</f>
        <v/>
      </c>
      <c r="G115" s="16" t="str">
        <f>IF(regexMatch(A115,"[A-Za-z]*_f_.*")," Female", (IF(regexMatch(A115,"[A-Za-z]*_m_.*"), " Male", "")))</f>
        <v xml:space="preserve"> Male</v>
      </c>
      <c r="H115" s="16" t="str">
        <f>IF(regexMatch(A115,".*_([0-9]+$)"), CONCATENATE(" ",VALUE(TRIM(CLEAN(RegexFindGroup(A115,".*_([0-9]*)"))))), "")</f>
        <v xml:space="preserve"> 2</v>
      </c>
      <c r="I115" s="16" t="str">
        <f>IF(regexMatch(A115,"cs_.*")," (CS)", (IF(regexMatch(A115,"ig_.*"), " (IG)", "")))</f>
        <v/>
      </c>
      <c r="J115" s="10" t="str">
        <f t="shared" si="3"/>
        <v>Beverly Hills Male 2</v>
      </c>
    </row>
    <row r="116" spans="1:10" x14ac:dyDescent="0.25">
      <c r="A116" s="6" t="s">
        <v>278</v>
      </c>
      <c r="B116" s="6" t="str">
        <f t="shared" si="4"/>
        <v>a_f_y_bevhills_01</v>
      </c>
      <c r="C116" s="6" t="s">
        <v>276</v>
      </c>
      <c r="D116" s="7" t="str">
        <f>PROPER(C116)</f>
        <v>Bevhills</v>
      </c>
      <c r="E116" s="4" t="s">
        <v>1245</v>
      </c>
      <c r="F116" s="9" t="str">
        <f>IF(regexMatch(A116,"[A-Za-z]*_y_.*")," Young",(IF(regexMatch(A116,"[A-Za-z]*_o_.*")," Old", "")))</f>
        <v xml:space="preserve"> Young</v>
      </c>
      <c r="G116" s="16" t="str">
        <f>IF(regexMatch(A116,"[A-Za-z]*_f_.*")," Female", (IF(regexMatch(A116,"[A-Za-z]*_m_.*"), " Male", "")))</f>
        <v xml:space="preserve"> Female</v>
      </c>
      <c r="H116" s="16" t="str">
        <f>IF(regexMatch(A116,".*_([0-9]+$)"), CONCATENATE(" ",VALUE(TRIM(CLEAN(RegexFindGroup(A116,".*_([0-9]*)"))))), "")</f>
        <v xml:space="preserve"> 1</v>
      </c>
      <c r="I116" s="16" t="str">
        <f>IF(regexMatch(A116,"cs_.*")," (CS)", (IF(regexMatch(A116,"ig_.*"), " (IG)", "")))</f>
        <v/>
      </c>
      <c r="J116" s="10" t="str">
        <f t="shared" si="3"/>
        <v>Beverly Hills Young Female</v>
      </c>
    </row>
    <row r="117" spans="1:10" x14ac:dyDescent="0.25">
      <c r="A117" s="6" t="s">
        <v>20</v>
      </c>
      <c r="B117" s="6" t="str">
        <f t="shared" si="4"/>
        <v xml:space="preserve">	a_f_y_bevhills_02</v>
      </c>
      <c r="C117" s="6" t="s">
        <v>19</v>
      </c>
      <c r="D117" s="7" t="str">
        <f>PROPER(C117)</f>
        <v xml:space="preserve">	Bevhills</v>
      </c>
      <c r="E117" s="4" t="s">
        <v>1245</v>
      </c>
      <c r="F117" s="9" t="str">
        <f>IF(regexMatch(A117,"[A-Za-z]*_y_.*")," Young",(IF(regexMatch(A117,"[A-Za-z]*_o_.*")," Old", "")))</f>
        <v xml:space="preserve"> Young</v>
      </c>
      <c r="G117" s="16" t="str">
        <f>IF(regexMatch(A117,"[A-Za-z]*_f_.*")," Female", (IF(regexMatch(A117,"[A-Za-z]*_m_.*"), " Male", "")))</f>
        <v xml:space="preserve"> Female</v>
      </c>
      <c r="H117" s="16" t="str">
        <f>IF(regexMatch(A117,".*_([0-9]+$)"), CONCATENATE(" ",VALUE(TRIM(CLEAN(RegexFindGroup(A117,".*_([0-9]*)"))))), "")</f>
        <v xml:space="preserve"> 2</v>
      </c>
      <c r="I117" s="16" t="str">
        <f>IF(regexMatch(A117,"cs_.*")," (CS)", (IF(regexMatch(A117,"ig_.*"), " (IG)", "")))</f>
        <v/>
      </c>
      <c r="J117" s="10" t="str">
        <f t="shared" si="3"/>
        <v>Beverly Hills Young Female 2</v>
      </c>
    </row>
    <row r="118" spans="1:10" x14ac:dyDescent="0.25">
      <c r="A118" s="6" t="s">
        <v>279</v>
      </c>
      <c r="B118" s="6" t="str">
        <f t="shared" si="4"/>
        <v>a_f_y_bevhills_03</v>
      </c>
      <c r="C118" s="6" t="s">
        <v>276</v>
      </c>
      <c r="D118" s="7" t="str">
        <f>PROPER(C118)</f>
        <v>Bevhills</v>
      </c>
      <c r="E118" s="4" t="s">
        <v>1245</v>
      </c>
      <c r="F118" s="9" t="str">
        <f>IF(regexMatch(A118,"[A-Za-z]*_y_.*")," Young",(IF(regexMatch(A118,"[A-Za-z]*_o_.*")," Old", "")))</f>
        <v xml:space="preserve"> Young</v>
      </c>
      <c r="G118" s="16" t="str">
        <f>IF(regexMatch(A118,"[A-Za-z]*_f_.*")," Female", (IF(regexMatch(A118,"[A-Za-z]*_m_.*"), " Male", "")))</f>
        <v xml:space="preserve"> Female</v>
      </c>
      <c r="H118" s="16" t="str">
        <f>IF(regexMatch(A118,".*_([0-9]+$)"), CONCATENATE(" ",VALUE(TRIM(CLEAN(RegexFindGroup(A118,".*_([0-9]*)"))))), "")</f>
        <v xml:space="preserve"> 3</v>
      </c>
      <c r="I118" s="16" t="str">
        <f>IF(regexMatch(A118,"cs_.*")," (CS)", (IF(regexMatch(A118,"ig_.*"), " (IG)", "")))</f>
        <v/>
      </c>
      <c r="J118" s="10" t="str">
        <f t="shared" si="3"/>
        <v>Beverly Hills Young Female 3</v>
      </c>
    </row>
    <row r="119" spans="1:10" x14ac:dyDescent="0.25">
      <c r="A119" s="6" t="s">
        <v>280</v>
      </c>
      <c r="B119" s="6" t="str">
        <f t="shared" si="4"/>
        <v>a_f_y_bevhills_04</v>
      </c>
      <c r="C119" s="6" t="s">
        <v>276</v>
      </c>
      <c r="D119" s="7" t="str">
        <f>PROPER(C119)</f>
        <v>Bevhills</v>
      </c>
      <c r="E119" s="4" t="s">
        <v>1245</v>
      </c>
      <c r="F119" s="9" t="str">
        <f>IF(regexMatch(A119,"[A-Za-z]*_y_.*")," Young",(IF(regexMatch(A119,"[A-Za-z]*_o_.*")," Old", "")))</f>
        <v xml:space="preserve"> Young</v>
      </c>
      <c r="G119" s="16" t="str">
        <f>IF(regexMatch(A119,"[A-Za-z]*_f_.*")," Female", (IF(regexMatch(A119,"[A-Za-z]*_m_.*"), " Male", "")))</f>
        <v xml:space="preserve"> Female</v>
      </c>
      <c r="H119" s="16" t="str">
        <f>IF(regexMatch(A119,".*_([0-9]+$)"), CONCATENATE(" ",VALUE(TRIM(CLEAN(RegexFindGroup(A119,".*_([0-9]*)"))))), "")</f>
        <v xml:space="preserve"> 4</v>
      </c>
      <c r="I119" s="16" t="str">
        <f>IF(regexMatch(A119,"cs_.*")," (CS)", (IF(regexMatch(A119,"ig_.*"), " (IG)", "")))</f>
        <v/>
      </c>
      <c r="J119" s="10" t="str">
        <f t="shared" si="3"/>
        <v>Beverly Hills Young Female 4</v>
      </c>
    </row>
    <row r="120" spans="1:10" x14ac:dyDescent="0.25">
      <c r="A120" s="6" t="s">
        <v>283</v>
      </c>
      <c r="B120" s="6" t="str">
        <f t="shared" si="4"/>
        <v>a_m_y_bevhills_01</v>
      </c>
      <c r="C120" s="6" t="s">
        <v>276</v>
      </c>
      <c r="D120" s="7" t="str">
        <f>PROPER(C120)</f>
        <v>Bevhills</v>
      </c>
      <c r="E120" s="4" t="s">
        <v>1245</v>
      </c>
      <c r="F120" s="9" t="str">
        <f>IF(regexMatch(A120,"[A-Za-z]*_y_.*")," Young",(IF(regexMatch(A120,"[A-Za-z]*_o_.*")," Old", "")))</f>
        <v xml:space="preserve"> Young</v>
      </c>
      <c r="G120" s="16" t="str">
        <f>IF(regexMatch(A120,"[A-Za-z]*_f_.*")," Female", (IF(regexMatch(A120,"[A-Za-z]*_m_.*"), " Male", "")))</f>
        <v xml:space="preserve"> Male</v>
      </c>
      <c r="H120" s="16" t="str">
        <f>IF(regexMatch(A120,".*_([0-9]+$)"), CONCATENATE(" ",VALUE(TRIM(CLEAN(RegexFindGroup(A120,".*_([0-9]*)"))))), "")</f>
        <v xml:space="preserve"> 1</v>
      </c>
      <c r="I120" s="16" t="str">
        <f>IF(regexMatch(A120,"cs_.*")," (CS)", (IF(regexMatch(A120,"ig_.*"), " (IG)", "")))</f>
        <v/>
      </c>
      <c r="J120" s="10" t="str">
        <f t="shared" si="3"/>
        <v>Beverly Hills Young Male</v>
      </c>
    </row>
    <row r="121" spans="1:10" x14ac:dyDescent="0.25">
      <c r="A121" s="6" t="s">
        <v>284</v>
      </c>
      <c r="B121" s="6" t="str">
        <f t="shared" si="4"/>
        <v>a_m_y_bevhills_02</v>
      </c>
      <c r="C121" s="6" t="s">
        <v>276</v>
      </c>
      <c r="D121" s="7" t="str">
        <f>PROPER(C121)</f>
        <v>Bevhills</v>
      </c>
      <c r="E121" s="4" t="s">
        <v>1245</v>
      </c>
      <c r="F121" s="9" t="str">
        <f>IF(regexMatch(A121,"[A-Za-z]*_y_.*")," Young",(IF(regexMatch(A121,"[A-Za-z]*_o_.*")," Old", "")))</f>
        <v xml:space="preserve"> Young</v>
      </c>
      <c r="G121" s="16" t="str">
        <f>IF(regexMatch(A121,"[A-Za-z]*_f_.*")," Female", (IF(regexMatch(A121,"[A-Za-z]*_m_.*"), " Male", "")))</f>
        <v xml:space="preserve"> Male</v>
      </c>
      <c r="H121" s="16" t="str">
        <f>IF(regexMatch(A121,".*_([0-9]+$)"), CONCATENATE(" ",VALUE(TRIM(CLEAN(RegexFindGroup(A121,".*_([0-9]*)"))))), "")</f>
        <v xml:space="preserve"> 2</v>
      </c>
      <c r="I121" s="16" t="str">
        <f>IF(regexMatch(A121,"cs_.*")," (CS)", (IF(regexMatch(A121,"ig_.*"), " (IG)", "")))</f>
        <v/>
      </c>
      <c r="J121" s="10" t="str">
        <f t="shared" si="3"/>
        <v>Beverly Hills Young Male 2</v>
      </c>
    </row>
    <row r="122" spans="1:10" x14ac:dyDescent="0.25">
      <c r="A122" s="6" t="s">
        <v>797</v>
      </c>
      <c r="B122" s="6" t="str">
        <f t="shared" si="4"/>
        <v>cs_orleans</v>
      </c>
      <c r="C122" s="6" t="s">
        <v>798</v>
      </c>
      <c r="D122" s="7" t="str">
        <f>PROPER(C122)</f>
        <v>Orleans</v>
      </c>
      <c r="E122" s="4" t="s">
        <v>1386</v>
      </c>
      <c r="F122" s="9" t="str">
        <f>IF(regexMatch(A122,"[A-Za-z]*_y_.*")," Young",(IF(regexMatch(A122,"[A-Za-z]*_o_.*")," Old", "")))</f>
        <v/>
      </c>
      <c r="G122" s="16" t="str">
        <f>IF(regexMatch(A122,"[A-Za-z]*_f_.*")," Female", (IF(regexMatch(A122,"[A-Za-z]*_m_.*"), " Male", "")))</f>
        <v/>
      </c>
      <c r="H122" s="16" t="str">
        <f>IF(regexMatch(A122,".*_([0-9]+$)"), CONCATENATE(" ",VALUE(TRIM(CLEAN(RegexFindGroup(A122,".*_([0-9]*)"))))), "")</f>
        <v/>
      </c>
      <c r="I122" s="16" t="str">
        <f>IF(regexMatch(A122,"cs_.*")," (CS)", (IF(regexMatch(A122,"ig_.*"), " (IG)", "")))</f>
        <v xml:space="preserve"> (CS)</v>
      </c>
      <c r="J122" s="10" t="str">
        <f t="shared" si="3"/>
        <v>Bigfoot (CS)</v>
      </c>
    </row>
    <row r="123" spans="1:10" x14ac:dyDescent="0.25">
      <c r="A123" s="6" t="s">
        <v>85</v>
      </c>
      <c r="B123" s="6" t="str">
        <f t="shared" si="4"/>
        <v xml:space="preserve">	ig_orleans</v>
      </c>
      <c r="C123" s="6" t="s">
        <v>84</v>
      </c>
      <c r="D123" s="7" t="str">
        <f>PROPER(C123)</f>
        <v xml:space="preserve">	Orleans</v>
      </c>
      <c r="E123" s="4" t="s">
        <v>1386</v>
      </c>
      <c r="F123" s="9" t="str">
        <f>IF(regexMatch(A123,"[A-Za-z]*_y_.*")," Young",(IF(regexMatch(A123,"[A-Za-z]*_o_.*")," Old", "")))</f>
        <v/>
      </c>
      <c r="G123" s="16" t="str">
        <f>IF(regexMatch(A123,"[A-Za-z]*_f_.*")," Female", (IF(regexMatch(A123,"[A-Za-z]*_m_.*"), " Male", "")))</f>
        <v/>
      </c>
      <c r="H123" s="16" t="str">
        <f>IF(regexMatch(A123,".*_([0-9]+$)"), CONCATENATE(" ",VALUE(TRIM(CLEAN(RegexFindGroup(A123,".*_([0-9]*)"))))), "")</f>
        <v/>
      </c>
      <c r="I123" s="16" t="str">
        <f>IF(regexMatch(A123,"cs_.*")," (CS)", (IF(regexMatch(A123,"ig_.*"), " (IG)", "")))</f>
        <v xml:space="preserve"> (IG)</v>
      </c>
      <c r="J123" s="10" t="str">
        <f t="shared" si="3"/>
        <v>Bigfoot (IG)</v>
      </c>
    </row>
    <row r="124" spans="1:10" x14ac:dyDescent="0.25">
      <c r="A124" s="6" t="s">
        <v>285</v>
      </c>
      <c r="B124" s="6" t="str">
        <f t="shared" si="4"/>
        <v>u_m_m_bikehire_01</v>
      </c>
      <c r="C124" s="6" t="s">
        <v>286</v>
      </c>
      <c r="D124" s="7" t="str">
        <f>PROPER(C124)</f>
        <v>Bikehire</v>
      </c>
      <c r="E124" s="4" t="s">
        <v>1434</v>
      </c>
      <c r="F124" s="9" t="str">
        <f>IF(regexMatch(A124,"[A-Za-z]*_y_.*")," Young",(IF(regexMatch(A124,"[A-Za-z]*_o_.*")," Old", "")))</f>
        <v/>
      </c>
      <c r="G124" s="16"/>
      <c r="H124" s="16" t="str">
        <f>IF(regexMatch(A124,".*_([0-9]+$)"), CONCATENATE(" ",VALUE(TRIM(CLEAN(RegexFindGroup(A124,".*_([0-9]*)"))))), "")</f>
        <v xml:space="preserve"> 1</v>
      </c>
      <c r="I124" s="16" t="str">
        <f>IF(regexMatch(A124,"cs_.*")," (CS)", (IF(regexMatch(A124,"ig_.*"), " (IG)", "")))</f>
        <v/>
      </c>
      <c r="J124" s="10" t="str">
        <f t="shared" si="3"/>
        <v>Bike Hire Guy</v>
      </c>
    </row>
    <row r="125" spans="1:10" x14ac:dyDescent="0.25">
      <c r="A125" s="6" t="s">
        <v>287</v>
      </c>
      <c r="B125" s="6" t="str">
        <f t="shared" si="4"/>
        <v>u_f_y_bikerchic</v>
      </c>
      <c r="C125" s="6" t="s">
        <v>288</v>
      </c>
      <c r="D125" s="7" t="str">
        <f>PROPER(C125)</f>
        <v>Bikerchic</v>
      </c>
      <c r="E125" s="4" t="s">
        <v>1411</v>
      </c>
      <c r="F125" s="9"/>
      <c r="G125" s="16" t="str">
        <f>IF(regexMatch(A125,"[A-Za-z]*_f_.*")," Female", (IF(regexMatch(A125,"[A-Za-z]*_m_.*"), " Male", "")))</f>
        <v xml:space="preserve"> Female</v>
      </c>
      <c r="H125" s="16" t="str">
        <f>IF(regexMatch(A125,".*_([0-9]+$)"), CONCATENATE(" ",VALUE(TRIM(CLEAN(RegexFindGroup(A125,".*_([0-9]*)"))))), "")</f>
        <v/>
      </c>
      <c r="I125" s="16" t="str">
        <f>IF(regexMatch(A125,"cs_.*")," (CS)", (IF(regexMatch(A125,"ig_.*"), " (IG)", "")))</f>
        <v/>
      </c>
      <c r="J125" s="10" t="str">
        <f t="shared" si="3"/>
        <v>Biker Chic Female</v>
      </c>
    </row>
    <row r="126" spans="1:10" x14ac:dyDescent="0.25">
      <c r="A126" s="6" t="s">
        <v>289</v>
      </c>
      <c r="B126" s="6" t="str">
        <f t="shared" si="4"/>
        <v>s_m_y_blackops_01</v>
      </c>
      <c r="C126" s="6" t="s">
        <v>290</v>
      </c>
      <c r="D126" s="7" t="str">
        <f>PROPER(C126)</f>
        <v>Blackops</v>
      </c>
      <c r="E126" s="4" t="s">
        <v>1410</v>
      </c>
      <c r="F126" s="9"/>
      <c r="G126" s="16"/>
      <c r="H126" s="16" t="str">
        <f>IF(regexMatch(A126,".*_([0-9]+$)"), CONCATENATE(" ",VALUE(TRIM(CLEAN(RegexFindGroup(A126,".*_([0-9]*)"))))), "")</f>
        <v xml:space="preserve"> 1</v>
      </c>
      <c r="I126" s="16" t="str">
        <f>IF(regexMatch(A126,"cs_.*")," (CS)", (IF(regexMatch(A126,"ig_.*"), " (IG)", "")))</f>
        <v/>
      </c>
      <c r="J126" s="10" t="str">
        <f t="shared" si="3"/>
        <v>Black Ops Soldier</v>
      </c>
    </row>
    <row r="127" spans="1:10" x14ac:dyDescent="0.25">
      <c r="A127" s="6" t="s">
        <v>291</v>
      </c>
      <c r="B127" s="6" t="str">
        <f t="shared" si="4"/>
        <v>s_m_y_blackops_02</v>
      </c>
      <c r="C127" s="6" t="s">
        <v>290</v>
      </c>
      <c r="D127" s="7" t="str">
        <f>PROPER(C127)</f>
        <v>Blackops</v>
      </c>
      <c r="E127" s="4" t="s">
        <v>1410</v>
      </c>
      <c r="F127" s="9"/>
      <c r="G127" s="16"/>
      <c r="H127" s="16" t="str">
        <f>IF(regexMatch(A127,".*_([0-9]+$)"), CONCATENATE(" ",VALUE(TRIM(CLEAN(RegexFindGroup(A127,".*_([0-9]*)"))))), "")</f>
        <v xml:space="preserve"> 2</v>
      </c>
      <c r="I127" s="16" t="str">
        <f>IF(regexMatch(A127,"cs_.*")," (CS)", (IF(regexMatch(A127,"ig_.*"), " (IG)", "")))</f>
        <v/>
      </c>
      <c r="J127" s="10" t="str">
        <f t="shared" si="3"/>
        <v>Black Ops Soldier 2</v>
      </c>
    </row>
    <row r="128" spans="1:10" x14ac:dyDescent="0.25">
      <c r="A128" s="1" t="s">
        <v>1522</v>
      </c>
      <c r="B128" s="6" t="str">
        <f t="shared" si="4"/>
        <v>s_m_y_blackops_03</v>
      </c>
      <c r="E128" s="2" t="s">
        <v>1410</v>
      </c>
      <c r="H128" s="16" t="str">
        <f>IF(regexMatch(A128,".*_([0-9]+$)"), CONCATENATE(" ",VALUE(TRIM(CLEAN(RegexFindGroup(A128,".*_([0-9]*)"))))), "")</f>
        <v xml:space="preserve"> 3</v>
      </c>
      <c r="J128" s="10" t="str">
        <f t="shared" si="3"/>
        <v>Black Ops Soldier 3</v>
      </c>
    </row>
    <row r="129" spans="1:10" x14ac:dyDescent="0.25">
      <c r="A129" s="6" t="s">
        <v>969</v>
      </c>
      <c r="B129" s="6" t="str">
        <f t="shared" si="4"/>
        <v>a_m_y_stbla_01</v>
      </c>
      <c r="C129" s="6" t="s">
        <v>970</v>
      </c>
      <c r="D129" s="7" t="str">
        <f>PROPER(C129)</f>
        <v>Stbla</v>
      </c>
      <c r="E129" s="4" t="s">
        <v>1353</v>
      </c>
      <c r="F129" s="9"/>
      <c r="G129" s="16" t="str">
        <f>IF(regexMatch(A129,"[A-Za-z]*_f_.*")," Female", (IF(regexMatch(A129,"[A-Za-z]*_m_.*"), " Male", "")))</f>
        <v xml:space="preserve"> Male</v>
      </c>
      <c r="H129" s="16" t="str">
        <f>IF(regexMatch(A129,".*_([0-9]+$)"), CONCATENATE(" ",VALUE(TRIM(CLEAN(RegexFindGroup(A129,".*_([0-9]*)"))))), "")</f>
        <v xml:space="preserve"> 1</v>
      </c>
      <c r="I129" s="16" t="str">
        <f>IF(regexMatch(A129,"cs_.*")," (CS)", (IF(regexMatch(A129,"ig_.*"), " (IG)", "")))</f>
        <v/>
      </c>
      <c r="J129" s="10" t="str">
        <f t="shared" si="3"/>
        <v>Black Street Male</v>
      </c>
    </row>
    <row r="130" spans="1:10" x14ac:dyDescent="0.25">
      <c r="A130" s="6" t="s">
        <v>107</v>
      </c>
      <c r="B130" s="6" t="str">
        <f t="shared" si="4"/>
        <v xml:space="preserve">	a_m_y_stbla_02</v>
      </c>
      <c r="C130" s="6" t="s">
        <v>106</v>
      </c>
      <c r="D130" s="7" t="str">
        <f>PROPER(C130)</f>
        <v xml:space="preserve">	Stbla</v>
      </c>
      <c r="E130" s="4" t="s">
        <v>1353</v>
      </c>
      <c r="F130" s="9"/>
      <c r="G130" s="16" t="str">
        <f>IF(regexMatch(A130,"[A-Za-z]*_f_.*")," Female", (IF(regexMatch(A130,"[A-Za-z]*_m_.*"), " Male", "")))</f>
        <v xml:space="preserve"> Male</v>
      </c>
      <c r="H130" s="16" t="str">
        <f>IF(regexMatch(A130,".*_([0-9]+$)"), CONCATENATE(" ",VALUE(TRIM(CLEAN(RegexFindGroup(A130,".*_([0-9]*)"))))), "")</f>
        <v xml:space="preserve"> 2</v>
      </c>
      <c r="I130" s="16" t="str">
        <f>IF(regexMatch(A130,"cs_.*")," (CS)", (IF(regexMatch(A130,"ig_.*"), " (IG)", "")))</f>
        <v/>
      </c>
      <c r="J130" s="10" t="str">
        <f t="shared" si="3"/>
        <v>Black Street Male 2</v>
      </c>
    </row>
    <row r="131" spans="1:10" x14ac:dyDescent="0.25">
      <c r="A131" s="6" t="s">
        <v>292</v>
      </c>
      <c r="B131" s="6" t="str">
        <f t="shared" si="4"/>
        <v>a_f_m_bodybuild_01</v>
      </c>
      <c r="C131" s="6" t="s">
        <v>293</v>
      </c>
      <c r="D131" s="7" t="str">
        <f>PROPER(C131)</f>
        <v>Bodybuild</v>
      </c>
      <c r="E131" s="4" t="s">
        <v>1299</v>
      </c>
      <c r="F131" s="9" t="str">
        <f>IF(regexMatch(A131,"[A-Za-z]*_y_.*")," Young",(IF(regexMatch(A131,"[A-Za-z]*_o_.*")," Old", "")))</f>
        <v/>
      </c>
      <c r="G131" s="16" t="str">
        <f>IF(regexMatch(A131,"[A-Za-z]*_f_.*")," Female", (IF(regexMatch(A131,"[A-Za-z]*_m_.*"), " Male", "")))</f>
        <v xml:space="preserve"> Female</v>
      </c>
      <c r="H131" s="16" t="str">
        <f>IF(regexMatch(A131,".*_([0-9]+$)"), CONCATENATE(" ",VALUE(TRIM(CLEAN(RegexFindGroup(A131,".*_([0-9]*)"))))), "")</f>
        <v xml:space="preserve"> 1</v>
      </c>
      <c r="I131" s="16" t="str">
        <f>IF(regexMatch(A131,"cs_.*")," (CS)", (IF(regexMatch(A131,"ig_.*"), " (IG)", "")))</f>
        <v/>
      </c>
      <c r="J131" s="10" t="str">
        <f t="shared" ref="J131:J194" si="5">TRIM(CONCATENATE(E131,F131,G131,IF(H131=" 1","",H131),I131))</f>
        <v>Bodybuilder Female</v>
      </c>
    </row>
    <row r="132" spans="1:10" x14ac:dyDescent="0.25">
      <c r="A132" s="6" t="s">
        <v>294</v>
      </c>
      <c r="B132" s="6" t="str">
        <f t="shared" ref="B132:B195" si="6">TRIM(A132)</f>
        <v>s_m_m_bouncer_01</v>
      </c>
      <c r="C132" s="6" t="s">
        <v>295</v>
      </c>
      <c r="D132" s="7" t="str">
        <f>PROPER(C132)</f>
        <v>Bouncer</v>
      </c>
      <c r="E132" s="4" t="s">
        <v>1127</v>
      </c>
      <c r="F132" s="9" t="str">
        <f>IF(regexMatch(A132,"[A-Za-z]*_y_.*")," Young",(IF(regexMatch(A132,"[A-Za-z]*_o_.*")," Old", "")))</f>
        <v/>
      </c>
      <c r="G132" s="16"/>
      <c r="H132" s="16" t="str">
        <f>IF(regexMatch(A132,".*_([0-9]+$)"), CONCATENATE(" ",VALUE(TRIM(CLEAN(RegexFindGroup(A132,".*_([0-9]*)"))))), "")</f>
        <v xml:space="preserve"> 1</v>
      </c>
      <c r="I132" s="16" t="str">
        <f>IF(regexMatch(A132,"cs_.*")," (CS)", (IF(regexMatch(A132,"ig_.*"), " (IG)", "")))</f>
        <v/>
      </c>
      <c r="J132" s="10" t="str">
        <f t="shared" si="5"/>
        <v>Bouncer</v>
      </c>
    </row>
    <row r="133" spans="1:10" x14ac:dyDescent="0.25">
      <c r="A133" s="6" t="s">
        <v>296</v>
      </c>
      <c r="B133" s="6" t="str">
        <f t="shared" si="6"/>
        <v>cs_brad</v>
      </c>
      <c r="C133" s="6" t="s">
        <v>297</v>
      </c>
      <c r="D133" s="7" t="str">
        <f>PROPER(C133)</f>
        <v>Brad</v>
      </c>
      <c r="E133" s="4" t="s">
        <v>1128</v>
      </c>
      <c r="F133" s="9" t="str">
        <f>IF(regexMatch(A133,"[A-Za-z]*_y_.*")," Young",(IF(regexMatch(A133,"[A-Za-z]*_o_.*")," Old", "")))</f>
        <v/>
      </c>
      <c r="G133" s="16" t="str">
        <f>IF(regexMatch(A133,"[A-Za-z]*_f_.*")," Female", (IF(regexMatch(A133,"[A-Za-z]*_m_.*"), " Male", "")))</f>
        <v/>
      </c>
      <c r="H133" s="16" t="str">
        <f>IF(regexMatch(A133,".*_([0-9]+$)"), CONCATENATE(" ",VALUE(TRIM(CLEAN(RegexFindGroup(A133,".*_([0-9]*)"))))), "")</f>
        <v/>
      </c>
      <c r="I133" s="16" t="str">
        <f>IF(regexMatch(A133,"cs_.*")," (CS)", (IF(regexMatch(A133,"ig_.*"), " (IG)", "")))</f>
        <v xml:space="preserve"> (CS)</v>
      </c>
      <c r="J133" s="10" t="str">
        <f t="shared" si="5"/>
        <v>Brad (CS)</v>
      </c>
    </row>
    <row r="134" spans="1:10" x14ac:dyDescent="0.25">
      <c r="A134" s="6" t="s">
        <v>298</v>
      </c>
      <c r="B134" s="6" t="str">
        <f t="shared" si="6"/>
        <v>ig_brad</v>
      </c>
      <c r="C134" s="6" t="s">
        <v>297</v>
      </c>
      <c r="D134" s="7" t="str">
        <f>PROPER(C134)</f>
        <v>Brad</v>
      </c>
      <c r="E134" s="4" t="s">
        <v>1128</v>
      </c>
      <c r="F134" s="9" t="str">
        <f>IF(regexMatch(A134,"[A-Za-z]*_y_.*")," Young",(IF(regexMatch(A134,"[A-Za-z]*_o_.*")," Old", "")))</f>
        <v/>
      </c>
      <c r="G134" s="16" t="str">
        <f>IF(regexMatch(A134,"[A-Za-z]*_f_.*")," Female", (IF(regexMatch(A134,"[A-Za-z]*_m_.*"), " Male", "")))</f>
        <v/>
      </c>
      <c r="H134" s="16" t="str">
        <f>IF(regexMatch(A134,".*_([0-9]+$)"), CONCATENATE(" ",VALUE(TRIM(CLEAN(RegexFindGroup(A134,".*_([0-9]*)"))))), "")</f>
        <v/>
      </c>
      <c r="I134" s="16" t="str">
        <f>IF(regexMatch(A134,"cs_.*")," (CS)", (IF(regexMatch(A134,"ig_.*"), " (IG)", "")))</f>
        <v xml:space="preserve"> (IG)</v>
      </c>
      <c r="J134" s="10" t="str">
        <f t="shared" si="5"/>
        <v>Brad (IG)</v>
      </c>
    </row>
    <row r="135" spans="1:10" x14ac:dyDescent="0.25">
      <c r="A135" s="6" t="s">
        <v>299</v>
      </c>
      <c r="B135" s="6" t="str">
        <f t="shared" si="6"/>
        <v>cs_bradcadaver</v>
      </c>
      <c r="C135" s="6" t="s">
        <v>300</v>
      </c>
      <c r="D135" s="7" t="str">
        <f>PROPER(C135)</f>
        <v>Bradcadaver</v>
      </c>
      <c r="E135" s="4" t="s">
        <v>1412</v>
      </c>
      <c r="F135" s="9" t="str">
        <f>IF(regexMatch(A135,"[A-Za-z]*_y_.*")," Young",(IF(regexMatch(A135,"[A-Za-z]*_o_.*")," Old", "")))</f>
        <v/>
      </c>
      <c r="G135" s="16" t="str">
        <f>IF(regexMatch(A135,"[A-Za-z]*_f_.*")," Female", (IF(regexMatch(A135,"[A-Za-z]*_m_.*"), " Male", "")))</f>
        <v/>
      </c>
      <c r="H135" s="16" t="str">
        <f>IF(regexMatch(A135,".*_([0-9]+$)"), CONCATENATE(" ",VALUE(TRIM(CLEAN(RegexFindGroup(A135,".*_([0-9]*)"))))), "")</f>
        <v/>
      </c>
      <c r="I135" s="16" t="str">
        <f>IF(regexMatch(A135,"cs_.*")," (CS)", (IF(regexMatch(A135,"ig_.*"), " (IG)", "")))</f>
        <v xml:space="preserve"> (CS)</v>
      </c>
      <c r="J135" s="10" t="str">
        <f t="shared" si="5"/>
        <v>Brad's Cadaver (CS)</v>
      </c>
    </row>
    <row r="136" spans="1:10" x14ac:dyDescent="0.25">
      <c r="A136" s="6" t="s">
        <v>301</v>
      </c>
      <c r="B136" s="6" t="str">
        <f t="shared" si="6"/>
        <v>a_m_y_breakdance_01</v>
      </c>
      <c r="C136" s="6" t="s">
        <v>302</v>
      </c>
      <c r="D136" s="7" t="str">
        <f>PROPER(C136)</f>
        <v>Breakdance</v>
      </c>
      <c r="E136" s="4" t="s">
        <v>1413</v>
      </c>
      <c r="F136" s="9"/>
      <c r="G136" s="16" t="str">
        <f>IF(regexMatch(A136,"[A-Za-z]*_f_.*")," Female", (IF(regexMatch(A136,"[A-Za-z]*_m_.*"), " Male", "")))</f>
        <v xml:space="preserve"> Male</v>
      </c>
      <c r="H136" s="16" t="str">
        <f>IF(regexMatch(A136,".*_([0-9]+$)"), CONCATENATE(" ",VALUE(TRIM(CLEAN(RegexFindGroup(A136,".*_([0-9]*)"))))), "")</f>
        <v xml:space="preserve"> 1</v>
      </c>
      <c r="I136" s="16" t="str">
        <f>IF(regexMatch(A136,"cs_.*")," (CS)", (IF(regexMatch(A136,"ig_.*"), " (IG)", "")))</f>
        <v/>
      </c>
      <c r="J136" s="10" t="str">
        <f t="shared" si="5"/>
        <v>Breakdancer Male</v>
      </c>
    </row>
    <row r="137" spans="1:10" x14ac:dyDescent="0.25">
      <c r="A137" s="6" t="s">
        <v>303</v>
      </c>
      <c r="B137" s="6" t="str">
        <f t="shared" si="6"/>
        <v>csb_bride</v>
      </c>
      <c r="C137" s="6" t="s">
        <v>304</v>
      </c>
      <c r="D137" s="7" t="str">
        <f>PROPER(C137)</f>
        <v>Bride</v>
      </c>
      <c r="E137" s="4" t="s">
        <v>1129</v>
      </c>
      <c r="F137" s="9" t="str">
        <f>IF(regexMatch(A137,"[A-Za-z]*_y_.*")," Young",(IF(regexMatch(A137,"[A-Za-z]*_o_.*")," Old", "")))</f>
        <v/>
      </c>
      <c r="G137" s="16" t="str">
        <f>IF(regexMatch(A137,"[A-Za-z]*_f_.*")," Female", (IF(regexMatch(A137,"[A-Za-z]*_m_.*"), " Male", "")))</f>
        <v/>
      </c>
      <c r="H137" s="16" t="str">
        <f>IF(regexMatch(A137,".*_([0-9]+$)"), CONCATENATE(" ",VALUE(TRIM(CLEAN(RegexFindGroup(A137,".*_([0-9]*)"))))), "")</f>
        <v/>
      </c>
      <c r="I137" s="16" t="str">
        <f>IF(regexMatch(A137,"cs_.*")," (CS)", (IF(regexMatch(A137,"ig_.*"), " (IG)", "")))</f>
        <v/>
      </c>
      <c r="J137" s="10" t="str">
        <f t="shared" si="5"/>
        <v>Bride</v>
      </c>
    </row>
    <row r="138" spans="1:10" x14ac:dyDescent="0.25">
      <c r="A138" s="6" t="s">
        <v>305</v>
      </c>
      <c r="B138" s="6" t="str">
        <f t="shared" si="6"/>
        <v>ig_bride</v>
      </c>
      <c r="C138" s="6" t="s">
        <v>304</v>
      </c>
      <c r="D138" s="7" t="str">
        <f>PROPER(C138)</f>
        <v>Bride</v>
      </c>
      <c r="E138" s="4" t="s">
        <v>1129</v>
      </c>
      <c r="F138" s="9" t="str">
        <f>IF(regexMatch(A138,"[A-Za-z]*_y_.*")," Young",(IF(regexMatch(A138,"[A-Za-z]*_o_.*")," Old", "")))</f>
        <v/>
      </c>
      <c r="G138" s="16" t="str">
        <f>IF(regexMatch(A138,"[A-Za-z]*_f_.*")," Female", (IF(regexMatch(A138,"[A-Za-z]*_m_.*"), " Male", "")))</f>
        <v/>
      </c>
      <c r="H138" s="16" t="str">
        <f>IF(regexMatch(A138,".*_([0-9]+$)"), CONCATENATE(" ",VALUE(TRIM(CLEAN(RegexFindGroup(A138,".*_([0-9]*)"))))), "")</f>
        <v/>
      </c>
      <c r="I138" s="16" t="str">
        <f>IF(regexMatch(A138,"cs_.*")," (CS)", (IF(regexMatch(A138,"ig_.*"), " (IG)", "")))</f>
        <v xml:space="preserve"> (IG)</v>
      </c>
      <c r="J138" s="10" t="str">
        <f t="shared" si="5"/>
        <v>Bride (IG)</v>
      </c>
    </row>
    <row r="139" spans="1:10" x14ac:dyDescent="0.25">
      <c r="A139" s="6" t="s">
        <v>306</v>
      </c>
      <c r="B139" s="6" t="str">
        <f t="shared" si="6"/>
        <v>csb_burgerdrug</v>
      </c>
      <c r="C139" s="6" t="s">
        <v>307</v>
      </c>
      <c r="D139" s="7" t="str">
        <f>PROPER(C139)</f>
        <v>Burgerdrug</v>
      </c>
      <c r="E139" s="4" t="s">
        <v>1414</v>
      </c>
      <c r="F139" s="9" t="str">
        <f>IF(regexMatch(A139,"[A-Za-z]*_y_.*")," Young",(IF(regexMatch(A139,"[A-Za-z]*_o_.*")," Old", "")))</f>
        <v/>
      </c>
      <c r="G139" s="16" t="str">
        <f>IF(regexMatch(A139,"[A-Za-z]*_f_.*")," Female", (IF(regexMatch(A139,"[A-Za-z]*_m_.*"), " Male", "")))</f>
        <v/>
      </c>
      <c r="H139" s="16" t="str">
        <f>IF(regexMatch(A139,".*_([0-9]+$)"), CONCATENATE(" ",VALUE(TRIM(CLEAN(RegexFindGroup(A139,".*_([0-9]*)"))))), "")</f>
        <v/>
      </c>
      <c r="I139" s="16" t="str">
        <f>IF(regexMatch(A139,"cs_.*")," (CS)", (IF(regexMatch(A139,"ig_.*"), " (IG)", "")))</f>
        <v/>
      </c>
      <c r="J139" s="10" t="str">
        <f t="shared" si="5"/>
        <v>Burger Drug Worker</v>
      </c>
    </row>
    <row r="140" spans="1:10" x14ac:dyDescent="0.25">
      <c r="A140" s="6" t="s">
        <v>308</v>
      </c>
      <c r="B140" s="6" t="str">
        <f t="shared" si="6"/>
        <v>u_m_y_burgerdrug_01</v>
      </c>
      <c r="C140" s="6" t="s">
        <v>307</v>
      </c>
      <c r="D140" s="7" t="str">
        <f>PROPER(C140)</f>
        <v>Burgerdrug</v>
      </c>
      <c r="E140" s="4" t="s">
        <v>1414</v>
      </c>
      <c r="F140" s="9"/>
      <c r="G140" s="16"/>
      <c r="H140" s="16" t="str">
        <f>IF(regexMatch(A140,".*_([0-9]+$)"), CONCATENATE(" ",VALUE(TRIM(CLEAN(RegexFindGroup(A140,".*_([0-9]*)"))))), "")</f>
        <v xml:space="preserve"> 1</v>
      </c>
      <c r="I140" s="16" t="str">
        <f>IF(regexMatch(A140,"cs_.*")," (CS)", (IF(regexMatch(A140,"ig_.*"), " (IG)", "")))</f>
        <v/>
      </c>
      <c r="J140" s="10" t="str">
        <f t="shared" si="5"/>
        <v>Burger Drug Worker</v>
      </c>
    </row>
    <row r="141" spans="1:10" x14ac:dyDescent="0.25">
      <c r="A141" s="6" t="s">
        <v>309</v>
      </c>
      <c r="B141" s="6" t="str">
        <f t="shared" si="6"/>
        <v>s_m_y_busboy_01</v>
      </c>
      <c r="C141" s="6" t="s">
        <v>310</v>
      </c>
      <c r="D141" s="7" t="str">
        <f>PROPER(C141)</f>
        <v>Busboy</v>
      </c>
      <c r="E141" s="4" t="s">
        <v>1130</v>
      </c>
      <c r="F141" s="9"/>
      <c r="G141" s="16"/>
      <c r="H141" s="16" t="str">
        <f>IF(regexMatch(A141,".*_([0-9]+$)"), CONCATENATE(" ",VALUE(TRIM(CLEAN(RegexFindGroup(A141,".*_([0-9]*)"))))), "")</f>
        <v xml:space="preserve"> 1</v>
      </c>
      <c r="I141" s="16" t="str">
        <f>IF(regexMatch(A141,"cs_.*")," (CS)", (IF(regexMatch(A141,"ig_.*"), " (IG)", "")))</f>
        <v/>
      </c>
      <c r="J141" s="10" t="str">
        <f t="shared" si="5"/>
        <v>Busboy</v>
      </c>
    </row>
    <row r="142" spans="1:10" x14ac:dyDescent="0.25">
      <c r="A142" s="6" t="s">
        <v>311</v>
      </c>
      <c r="B142" s="6" t="str">
        <f t="shared" si="6"/>
        <v>a_m_y_busicas_01</v>
      </c>
      <c r="C142" s="6" t="s">
        <v>312</v>
      </c>
      <c r="D142" s="7" t="str">
        <f>PROPER(C142)</f>
        <v>Busicas</v>
      </c>
      <c r="E142" s="4" t="s">
        <v>1345</v>
      </c>
      <c r="F142" s="9"/>
      <c r="G142" s="16"/>
      <c r="H142" s="16" t="str">
        <f>IF(regexMatch(A142,".*_([0-9]+$)"), CONCATENATE(" ",VALUE(TRIM(CLEAN(RegexFindGroup(A142,".*_([0-9]*)"))))), "")</f>
        <v xml:space="preserve"> 1</v>
      </c>
      <c r="I142" s="16" t="str">
        <f>IF(regexMatch(A142,"cs_.*")," (CS)", (IF(regexMatch(A142,"ig_.*"), " (IG)", "")))</f>
        <v/>
      </c>
      <c r="J142" s="10" t="str">
        <f t="shared" si="5"/>
        <v>Business Casual</v>
      </c>
    </row>
    <row r="143" spans="1:10" x14ac:dyDescent="0.25">
      <c r="A143" s="6" t="s">
        <v>313</v>
      </c>
      <c r="B143" s="6" t="str">
        <f t="shared" si="6"/>
        <v>a_f_m_business_02</v>
      </c>
      <c r="C143" s="6" t="s">
        <v>314</v>
      </c>
      <c r="D143" s="7" t="str">
        <f>PROPER(C143)</f>
        <v>Business</v>
      </c>
      <c r="E143" s="4" t="s">
        <v>1131</v>
      </c>
      <c r="F143" s="9" t="str">
        <f>IF(regexMatch(A143,"[A-Za-z]*_y_.*")," Young",(IF(regexMatch(A143,"[A-Za-z]*_o_.*")," Old", "")))</f>
        <v/>
      </c>
      <c r="G143" s="16" t="str">
        <f>IF(regexMatch(A143,"[A-Za-z]*_f_.*")," Female", (IF(regexMatch(A143,"[A-Za-z]*_m_.*"), " Male", "")))</f>
        <v xml:space="preserve"> Female</v>
      </c>
      <c r="H143" s="16" t="str">
        <f>IF(regexMatch(A143,".*_([0-9]+$)"), CONCATENATE(" ",VALUE(TRIM(CLEAN(RegexFindGroup(A143,".*_([0-9]*)"))))), "")</f>
        <v xml:space="preserve"> 2</v>
      </c>
      <c r="I143" s="16" t="str">
        <f>IF(regexMatch(A143,"cs_.*")," (CS)", (IF(regexMatch(A143,"ig_.*"), " (IG)", "")))</f>
        <v/>
      </c>
      <c r="J143" s="10" t="str">
        <f t="shared" si="5"/>
        <v>Business Female 2</v>
      </c>
    </row>
    <row r="144" spans="1:10" x14ac:dyDescent="0.25">
      <c r="A144" s="6" t="s">
        <v>319</v>
      </c>
      <c r="B144" s="6" t="str">
        <f t="shared" si="6"/>
        <v>a_m_m_business_01</v>
      </c>
      <c r="C144" s="6" t="s">
        <v>314</v>
      </c>
      <c r="D144" s="7" t="str">
        <f>PROPER(C144)</f>
        <v>Business</v>
      </c>
      <c r="E144" s="4" t="s">
        <v>1131</v>
      </c>
      <c r="F144" s="9" t="str">
        <f>IF(regexMatch(A144,"[A-Za-z]*_y_.*")," Young",(IF(regexMatch(A144,"[A-Za-z]*_o_.*")," Old", "")))</f>
        <v/>
      </c>
      <c r="G144" s="16" t="str">
        <f>IF(regexMatch(A144,"[A-Za-z]*_f_.*")," Female", (IF(regexMatch(A144,"[A-Za-z]*_m_.*"), " Male", "")))</f>
        <v xml:space="preserve"> Male</v>
      </c>
      <c r="H144" s="16" t="str">
        <f>IF(regexMatch(A144,".*_([0-9]+$)"), CONCATENATE(" ",VALUE(TRIM(CLEAN(RegexFindGroup(A144,".*_([0-9]*)"))))), "")</f>
        <v xml:space="preserve"> 1</v>
      </c>
      <c r="I144" s="16" t="str">
        <f>IF(regexMatch(A144,"cs_.*")," (CS)", (IF(regexMatch(A144,"ig_.*"), " (IG)", "")))</f>
        <v/>
      </c>
      <c r="J144" s="10" t="str">
        <f t="shared" si="5"/>
        <v>Business Male</v>
      </c>
    </row>
    <row r="145" spans="1:10" x14ac:dyDescent="0.25">
      <c r="A145" s="6" t="s">
        <v>315</v>
      </c>
      <c r="B145" s="6" t="str">
        <f t="shared" si="6"/>
        <v>a_f_y_business_01</v>
      </c>
      <c r="C145" s="6" t="s">
        <v>314</v>
      </c>
      <c r="D145" s="7" t="str">
        <f>PROPER(C145)</f>
        <v>Business</v>
      </c>
      <c r="E145" s="4" t="s">
        <v>1131</v>
      </c>
      <c r="F145" s="9" t="str">
        <f>IF(regexMatch(A145,"[A-Za-z]*_y_.*")," Young",(IF(regexMatch(A145,"[A-Za-z]*_o_.*")," Old", "")))</f>
        <v xml:space="preserve"> Young</v>
      </c>
      <c r="G145" s="16" t="str">
        <f>IF(regexMatch(A145,"[A-Za-z]*_f_.*")," Female", (IF(regexMatch(A145,"[A-Za-z]*_m_.*"), " Male", "")))</f>
        <v xml:space="preserve"> Female</v>
      </c>
      <c r="H145" s="16" t="str">
        <f>IF(regexMatch(A145,".*_([0-9]+$)"), CONCATENATE(" ",VALUE(TRIM(CLEAN(RegexFindGroup(A145,".*_([0-9]*)"))))), "")</f>
        <v xml:space="preserve"> 1</v>
      </c>
      <c r="I145" s="16" t="str">
        <f>IF(regexMatch(A145,"cs_.*")," (CS)", (IF(regexMatch(A145,"ig_.*"), " (IG)", "")))</f>
        <v/>
      </c>
      <c r="J145" s="10" t="str">
        <f t="shared" si="5"/>
        <v>Business Young Female</v>
      </c>
    </row>
    <row r="146" spans="1:10" x14ac:dyDescent="0.25">
      <c r="A146" s="6" t="s">
        <v>316</v>
      </c>
      <c r="B146" s="6" t="str">
        <f t="shared" si="6"/>
        <v>a_f_y_business_02</v>
      </c>
      <c r="C146" s="6" t="s">
        <v>314</v>
      </c>
      <c r="D146" s="7" t="str">
        <f>PROPER(C146)</f>
        <v>Business</v>
      </c>
      <c r="E146" s="4" t="s">
        <v>1131</v>
      </c>
      <c r="F146" s="9" t="str">
        <f>IF(regexMatch(A146,"[A-Za-z]*_y_.*")," Young",(IF(regexMatch(A146,"[A-Za-z]*_o_.*")," Old", "")))</f>
        <v xml:space="preserve"> Young</v>
      </c>
      <c r="G146" s="16" t="str">
        <f>IF(regexMatch(A146,"[A-Za-z]*_f_.*")," Female", (IF(regexMatch(A146,"[A-Za-z]*_m_.*"), " Male", "")))</f>
        <v xml:space="preserve"> Female</v>
      </c>
      <c r="H146" s="16" t="str">
        <f>IF(regexMatch(A146,".*_([0-9]+$)"), CONCATENATE(" ",VALUE(TRIM(CLEAN(RegexFindGroup(A146,".*_([0-9]*)"))))), "")</f>
        <v xml:space="preserve"> 2</v>
      </c>
      <c r="I146" s="16" t="str">
        <f>IF(regexMatch(A146,"cs_.*")," (CS)", (IF(regexMatch(A146,"ig_.*"), " (IG)", "")))</f>
        <v/>
      </c>
      <c r="J146" s="10" t="str">
        <f t="shared" si="5"/>
        <v>Business Young Female 2</v>
      </c>
    </row>
    <row r="147" spans="1:10" x14ac:dyDescent="0.25">
      <c r="A147" s="6" t="s">
        <v>317</v>
      </c>
      <c r="B147" s="6" t="str">
        <f t="shared" si="6"/>
        <v>a_f_y_business_03</v>
      </c>
      <c r="C147" s="6" t="s">
        <v>314</v>
      </c>
      <c r="D147" s="7" t="str">
        <f>PROPER(C147)</f>
        <v>Business</v>
      </c>
      <c r="E147" s="4" t="s">
        <v>1131</v>
      </c>
      <c r="F147" s="9" t="str">
        <f>IF(regexMatch(A147,"[A-Za-z]*_y_.*")," Young",(IF(regexMatch(A147,"[A-Za-z]*_o_.*")," Old", "")))</f>
        <v xml:space="preserve"> Young</v>
      </c>
      <c r="G147" s="16" t="str">
        <f>IF(regexMatch(A147,"[A-Za-z]*_f_.*")," Female", (IF(regexMatch(A147,"[A-Za-z]*_m_.*"), " Male", "")))</f>
        <v xml:space="preserve"> Female</v>
      </c>
      <c r="H147" s="16" t="str">
        <f>IF(regexMatch(A147,".*_([0-9]+$)"), CONCATENATE(" ",VALUE(TRIM(CLEAN(RegexFindGroup(A147,".*_([0-9]*)"))))), "")</f>
        <v xml:space="preserve"> 3</v>
      </c>
      <c r="I147" s="16" t="str">
        <f>IF(regexMatch(A147,"cs_.*")," (CS)", (IF(regexMatch(A147,"ig_.*"), " (IG)", "")))</f>
        <v/>
      </c>
      <c r="J147" s="10" t="str">
        <f t="shared" si="5"/>
        <v>Business Young Female 3</v>
      </c>
    </row>
    <row r="148" spans="1:10" x14ac:dyDescent="0.25">
      <c r="A148" s="6" t="s">
        <v>318</v>
      </c>
      <c r="B148" s="6" t="str">
        <f t="shared" si="6"/>
        <v>a_f_y_business_04</v>
      </c>
      <c r="C148" s="6" t="s">
        <v>314</v>
      </c>
      <c r="D148" s="7" t="str">
        <f>PROPER(C148)</f>
        <v>Business</v>
      </c>
      <c r="E148" s="4" t="s">
        <v>1131</v>
      </c>
      <c r="F148" s="9" t="str">
        <f>IF(regexMatch(A148,"[A-Za-z]*_y_.*")," Young",(IF(regexMatch(A148,"[A-Za-z]*_o_.*")," Old", "")))</f>
        <v xml:space="preserve"> Young</v>
      </c>
      <c r="G148" s="16" t="str">
        <f>IF(regexMatch(A148,"[A-Za-z]*_f_.*")," Female", (IF(regexMatch(A148,"[A-Za-z]*_m_.*"), " Male", "")))</f>
        <v xml:space="preserve"> Female</v>
      </c>
      <c r="H148" s="16" t="str">
        <f>IF(regexMatch(A148,".*_([0-9]+$)"), CONCATENATE(" ",VALUE(TRIM(CLEAN(RegexFindGroup(A148,".*_([0-9]*)"))))), "")</f>
        <v xml:space="preserve"> 4</v>
      </c>
      <c r="I148" s="16" t="str">
        <f>IF(regexMatch(A148,"cs_.*")," (CS)", (IF(regexMatch(A148,"ig_.*"), " (IG)", "")))</f>
        <v/>
      </c>
      <c r="J148" s="10" t="str">
        <f t="shared" si="5"/>
        <v>Business Young Female 4</v>
      </c>
    </row>
    <row r="149" spans="1:10" x14ac:dyDescent="0.25">
      <c r="A149" s="6" t="s">
        <v>320</v>
      </c>
      <c r="B149" s="6" t="str">
        <f t="shared" si="6"/>
        <v>a_m_y_business_01</v>
      </c>
      <c r="C149" s="6" t="s">
        <v>314</v>
      </c>
      <c r="D149" s="7" t="str">
        <f>PROPER(C149)</f>
        <v>Business</v>
      </c>
      <c r="E149" s="4" t="s">
        <v>1131</v>
      </c>
      <c r="F149" s="9" t="str">
        <f>IF(regexMatch(A149,"[A-Za-z]*_y_.*")," Young",(IF(regexMatch(A149,"[A-Za-z]*_o_.*")," Old", "")))</f>
        <v xml:space="preserve"> Young</v>
      </c>
      <c r="G149" s="16" t="str">
        <f>IF(regexMatch(A149,"[A-Za-z]*_f_.*")," Female", (IF(regexMatch(A149,"[A-Za-z]*_m_.*"), " Male", "")))</f>
        <v xml:space="preserve"> Male</v>
      </c>
      <c r="H149" s="16" t="str">
        <f>IF(regexMatch(A149,".*_([0-9]+$)"), CONCATENATE(" ",VALUE(TRIM(CLEAN(RegexFindGroup(A149,".*_([0-9]*)"))))), "")</f>
        <v xml:space="preserve"> 1</v>
      </c>
      <c r="I149" s="16" t="str">
        <f>IF(regexMatch(A149,"cs_.*")," (CS)", (IF(regexMatch(A149,"ig_.*"), " (IG)", "")))</f>
        <v/>
      </c>
      <c r="J149" s="10" t="str">
        <f t="shared" si="5"/>
        <v>Business Young Male</v>
      </c>
    </row>
    <row r="150" spans="1:10" x14ac:dyDescent="0.25">
      <c r="A150" s="6" t="s">
        <v>321</v>
      </c>
      <c r="B150" s="6" t="str">
        <f t="shared" si="6"/>
        <v>a_m_y_business_02</v>
      </c>
      <c r="C150" s="6" t="s">
        <v>314</v>
      </c>
      <c r="D150" s="7" t="str">
        <f>PROPER(C150)</f>
        <v>Business</v>
      </c>
      <c r="E150" s="4" t="s">
        <v>1131</v>
      </c>
      <c r="F150" s="9" t="str">
        <f>IF(regexMatch(A150,"[A-Za-z]*_y_.*")," Young",(IF(regexMatch(A150,"[A-Za-z]*_o_.*")," Old", "")))</f>
        <v xml:space="preserve"> Young</v>
      </c>
      <c r="G150" s="16" t="str">
        <f>IF(regexMatch(A150,"[A-Za-z]*_f_.*")," Female", (IF(regexMatch(A150,"[A-Za-z]*_m_.*"), " Male", "")))</f>
        <v xml:space="preserve"> Male</v>
      </c>
      <c r="H150" s="16" t="str">
        <f>IF(regexMatch(A150,".*_([0-9]+$)"), CONCATENATE(" ",VALUE(TRIM(CLEAN(RegexFindGroup(A150,".*_([0-9]*)"))))), "")</f>
        <v xml:space="preserve"> 2</v>
      </c>
      <c r="I150" s="16" t="str">
        <f>IF(regexMatch(A150,"cs_.*")," (CS)", (IF(regexMatch(A150,"ig_.*"), " (IG)", "")))</f>
        <v/>
      </c>
      <c r="J150" s="10" t="str">
        <f t="shared" si="5"/>
        <v>Business Young Male 2</v>
      </c>
    </row>
    <row r="151" spans="1:10" x14ac:dyDescent="0.25">
      <c r="A151" s="6" t="s">
        <v>322</v>
      </c>
      <c r="B151" s="6" t="str">
        <f t="shared" si="6"/>
        <v>a_m_y_business_03</v>
      </c>
      <c r="C151" s="6" t="s">
        <v>314</v>
      </c>
      <c r="D151" s="7" t="str">
        <f>PROPER(C151)</f>
        <v>Business</v>
      </c>
      <c r="E151" s="4" t="s">
        <v>1131</v>
      </c>
      <c r="F151" s="9" t="str">
        <f>IF(regexMatch(A151,"[A-Za-z]*_y_.*")," Young",(IF(regexMatch(A151,"[A-Za-z]*_o_.*")," Old", "")))</f>
        <v xml:space="preserve"> Young</v>
      </c>
      <c r="G151" s="16" t="str">
        <f>IF(regexMatch(A151,"[A-Za-z]*_f_.*")," Female", (IF(regexMatch(A151,"[A-Za-z]*_m_.*"), " Male", "")))</f>
        <v xml:space="preserve"> Male</v>
      </c>
      <c r="H151" s="16" t="str">
        <f>IF(regexMatch(A151,".*_([0-9]+$)"), CONCATENATE(" ",VALUE(TRIM(CLEAN(RegexFindGroup(A151,".*_([0-9]*)"))))), "")</f>
        <v xml:space="preserve"> 3</v>
      </c>
      <c r="I151" s="16" t="str">
        <f>IF(regexMatch(A151,"cs_.*")," (CS)", (IF(regexMatch(A151,"ig_.*"), " (IG)", "")))</f>
        <v/>
      </c>
      <c r="J151" s="10" t="str">
        <f t="shared" si="5"/>
        <v>Business Young Male 3</v>
      </c>
    </row>
    <row r="152" spans="1:10" x14ac:dyDescent="0.25">
      <c r="A152" s="6" t="s">
        <v>22</v>
      </c>
      <c r="B152" s="6" t="str">
        <f t="shared" si="6"/>
        <v xml:space="preserve">	s_m_o_busker_01</v>
      </c>
      <c r="C152" s="6" t="s">
        <v>21</v>
      </c>
      <c r="D152" s="7" t="str">
        <f>PROPER(C152)</f>
        <v xml:space="preserve">	Busker</v>
      </c>
      <c r="E152" s="4" t="s">
        <v>1472</v>
      </c>
      <c r="F152" s="9"/>
      <c r="G152" s="16"/>
      <c r="H152" s="16" t="str">
        <f>IF(regexMatch(A152,".*_([0-9]+$)"), CONCATENATE(" ",VALUE(TRIM(CLEAN(RegexFindGroup(A152,".*_([0-9]*)"))))), "")</f>
        <v xml:space="preserve"> 1</v>
      </c>
      <c r="I152" s="16" t="str">
        <f>IF(regexMatch(A152,"cs_.*")," (CS)", (IF(regexMatch(A152,"ig_.*"), " (IG)", "")))</f>
        <v/>
      </c>
      <c r="J152" s="10" t="str">
        <f t="shared" si="5"/>
        <v>Busker</v>
      </c>
    </row>
    <row r="153" spans="1:10" x14ac:dyDescent="0.25">
      <c r="A153" s="6" t="s">
        <v>323</v>
      </c>
      <c r="B153" s="6" t="str">
        <f t="shared" si="6"/>
        <v>csb_car3guy1</v>
      </c>
      <c r="C153" s="6" t="s">
        <v>324</v>
      </c>
      <c r="D153" s="7" t="str">
        <f>PROPER(C153)</f>
        <v>Car3Guy1</v>
      </c>
      <c r="E153" s="4" t="s">
        <v>1439</v>
      </c>
      <c r="F153" s="9" t="str">
        <f>IF(regexMatch(A153,"[A-Za-z]*_y_.*")," Young",(IF(regexMatch(A153,"[A-Za-z]*_o_.*")," Old", "")))</f>
        <v/>
      </c>
      <c r="G153" s="16" t="str">
        <f>IF(regexMatch(A153,"[A-Za-z]*_f_.*")," Female", (IF(regexMatch(A153,"[A-Za-z]*_m_.*"), " Male", "")))</f>
        <v/>
      </c>
      <c r="H153" s="16" t="str">
        <f>IF(regexMatch(A153,".*_([0-9]+$)"), CONCATENATE(" ",VALUE(TRIM(CLEAN(RegexFindGroup(A153,".*_([0-9]*)"))))), "")</f>
        <v/>
      </c>
      <c r="I153" s="16" t="str">
        <f>IF(regexMatch(A153,"cs_.*")," (CS)", (IF(regexMatch(A153,"ig_.*"), " (IG)", "")))</f>
        <v/>
      </c>
      <c r="J153" s="10" t="str">
        <f t="shared" si="5"/>
        <v>Car 3 Guy 1</v>
      </c>
    </row>
    <row r="154" spans="1:10" x14ac:dyDescent="0.25">
      <c r="A154" s="6" t="s">
        <v>325</v>
      </c>
      <c r="B154" s="6" t="str">
        <f t="shared" si="6"/>
        <v>ig_car3guy1</v>
      </c>
      <c r="C154" s="6" t="s">
        <v>324</v>
      </c>
      <c r="D154" s="7" t="str">
        <f>PROPER(C154)</f>
        <v>Car3Guy1</v>
      </c>
      <c r="E154" s="4" t="s">
        <v>1439</v>
      </c>
      <c r="F154" s="9" t="str">
        <f>IF(regexMatch(A154,"[A-Za-z]*_y_.*")," Young",(IF(regexMatch(A154,"[A-Za-z]*_o_.*")," Old", "")))</f>
        <v/>
      </c>
      <c r="G154" s="16" t="str">
        <f>IF(regexMatch(A154,"[A-Za-z]*_f_.*")," Female", (IF(regexMatch(A154,"[A-Za-z]*_m_.*"), " Male", "")))</f>
        <v/>
      </c>
      <c r="H154" s="16" t="str">
        <f>IF(regexMatch(A154,".*_([0-9]+$)"), CONCATENATE(" ",VALUE(TRIM(CLEAN(RegexFindGroup(A154,".*_([0-9]*)"))))), "")</f>
        <v/>
      </c>
      <c r="I154" s="16" t="str">
        <f>IF(regexMatch(A154,"cs_.*")," (CS)", (IF(regexMatch(A154,"ig_.*"), " (IG)", "")))</f>
        <v xml:space="preserve"> (IG)</v>
      </c>
      <c r="J154" s="10" t="str">
        <f t="shared" si="5"/>
        <v>Car 3 Guy 1 (IG)</v>
      </c>
    </row>
    <row r="155" spans="1:10" x14ac:dyDescent="0.25">
      <c r="A155" s="6" t="s">
        <v>326</v>
      </c>
      <c r="B155" s="6" t="str">
        <f t="shared" si="6"/>
        <v>csb_car3guy2</v>
      </c>
      <c r="C155" s="6" t="s">
        <v>327</v>
      </c>
      <c r="D155" s="7" t="str">
        <f>PROPER(C155)</f>
        <v>Car3Guy2</v>
      </c>
      <c r="E155" s="4" t="s">
        <v>1440</v>
      </c>
      <c r="F155" s="9" t="str">
        <f>IF(regexMatch(A155,"[A-Za-z]*_y_.*")," Young",(IF(regexMatch(A155,"[A-Za-z]*_o_.*")," Old", "")))</f>
        <v/>
      </c>
      <c r="G155" s="16" t="str">
        <f>IF(regexMatch(A155,"[A-Za-z]*_f_.*")," Female", (IF(regexMatch(A155,"[A-Za-z]*_m_.*"), " Male", "")))</f>
        <v/>
      </c>
      <c r="H155" s="16" t="str">
        <f>IF(regexMatch(A155,".*_([0-9]+$)"), CONCATENATE(" ",VALUE(TRIM(CLEAN(RegexFindGroup(A155,".*_([0-9]*)"))))), "")</f>
        <v/>
      </c>
      <c r="I155" s="16" t="str">
        <f>IF(regexMatch(A155,"cs_.*")," (CS)", (IF(regexMatch(A155,"ig_.*"), " (IG)", "")))</f>
        <v/>
      </c>
      <c r="J155" s="10" t="str">
        <f t="shared" si="5"/>
        <v>Car 3 Guy 2</v>
      </c>
    </row>
    <row r="156" spans="1:10" x14ac:dyDescent="0.25">
      <c r="A156" s="6" t="s">
        <v>328</v>
      </c>
      <c r="B156" s="6" t="str">
        <f t="shared" si="6"/>
        <v>ig_car3guy2</v>
      </c>
      <c r="C156" s="6" t="s">
        <v>327</v>
      </c>
      <c r="D156" s="7" t="str">
        <f>PROPER(C156)</f>
        <v>Car3Guy2</v>
      </c>
      <c r="E156" s="4" t="s">
        <v>1440</v>
      </c>
      <c r="F156" s="9" t="str">
        <f>IF(regexMatch(A156,"[A-Za-z]*_y_.*")," Young",(IF(regexMatch(A156,"[A-Za-z]*_o_.*")," Old", "")))</f>
        <v/>
      </c>
      <c r="G156" s="16" t="str">
        <f>IF(regexMatch(A156,"[A-Za-z]*_f_.*")," Female", (IF(regexMatch(A156,"[A-Za-z]*_m_.*"), " Male", "")))</f>
        <v/>
      </c>
      <c r="H156" s="16" t="str">
        <f>IF(regexMatch(A156,".*_([0-9]+$)"), CONCATENATE(" ",VALUE(TRIM(CLEAN(RegexFindGroup(A156,".*_([0-9]*)"))))), "")</f>
        <v/>
      </c>
      <c r="I156" s="16" t="str">
        <f>IF(regexMatch(A156,"cs_.*")," (CS)", (IF(regexMatch(A156,"ig_.*"), " (IG)", "")))</f>
        <v xml:space="preserve"> (IG)</v>
      </c>
      <c r="J156" s="10" t="str">
        <f t="shared" si="5"/>
        <v>Car 3 Guy 2 (IG)</v>
      </c>
    </row>
    <row r="157" spans="1:10" x14ac:dyDescent="0.25">
      <c r="A157" s="6" t="s">
        <v>329</v>
      </c>
      <c r="B157" s="6" t="str">
        <f t="shared" si="6"/>
        <v>cs_carbuyer</v>
      </c>
      <c r="C157" s="6" t="s">
        <v>330</v>
      </c>
      <c r="D157" s="7" t="str">
        <f>PROPER(C157)</f>
        <v>Carbuyer</v>
      </c>
      <c r="E157" s="4" t="s">
        <v>1431</v>
      </c>
      <c r="F157" s="9" t="str">
        <f>IF(regexMatch(A157,"[A-Za-z]*_y_.*")," Young",(IF(regexMatch(A157,"[A-Za-z]*_o_.*")," Old", "")))</f>
        <v/>
      </c>
      <c r="G157" s="16" t="str">
        <f>IF(regexMatch(A157,"[A-Za-z]*_f_.*")," Female", (IF(regexMatch(A157,"[A-Za-z]*_m_.*"), " Male", "")))</f>
        <v/>
      </c>
      <c r="H157" s="16" t="str">
        <f>IF(regexMatch(A157,".*_([0-9]+$)"), CONCATENATE(" ",VALUE(TRIM(CLEAN(RegexFindGroup(A157,".*_([0-9]*)"))))), "")</f>
        <v/>
      </c>
      <c r="I157" s="16" t="str">
        <f>IF(regexMatch(A157,"cs_.*")," (CS)", (IF(regexMatch(A157,"ig_.*"), " (IG)", "")))</f>
        <v xml:space="preserve"> (CS)</v>
      </c>
      <c r="J157" s="10" t="str">
        <f t="shared" si="5"/>
        <v>Car Buyer (CS)</v>
      </c>
    </row>
    <row r="158" spans="1:10" x14ac:dyDescent="0.25">
      <c r="A158" s="6" t="s">
        <v>24</v>
      </c>
      <c r="B158" s="6" t="str">
        <f t="shared" si="6"/>
        <v xml:space="preserve">	cs_casey</v>
      </c>
      <c r="C158" s="6" t="s">
        <v>23</v>
      </c>
      <c r="D158" s="7" t="str">
        <f>PROPER(C158)</f>
        <v xml:space="preserve">	Casey</v>
      </c>
      <c r="E158" s="4" t="s">
        <v>1132</v>
      </c>
      <c r="F158" s="9" t="str">
        <f>IF(regexMatch(A158,"[A-Za-z]*_y_.*")," Young",(IF(regexMatch(A158,"[A-Za-z]*_o_.*")," Old", "")))</f>
        <v/>
      </c>
      <c r="G158" s="16" t="str">
        <f>IF(regexMatch(A158,"[A-Za-z]*_f_.*")," Female", (IF(regexMatch(A158,"[A-Za-z]*_m_.*"), " Male", "")))</f>
        <v/>
      </c>
      <c r="H158" s="16" t="str">
        <f>IF(regexMatch(A158,".*_([0-9]+$)"), CONCATENATE(" ",VALUE(TRIM(CLEAN(RegexFindGroup(A158,".*_([0-9]*)"))))), "")</f>
        <v/>
      </c>
      <c r="I158" s="16" t="str">
        <f>IF(regexMatch(A158,"cs_.*")," (CS)", (IF(regexMatch(A158,"ig_.*"), " (IG)", "")))</f>
        <v xml:space="preserve"> (CS)</v>
      </c>
      <c r="J158" s="10" t="str">
        <f t="shared" si="5"/>
        <v>Casey (CS)</v>
      </c>
    </row>
    <row r="159" spans="1:10" x14ac:dyDescent="0.25">
      <c r="A159" s="6" t="s">
        <v>331</v>
      </c>
      <c r="B159" s="6" t="str">
        <f t="shared" si="6"/>
        <v>ig_casey</v>
      </c>
      <c r="C159" s="6" t="s">
        <v>332</v>
      </c>
      <c r="D159" s="7" t="str">
        <f>PROPER(C159)</f>
        <v>Casey</v>
      </c>
      <c r="E159" s="4" t="s">
        <v>1132</v>
      </c>
      <c r="F159" s="9" t="str">
        <f>IF(regexMatch(A159,"[A-Za-z]*_y_.*")," Young",(IF(regexMatch(A159,"[A-Za-z]*_o_.*")," Old", "")))</f>
        <v/>
      </c>
      <c r="G159" s="16" t="str">
        <f>IF(regexMatch(A159,"[A-Za-z]*_f_.*")," Female", (IF(regexMatch(A159,"[A-Za-z]*_m_.*"), " Male", "")))</f>
        <v/>
      </c>
      <c r="H159" s="16" t="str">
        <f>IF(regexMatch(A159,".*_([0-9]+$)"), CONCATENATE(" ",VALUE(TRIM(CLEAN(RegexFindGroup(A159,".*_([0-9]*)"))))), "")</f>
        <v/>
      </c>
      <c r="I159" s="16" t="str">
        <f>IF(regexMatch(A159,"cs_.*")," (CS)", (IF(regexMatch(A159,"ig_.*"), " (IG)", "")))</f>
        <v xml:space="preserve"> (IG)</v>
      </c>
      <c r="J159" s="10" t="str">
        <f t="shared" si="5"/>
        <v>Casey (IG)</v>
      </c>
    </row>
    <row r="160" spans="1:10" x14ac:dyDescent="0.25">
      <c r="A160" s="6" t="s">
        <v>26</v>
      </c>
      <c r="B160" s="6" t="str">
        <f t="shared" si="6"/>
        <v xml:space="preserve">	s_m_y_chef_01</v>
      </c>
      <c r="C160" s="6" t="s">
        <v>25</v>
      </c>
      <c r="D160" s="7" t="str">
        <f>PROPER(C160)</f>
        <v xml:space="preserve">	Chef</v>
      </c>
      <c r="E160" s="4" t="s">
        <v>1133</v>
      </c>
      <c r="F160" s="9"/>
      <c r="G160" s="16"/>
      <c r="H160" s="16" t="str">
        <f>IF(regexMatch(A160,".*_([0-9]+$)"), CONCATENATE(" ",VALUE(TRIM(CLEAN(RegexFindGroup(A160,".*_([0-9]*)"))))), "")</f>
        <v xml:space="preserve"> 1</v>
      </c>
      <c r="I160" s="16" t="str">
        <f>IF(regexMatch(A160,"cs_.*")," (CS)", (IF(regexMatch(A160,"ig_.*"), " (IG)", "")))</f>
        <v/>
      </c>
      <c r="J160" s="10" t="str">
        <f t="shared" si="5"/>
        <v>Chef</v>
      </c>
    </row>
    <row r="161" spans="1:10" x14ac:dyDescent="0.25">
      <c r="A161" s="6" t="s">
        <v>333</v>
      </c>
      <c r="B161" s="6" t="str">
        <f t="shared" si="6"/>
        <v>csb_chef</v>
      </c>
      <c r="C161" s="6" t="s">
        <v>334</v>
      </c>
      <c r="D161" s="7" t="str">
        <f>PROPER(C161)</f>
        <v>Chef</v>
      </c>
      <c r="E161" s="4" t="s">
        <v>1133</v>
      </c>
      <c r="F161" s="9" t="str">
        <f>IF(regexMatch(A161,"[A-Za-z]*_y_.*")," Young",(IF(regexMatch(A161,"[A-Za-z]*_o_.*")," Old", "")))</f>
        <v/>
      </c>
      <c r="G161" s="16" t="str">
        <f>IF(regexMatch(A161,"[A-Za-z]*_f_.*")," Female", (IF(regexMatch(A161,"[A-Za-z]*_m_.*"), " Male", "")))</f>
        <v/>
      </c>
      <c r="H161" s="16" t="str">
        <f>IF(regexMatch(A161,".*_([0-9]+$)"), CONCATENATE(" ",VALUE(TRIM(CLEAN(RegexFindGroup(A161,".*_([0-9]*)"))))), "")</f>
        <v/>
      </c>
      <c r="I161" s="16" t="str">
        <f>IF(regexMatch(A161,"cs_.*")," (CS)", (IF(regexMatch(A161,"ig_.*"), " (IG)", "")))</f>
        <v/>
      </c>
      <c r="J161" s="10" t="str">
        <f t="shared" si="5"/>
        <v>Chef</v>
      </c>
    </row>
    <row r="162" spans="1:10" x14ac:dyDescent="0.25">
      <c r="A162" s="1" t="s">
        <v>1530</v>
      </c>
      <c r="B162" s="6" t="str">
        <f t="shared" si="6"/>
        <v>csb_chef2</v>
      </c>
      <c r="D162" s="21"/>
      <c r="E162" s="21" t="s">
        <v>1541</v>
      </c>
      <c r="F162" s="9"/>
      <c r="G162" s="16"/>
      <c r="H162" s="16" t="str">
        <f>IF(regexMatch(A162,".*_([0-9]+$)"), CONCATENATE(" ",VALUE(TRIM(CLEAN(RegexFindGroup(A162,".*_([0-9]*)"))))), "")</f>
        <v/>
      </c>
      <c r="I162" s="16"/>
      <c r="J162" s="10" t="str">
        <f t="shared" si="5"/>
        <v>Chef (CS)</v>
      </c>
    </row>
    <row r="163" spans="1:10" x14ac:dyDescent="0.25">
      <c r="A163" s="6" t="s">
        <v>335</v>
      </c>
      <c r="B163" s="6" t="str">
        <f t="shared" si="6"/>
        <v>ig_chef</v>
      </c>
      <c r="C163" s="6" t="s">
        <v>334</v>
      </c>
      <c r="D163" s="7" t="str">
        <f>PROPER(C163)</f>
        <v>Chef</v>
      </c>
      <c r="E163" s="4" t="s">
        <v>1133</v>
      </c>
      <c r="F163" s="9" t="str">
        <f>IF(regexMatch(A163,"[A-Za-z]*_y_.*")," Young",(IF(regexMatch(A163,"[A-Za-z]*_o_.*")," Old", "")))</f>
        <v/>
      </c>
      <c r="G163" s="16" t="str">
        <f>IF(regexMatch(A163,"[A-Za-z]*_f_.*")," Female", (IF(regexMatch(A163,"[A-Za-z]*_m_.*"), " Male", "")))</f>
        <v/>
      </c>
      <c r="H163" s="16" t="str">
        <f>IF(regexMatch(A163,".*_([0-9]+$)"), CONCATENATE(" ",VALUE(TRIM(CLEAN(RegexFindGroup(A163,".*_([0-9]*)"))))), "")</f>
        <v/>
      </c>
      <c r="I163" s="16" t="str">
        <f>IF(regexMatch(A163,"cs_.*")," (CS)", (IF(regexMatch(A163,"ig_.*"), " (IG)", "")))</f>
        <v xml:space="preserve"> (IG)</v>
      </c>
      <c r="J163" s="10" t="str">
        <f t="shared" si="5"/>
        <v>Chef (IG)</v>
      </c>
    </row>
    <row r="164" spans="1:10" x14ac:dyDescent="0.25">
      <c r="A164" s="1" t="s">
        <v>1516</v>
      </c>
      <c r="B164" s="6" t="str">
        <f t="shared" si="6"/>
        <v>ig_chef2</v>
      </c>
      <c r="D164" s="7"/>
      <c r="E164" s="21" t="s">
        <v>1540</v>
      </c>
      <c r="F164" s="9"/>
      <c r="G164" s="16"/>
      <c r="H164" s="16" t="str">
        <f>IF(regexMatch(A164,".*_([0-9]+$)"), CONCATENATE(" ",VALUE(TRIM(CLEAN(RegexFindGroup(A164,".*_([0-9]*)"))))), "")</f>
        <v/>
      </c>
      <c r="I164" s="16"/>
      <c r="J164" s="10" t="str">
        <f t="shared" si="5"/>
        <v>Chef (IG)</v>
      </c>
    </row>
    <row r="165" spans="1:10" x14ac:dyDescent="0.25">
      <c r="A165" s="6" t="s">
        <v>28</v>
      </c>
      <c r="B165" s="6" t="str">
        <f t="shared" si="6"/>
        <v xml:space="preserve">	s_m_m_chemsec_01</v>
      </c>
      <c r="C165" s="6" t="s">
        <v>27</v>
      </c>
      <c r="D165" s="7" t="str">
        <f>PROPER(C165)</f>
        <v xml:space="preserve">	Chemsec</v>
      </c>
      <c r="E165" s="4" t="s">
        <v>1451</v>
      </c>
      <c r="F165" s="9" t="str">
        <f>IF(regexMatch(A165,"[A-Za-z]*_y_.*")," Young",(IF(regexMatch(A165,"[A-Za-z]*_o_.*")," Old", "")))</f>
        <v/>
      </c>
      <c r="G165" s="16"/>
      <c r="H165" s="16" t="str">
        <f>IF(regexMatch(A165,".*_([0-9]+$)"), CONCATENATE(" ",VALUE(TRIM(CLEAN(RegexFindGroup(A165,".*_([0-9]*)"))))), "")</f>
        <v xml:space="preserve"> 1</v>
      </c>
      <c r="I165" s="16" t="str">
        <f>IF(regexMatch(A165,"cs_.*")," (CS)", (IF(regexMatch(A165,"ig_.*"), " (IG)", "")))</f>
        <v/>
      </c>
      <c r="J165" s="10" t="str">
        <f t="shared" si="5"/>
        <v>Chemical Plant Security</v>
      </c>
    </row>
    <row r="166" spans="1:10" x14ac:dyDescent="0.25">
      <c r="A166" s="6" t="s">
        <v>336</v>
      </c>
      <c r="B166" s="6" t="str">
        <f t="shared" si="6"/>
        <v>g_m_m_chemwork_01</v>
      </c>
      <c r="C166" s="6" t="s">
        <v>337</v>
      </c>
      <c r="D166" s="7" t="str">
        <f>PROPER(C166)</f>
        <v>Chemwork</v>
      </c>
      <c r="E166" s="4" t="s">
        <v>1430</v>
      </c>
      <c r="F166" s="9" t="str">
        <f>IF(regexMatch(A166,"[A-Za-z]*_y_.*")," Young",(IF(regexMatch(A166,"[A-Za-z]*_o_.*")," Old", "")))</f>
        <v/>
      </c>
      <c r="G166" s="16"/>
      <c r="H166" s="16" t="str">
        <f>IF(regexMatch(A166,".*_([0-9]+$)"), CONCATENATE(" ",VALUE(TRIM(CLEAN(RegexFindGroup(A166,".*_([0-9]*)"))))), "")</f>
        <v xml:space="preserve"> 1</v>
      </c>
      <c r="I166" s="16" t="str">
        <f>IF(regexMatch(A166,"cs_.*")," (CS)", (IF(regexMatch(A166,"ig_.*"), " (IG)", "")))</f>
        <v/>
      </c>
      <c r="J166" s="10" t="str">
        <f t="shared" si="5"/>
        <v>Chemical Plant Worker</v>
      </c>
    </row>
    <row r="167" spans="1:10" x14ac:dyDescent="0.25">
      <c r="A167" s="6" t="s">
        <v>341</v>
      </c>
      <c r="B167" s="6" t="str">
        <f t="shared" si="6"/>
        <v>g_m_m_chiboss_01</v>
      </c>
      <c r="C167" s="6" t="s">
        <v>342</v>
      </c>
      <c r="D167" s="7" t="str">
        <f>PROPER(C167)</f>
        <v>Chiboss</v>
      </c>
      <c r="E167" s="4" t="s">
        <v>1429</v>
      </c>
      <c r="F167" s="9" t="str">
        <f>IF(regexMatch(A167,"[A-Za-z]*_y_.*")," Young",(IF(regexMatch(A167,"[A-Za-z]*_o_.*")," Old", "")))</f>
        <v/>
      </c>
      <c r="G167" s="16"/>
      <c r="H167" s="16" t="str">
        <f>IF(regexMatch(A167,".*_([0-9]+$)"), CONCATENATE(" ",VALUE(TRIM(CLEAN(RegexFindGroup(A167,".*_([0-9]*)"))))), "")</f>
        <v xml:space="preserve"> 1</v>
      </c>
      <c r="I167" s="16" t="str">
        <f>IF(regexMatch(A167,"cs_.*")," (CS)", (IF(regexMatch(A167,"ig_.*"), " (IG)", "")))</f>
        <v/>
      </c>
      <c r="J167" s="10" t="str">
        <f t="shared" si="5"/>
        <v>Chinese Boss</v>
      </c>
    </row>
    <row r="168" spans="1:10" x14ac:dyDescent="0.25">
      <c r="A168" s="6" t="s">
        <v>345</v>
      </c>
      <c r="B168" s="6" t="str">
        <f t="shared" si="6"/>
        <v>g_m_m_chigoon_01</v>
      </c>
      <c r="C168" s="6" t="s">
        <v>346</v>
      </c>
      <c r="D168" s="7" t="str">
        <f>PROPER(C168)</f>
        <v>Chigoon</v>
      </c>
      <c r="E168" s="4" t="s">
        <v>1428</v>
      </c>
      <c r="F168" s="9" t="str">
        <f>IF(regexMatch(A168,"[A-Za-z]*_y_.*")," Young",(IF(regexMatch(A168,"[A-Za-z]*_o_.*")," Old", "")))</f>
        <v/>
      </c>
      <c r="G168" s="17"/>
      <c r="H168" s="16" t="str">
        <f>IF(regexMatch(A168,".*_([0-9]+$)"), CONCATENATE(" ",VALUE(TRIM(CLEAN(RegexFindGroup(A168,".*_([0-9]*)"))))), "")</f>
        <v xml:space="preserve"> 1</v>
      </c>
      <c r="I168" s="16" t="str">
        <f>IF(regexMatch(A168,"cs_.*")," (CS)", (IF(regexMatch(A168,"ig_.*"), " (IG)", "")))</f>
        <v/>
      </c>
      <c r="J168" s="10" t="str">
        <f t="shared" si="5"/>
        <v>Chinese Goon</v>
      </c>
    </row>
    <row r="169" spans="1:10" x14ac:dyDescent="0.25">
      <c r="A169" s="6" t="s">
        <v>348</v>
      </c>
      <c r="B169" s="6" t="str">
        <f t="shared" si="6"/>
        <v>csb_chin_goon</v>
      </c>
      <c r="C169" s="6" t="s">
        <v>349</v>
      </c>
      <c r="D169" s="7" t="str">
        <f>PROPER(C169)</f>
        <v>Chin_Goon</v>
      </c>
      <c r="E169" s="4" t="s">
        <v>1428</v>
      </c>
      <c r="F169" s="9" t="str">
        <f>IF(regexMatch(A169,"[A-Za-z]*_y_.*")," Young",(IF(regexMatch(A169,"[A-Za-z]*_o_.*")," Old", "")))</f>
        <v/>
      </c>
      <c r="G169" s="16"/>
      <c r="H169" s="16" t="str">
        <f>IF(regexMatch(A169,".*_([0-9]+$)"), CONCATENATE(" ",VALUE(TRIM(CLEAN(RegexFindGroup(A169,".*_([0-9]*)"))))), "")</f>
        <v/>
      </c>
      <c r="I169" s="16" t="str">
        <f>IF(regexMatch(A169,"cs_.*")," (CS)", (IF(regexMatch(A169,"ig_.*"), " (IG)", "")))</f>
        <v/>
      </c>
      <c r="J169" s="10" t="str">
        <f t="shared" si="5"/>
        <v>Chinese Goon</v>
      </c>
    </row>
    <row r="170" spans="1:10" x14ac:dyDescent="0.25">
      <c r="A170" s="6" t="s">
        <v>347</v>
      </c>
      <c r="B170" s="6" t="str">
        <f t="shared" si="6"/>
        <v>g_m_m_chigoon_02</v>
      </c>
      <c r="C170" s="6" t="s">
        <v>346</v>
      </c>
      <c r="D170" s="7" t="str">
        <f>PROPER(C170)</f>
        <v>Chigoon</v>
      </c>
      <c r="E170" s="4" t="s">
        <v>1428</v>
      </c>
      <c r="F170" s="9" t="str">
        <f>IF(regexMatch(A170,"[A-Za-z]*_y_.*")," Young",(IF(regexMatch(A170,"[A-Za-z]*_o_.*")," Old", "")))</f>
        <v/>
      </c>
      <c r="G170" s="16"/>
      <c r="H170" s="16" t="str">
        <f>IF(regexMatch(A170,".*_([0-9]+$)"), CONCATENATE(" ",VALUE(TRIM(CLEAN(RegexFindGroup(A170,".*_([0-9]*)"))))), "")</f>
        <v xml:space="preserve"> 2</v>
      </c>
      <c r="I170" s="16" t="str">
        <f>IF(regexMatch(A170,"cs_.*")," (CS)", (IF(regexMatch(A170,"ig_.*"), " (IG)", "")))</f>
        <v/>
      </c>
      <c r="J170" s="10" t="str">
        <f t="shared" si="5"/>
        <v>Chinese Goon 2</v>
      </c>
    </row>
    <row r="171" spans="1:10" x14ac:dyDescent="0.25">
      <c r="A171" s="6" t="s">
        <v>343</v>
      </c>
      <c r="B171" s="6" t="str">
        <f t="shared" si="6"/>
        <v>g_m_m_chicold_01</v>
      </c>
      <c r="C171" s="6" t="s">
        <v>344</v>
      </c>
      <c r="D171" s="7" t="str">
        <f>PROPER(C171)</f>
        <v>Chicold</v>
      </c>
      <c r="E171" s="4" t="s">
        <v>1452</v>
      </c>
      <c r="F171" s="9" t="str">
        <f>IF(regexMatch(A171,"[A-Za-z]*_y_.*")," Young",(IF(regexMatch(A171,"[A-Za-z]*_o_.*")," Old", "")))</f>
        <v/>
      </c>
      <c r="G171" s="16"/>
      <c r="H171" s="16" t="str">
        <f>IF(regexMatch(A171,".*_([0-9]+$)"), CONCATENATE(" ",VALUE(TRIM(CLEAN(RegexFindGroup(A171,".*_([0-9]*)"))))), "")</f>
        <v xml:space="preserve"> 1</v>
      </c>
      <c r="I171" s="16" t="str">
        <f>IF(regexMatch(A171,"cs_.*")," (CS)", (IF(regexMatch(A171,"ig_.*"), " (IG)", "")))</f>
        <v/>
      </c>
      <c r="J171" s="10" t="str">
        <f t="shared" si="5"/>
        <v>Chinese Goon Older</v>
      </c>
    </row>
    <row r="172" spans="1:10" x14ac:dyDescent="0.25">
      <c r="A172" s="6" t="s">
        <v>350</v>
      </c>
      <c r="B172" s="6" t="str">
        <f t="shared" si="6"/>
        <v>u_m_y_chip</v>
      </c>
      <c r="C172" s="6" t="s">
        <v>351</v>
      </c>
      <c r="D172" s="7" t="str">
        <f>PROPER(C172)</f>
        <v>Chip</v>
      </c>
      <c r="E172" s="4" t="s">
        <v>1134</v>
      </c>
      <c r="F172" s="9"/>
      <c r="G172" s="16"/>
      <c r="H172" s="16" t="str">
        <f>IF(regexMatch(A172,".*_([0-9]+$)"), CONCATENATE(" ",VALUE(TRIM(CLEAN(RegexFindGroup(A172,".*_([0-9]*)"))))), "")</f>
        <v/>
      </c>
      <c r="I172" s="16" t="str">
        <f>IF(regexMatch(A172,"cs_.*")," (CS)", (IF(regexMatch(A172,"ig_.*"), " (IG)", "")))</f>
        <v/>
      </c>
      <c r="J172" s="10" t="str">
        <f t="shared" si="5"/>
        <v>Chip</v>
      </c>
    </row>
    <row r="173" spans="1:10" x14ac:dyDescent="0.25">
      <c r="A173" s="6" t="s">
        <v>356</v>
      </c>
      <c r="B173" s="6" t="str">
        <f t="shared" si="6"/>
        <v>mp_m_claude_01</v>
      </c>
      <c r="C173" s="6" t="s">
        <v>357</v>
      </c>
      <c r="D173" s="7" t="str">
        <f>PROPER(C173)</f>
        <v>Claude</v>
      </c>
      <c r="E173" s="4" t="s">
        <v>1426</v>
      </c>
      <c r="F173" s="9" t="str">
        <f>IF(regexMatch(A173,"[A-Za-z]*_y_.*")," Young",(IF(regexMatch(A173,"[A-Za-z]*_o_.*")," Old", "")))</f>
        <v/>
      </c>
      <c r="G173" s="16"/>
      <c r="H173" s="16" t="str">
        <f>IF(regexMatch(A173,".*_([0-9]+$)"), CONCATENATE(" ",VALUE(TRIM(CLEAN(RegexFindGroup(A173,".*_([0-9]*)"))))), "")</f>
        <v xml:space="preserve"> 1</v>
      </c>
      <c r="I173" s="16" t="str">
        <f>IF(regexMatch(A173,"cs_.*")," (CS)", (IF(regexMatch(A173,"ig_.*"), " (IG)", "")))</f>
        <v/>
      </c>
      <c r="J173" s="10" t="str">
        <f t="shared" si="5"/>
        <v>Claude Speed</v>
      </c>
    </row>
    <row r="174" spans="1:10" x14ac:dyDescent="0.25">
      <c r="A174" s="6" t="s">
        <v>361</v>
      </c>
      <c r="B174" s="6" t="str">
        <f t="shared" si="6"/>
        <v>ig_claypain</v>
      </c>
      <c r="C174" s="6" t="s">
        <v>362</v>
      </c>
      <c r="D174" s="7" t="str">
        <f>PROPER(C174)</f>
        <v>Claypain</v>
      </c>
      <c r="E174" s="4" t="s">
        <v>1437</v>
      </c>
      <c r="F174" s="9" t="str">
        <f>IF(regexMatch(A174,"[A-Za-z]*_y_.*")," Young",(IF(regexMatch(A174,"[A-Za-z]*_o_.*")," Old", "")))</f>
        <v/>
      </c>
      <c r="G174" s="16" t="str">
        <f>IF(regexMatch(A174,"[A-Za-z]*_f_.*")," Female", (IF(regexMatch(A174,"[A-Za-z]*_m_.*"), " Male", "")))</f>
        <v/>
      </c>
      <c r="H174" s="16" t="str">
        <f>IF(regexMatch(A174,".*_([0-9]+$)"), CONCATENATE(" ",VALUE(TRIM(CLEAN(RegexFindGroup(A174,".*_([0-9]*)"))))), "")</f>
        <v/>
      </c>
      <c r="I174" s="16" t="str">
        <f>IF(regexMatch(A174,"cs_.*")," (CS)", (IF(regexMatch(A174,"ig_.*"), " (IG)", "")))</f>
        <v xml:space="preserve"> (IG)</v>
      </c>
      <c r="J174" s="10" t="str">
        <f t="shared" si="5"/>
        <v>Clay Jackson (The Pain Giver) (IG)</v>
      </c>
    </row>
    <row r="175" spans="1:10" x14ac:dyDescent="0.25">
      <c r="A175" s="6" t="s">
        <v>358</v>
      </c>
      <c r="B175" s="6" t="str">
        <f t="shared" si="6"/>
        <v>cs_clay</v>
      </c>
      <c r="C175" s="6" t="s">
        <v>359</v>
      </c>
      <c r="D175" s="7" t="str">
        <f>PROPER(C175)</f>
        <v>Clay</v>
      </c>
      <c r="E175" s="4" t="s">
        <v>1438</v>
      </c>
      <c r="F175" s="9" t="str">
        <f>IF(regexMatch(A175,"[A-Za-z]*_y_.*")," Young",(IF(regexMatch(A175,"[A-Za-z]*_o_.*")," Old", "")))</f>
        <v/>
      </c>
      <c r="G175" s="16" t="str">
        <f>IF(regexMatch(A175,"[A-Za-z]*_f_.*")," Female", (IF(regexMatch(A175,"[A-Za-z]*_m_.*"), " Male", "")))</f>
        <v/>
      </c>
      <c r="H175" s="16" t="str">
        <f>IF(regexMatch(A175,".*_([0-9]+$)"), CONCATENATE(" ",VALUE(TRIM(CLEAN(RegexFindGroup(A175,".*_([0-9]*)"))))), "")</f>
        <v/>
      </c>
      <c r="I175" s="16" t="str">
        <f>IF(regexMatch(A175,"cs_.*")," (CS)", (IF(regexMatch(A175,"ig_.*"), " (IG)", "")))</f>
        <v xml:space="preserve"> (CS)</v>
      </c>
      <c r="J175" s="10" t="str">
        <f t="shared" si="5"/>
        <v>Clay Simons (The Lost) (CS)</v>
      </c>
    </row>
    <row r="176" spans="1:10" x14ac:dyDescent="0.25">
      <c r="A176" s="6" t="s">
        <v>360</v>
      </c>
      <c r="B176" s="6" t="str">
        <f t="shared" si="6"/>
        <v>ig_clay</v>
      </c>
      <c r="C176" s="6" t="s">
        <v>359</v>
      </c>
      <c r="D176" s="7" t="str">
        <f>PROPER(C176)</f>
        <v>Clay</v>
      </c>
      <c r="E176" s="4" t="s">
        <v>1438</v>
      </c>
      <c r="F176" s="9" t="str">
        <f>IF(regexMatch(A176,"[A-Za-z]*_y_.*")," Young",(IF(regexMatch(A176,"[A-Za-z]*_o_.*")," Old", "")))</f>
        <v/>
      </c>
      <c r="G176" s="16" t="str">
        <f>IF(regexMatch(A176,"[A-Za-z]*_f_.*")," Female", (IF(regexMatch(A176,"[A-Za-z]*_m_.*"), " Male", "")))</f>
        <v/>
      </c>
      <c r="H176" s="16" t="str">
        <f>IF(regexMatch(A176,".*_([0-9]+$)"), CONCATENATE(" ",VALUE(TRIM(CLEAN(RegexFindGroup(A176,".*_([0-9]*)"))))), "")</f>
        <v/>
      </c>
      <c r="I176" s="16" t="str">
        <f>IF(regexMatch(A176,"cs_.*")," (CS)", (IF(regexMatch(A176,"ig_.*"), " (IG)", "")))</f>
        <v xml:space="preserve"> (IG)</v>
      </c>
      <c r="J176" s="10" t="str">
        <f t="shared" si="5"/>
        <v>Clay Simons (The Lost) (IG)</v>
      </c>
    </row>
    <row r="177" spans="1:10" x14ac:dyDescent="0.25">
      <c r="A177" s="6" t="s">
        <v>363</v>
      </c>
      <c r="B177" s="6" t="str">
        <f t="shared" si="6"/>
        <v>csb_cletus</v>
      </c>
      <c r="C177" s="6" t="s">
        <v>364</v>
      </c>
      <c r="D177" s="7" t="str">
        <f>PROPER(C177)</f>
        <v>Cletus</v>
      </c>
      <c r="E177" s="4" t="s">
        <v>1135</v>
      </c>
      <c r="F177" s="9" t="str">
        <f>IF(regexMatch(A177,"[A-Za-z]*_y_.*")," Young",(IF(regexMatch(A177,"[A-Za-z]*_o_.*")," Old", "")))</f>
        <v/>
      </c>
      <c r="G177" s="16" t="str">
        <f>IF(regexMatch(A177,"[A-Za-z]*_f_.*")," Female", (IF(regexMatch(A177,"[A-Za-z]*_m_.*"), " Male", "")))</f>
        <v/>
      </c>
      <c r="H177" s="16" t="str">
        <f>IF(regexMatch(A177,".*_([0-9]+$)"), CONCATENATE(" ",VALUE(TRIM(CLEAN(RegexFindGroup(A177,".*_([0-9]*)"))))), "")</f>
        <v/>
      </c>
      <c r="I177" s="16" t="str">
        <f>IF(regexMatch(A177,"cs_.*")," (CS)", (IF(regexMatch(A177,"ig_.*"), " (IG)", "")))</f>
        <v/>
      </c>
      <c r="J177" s="10" t="str">
        <f t="shared" si="5"/>
        <v>Cletus</v>
      </c>
    </row>
    <row r="178" spans="1:10" x14ac:dyDescent="0.25">
      <c r="A178" s="6" t="s">
        <v>365</v>
      </c>
      <c r="B178" s="6" t="str">
        <f t="shared" si="6"/>
        <v>ig_cletus</v>
      </c>
      <c r="C178" s="6" t="s">
        <v>364</v>
      </c>
      <c r="D178" s="7" t="str">
        <f>PROPER(C178)</f>
        <v>Cletus</v>
      </c>
      <c r="E178" s="4" t="s">
        <v>1135</v>
      </c>
      <c r="F178" s="9" t="str">
        <f>IF(regexMatch(A178,"[A-Za-z]*_y_.*")," Young",(IF(regexMatch(A178,"[A-Za-z]*_o_.*")," Old", "")))</f>
        <v/>
      </c>
      <c r="G178" s="16" t="str">
        <f>IF(regexMatch(A178,"[A-Za-z]*_f_.*")," Female", (IF(regexMatch(A178,"[A-Za-z]*_m_.*"), " Male", "")))</f>
        <v/>
      </c>
      <c r="H178" s="16" t="str">
        <f>IF(regexMatch(A178,".*_([0-9]+$)"), CONCATENATE(" ",VALUE(TRIM(CLEAN(RegexFindGroup(A178,".*_([0-9]*)"))))), "")</f>
        <v/>
      </c>
      <c r="I178" s="16" t="str">
        <f>IF(regexMatch(A178,"cs_.*")," (CS)", (IF(regexMatch(A178,"ig_.*"), " (IG)", "")))</f>
        <v xml:space="preserve"> (IG)</v>
      </c>
      <c r="J178" s="10" t="str">
        <f t="shared" si="5"/>
        <v>Cletus (IG)</v>
      </c>
    </row>
    <row r="179" spans="1:10" x14ac:dyDescent="0.25">
      <c r="A179" s="6" t="s">
        <v>366</v>
      </c>
      <c r="B179" s="6" t="str">
        <f t="shared" si="6"/>
        <v>s_m_y_clown_01</v>
      </c>
      <c r="C179" s="6" t="s">
        <v>367</v>
      </c>
      <c r="D179" s="7" t="str">
        <f>PROPER(C179)</f>
        <v>Clown</v>
      </c>
      <c r="E179" s="4" t="s">
        <v>1136</v>
      </c>
      <c r="F179" s="9"/>
      <c r="G179" s="16"/>
      <c r="H179" s="16" t="str">
        <f>IF(regexMatch(A179,".*_([0-9]+$)"), CONCATENATE(" ",VALUE(TRIM(CLEAN(RegexFindGroup(A179,".*_([0-9]*)"))))), "")</f>
        <v xml:space="preserve"> 1</v>
      </c>
      <c r="I179" s="16" t="str">
        <f>IF(regexMatch(A179,"cs_.*")," (CS)", (IF(regexMatch(A179,"ig_.*"), " (IG)", "")))</f>
        <v/>
      </c>
      <c r="J179" s="10" t="str">
        <f t="shared" si="5"/>
        <v>Clown</v>
      </c>
    </row>
    <row r="180" spans="1:10" x14ac:dyDescent="0.25">
      <c r="A180" s="6" t="s">
        <v>372</v>
      </c>
      <c r="B180" s="6" t="str">
        <f t="shared" si="6"/>
        <v>s_m_y_construct_01</v>
      </c>
      <c r="C180" s="6" t="s">
        <v>373</v>
      </c>
      <c r="D180" s="7" t="str">
        <f>PROPER(C180)</f>
        <v>Construct</v>
      </c>
      <c r="E180" s="4" t="s">
        <v>1332</v>
      </c>
      <c r="F180" s="9"/>
      <c r="G180" s="16"/>
      <c r="H180" s="16" t="str">
        <f>IF(regexMatch(A180,".*_([0-9]+$)"), CONCATENATE(" ",VALUE(TRIM(CLEAN(RegexFindGroup(A180,".*_([0-9]*)"))))), "")</f>
        <v xml:space="preserve"> 1</v>
      </c>
      <c r="I180" s="16" t="str">
        <f>IF(regexMatch(A180,"cs_.*")," (CS)", (IF(regexMatch(A180,"ig_.*"), " (IG)", "")))</f>
        <v/>
      </c>
      <c r="J180" s="10" t="str">
        <f t="shared" si="5"/>
        <v>Construction Worker</v>
      </c>
    </row>
    <row r="181" spans="1:10" x14ac:dyDescent="0.25">
      <c r="A181" s="6" t="s">
        <v>374</v>
      </c>
      <c r="B181" s="6" t="str">
        <f t="shared" si="6"/>
        <v>s_m_y_construct_02</v>
      </c>
      <c r="C181" s="6" t="s">
        <v>373</v>
      </c>
      <c r="D181" s="7" t="str">
        <f>PROPER(C181)</f>
        <v>Construct</v>
      </c>
      <c r="E181" s="4" t="s">
        <v>1332</v>
      </c>
      <c r="F181" s="9"/>
      <c r="G181" s="16"/>
      <c r="H181" s="16" t="str">
        <f>IF(regexMatch(A181,".*_([0-9]+$)"), CONCATENATE(" ",VALUE(TRIM(CLEAN(RegexFindGroup(A181,".*_([0-9]*)"))))), "")</f>
        <v xml:space="preserve"> 2</v>
      </c>
      <c r="I181" s="16" t="str">
        <f>IF(regexMatch(A181,"cs_.*")," (CS)", (IF(regexMatch(A181,"ig_.*"), " (IG)", "")))</f>
        <v/>
      </c>
      <c r="J181" s="10" t="str">
        <f t="shared" si="5"/>
        <v>Construction Worker 2</v>
      </c>
    </row>
    <row r="182" spans="1:10" x14ac:dyDescent="0.25">
      <c r="A182" s="6" t="s">
        <v>375</v>
      </c>
      <c r="B182" s="6" t="str">
        <f t="shared" si="6"/>
        <v>csb_cop</v>
      </c>
      <c r="C182" s="6" t="s">
        <v>376</v>
      </c>
      <c r="D182" s="7" t="str">
        <f>PROPER(C182)</f>
        <v>Cop</v>
      </c>
      <c r="E182" s="4" t="s">
        <v>1137</v>
      </c>
      <c r="F182" s="9" t="str">
        <f>IF(regexMatch(A182,"[A-Za-z]*_y_.*")," Young",(IF(regexMatch(A182,"[A-Za-z]*_o_.*")," Old", "")))</f>
        <v/>
      </c>
      <c r="G182" s="16" t="str">
        <f>IF(regexMatch(A182,"[A-Za-z]*_f_.*")," Female", (IF(regexMatch(A182,"[A-Za-z]*_m_.*"), " Male", "")))</f>
        <v/>
      </c>
      <c r="H182" s="16" t="str">
        <f>IF(regexMatch(A182,".*_([0-9]+$)"), CONCATENATE(" ",VALUE(TRIM(CLEAN(RegexFindGroup(A182,".*_([0-9]*)"))))), "")</f>
        <v/>
      </c>
      <c r="I182" s="16" t="str">
        <f>IF(regexMatch(A182,"cs_.*")," (CS)", (IF(regexMatch(A182,"ig_.*"), " (IG)", "")))</f>
        <v/>
      </c>
      <c r="J182" s="10" t="str">
        <f t="shared" si="5"/>
        <v>Cop</v>
      </c>
    </row>
    <row r="183" spans="1:10" x14ac:dyDescent="0.25">
      <c r="A183" s="6" t="s">
        <v>377</v>
      </c>
      <c r="B183" s="6" t="str">
        <f t="shared" si="6"/>
        <v>s_f_y_cop_01</v>
      </c>
      <c r="C183" s="6" t="s">
        <v>376</v>
      </c>
      <c r="D183" s="7" t="str">
        <f>PROPER(C183)</f>
        <v>Cop</v>
      </c>
      <c r="E183" s="4" t="s">
        <v>1137</v>
      </c>
      <c r="F183" s="9"/>
      <c r="G183" s="16" t="str">
        <f>IF(regexMatch(A183,"[A-Za-z]*_f_.*")," Female", (IF(regexMatch(A183,"[A-Za-z]*_m_.*"), " Male", "")))</f>
        <v xml:space="preserve"> Female</v>
      </c>
      <c r="H183" s="16" t="str">
        <f>IF(regexMatch(A183,".*_([0-9]+$)"), CONCATENATE(" ",VALUE(TRIM(CLEAN(RegexFindGroup(A183,".*_([0-9]*)"))))), "")</f>
        <v xml:space="preserve"> 1</v>
      </c>
      <c r="I183" s="16" t="str">
        <f>IF(regexMatch(A183,"cs_.*")," (CS)", (IF(regexMatch(A183,"ig_.*"), " (IG)", "")))</f>
        <v/>
      </c>
      <c r="J183" s="10" t="str">
        <f t="shared" si="5"/>
        <v>Cop Female</v>
      </c>
    </row>
    <row r="184" spans="1:10" x14ac:dyDescent="0.25">
      <c r="A184" s="6" t="s">
        <v>378</v>
      </c>
      <c r="B184" s="6" t="str">
        <f t="shared" si="6"/>
        <v>s_m_y_cop_01</v>
      </c>
      <c r="C184" s="6" t="s">
        <v>376</v>
      </c>
      <c r="D184" s="7" t="str">
        <f>PROPER(C184)</f>
        <v>Cop</v>
      </c>
      <c r="E184" s="4" t="s">
        <v>1137</v>
      </c>
      <c r="F184" s="9"/>
      <c r="G184" s="16" t="str">
        <f>IF(regexMatch(A184,"[A-Za-z]*_f_.*")," Female", (IF(regexMatch(A184,"[A-Za-z]*_m_.*"), " Male", "")))</f>
        <v xml:space="preserve"> Male</v>
      </c>
      <c r="H184" s="16" t="str">
        <f>IF(regexMatch(A184,".*_([0-9]+$)"), CONCATENATE(" ",VALUE(TRIM(CLEAN(RegexFindGroup(A184,".*_([0-9]*)"))))), "")</f>
        <v xml:space="preserve"> 1</v>
      </c>
      <c r="I184" s="16" t="str">
        <f>IF(regexMatch(A184,"cs_.*")," (CS)", (IF(regexMatch(A184,"ig_.*"), " (IG)", "")))</f>
        <v/>
      </c>
      <c r="J184" s="10" t="str">
        <f t="shared" si="5"/>
        <v>Cop Male</v>
      </c>
    </row>
    <row r="185" spans="1:10" x14ac:dyDescent="0.25">
      <c r="A185" s="6" t="s">
        <v>379</v>
      </c>
      <c r="B185" s="6" t="str">
        <f t="shared" si="6"/>
        <v>u_f_m_corpse_01</v>
      </c>
      <c r="C185" s="6" t="s">
        <v>380</v>
      </c>
      <c r="D185" s="7" t="str">
        <f>PROPER(C185)</f>
        <v>Corpse</v>
      </c>
      <c r="E185" s="4" t="s">
        <v>1138</v>
      </c>
      <c r="F185" s="9" t="str">
        <f>IF(regexMatch(A185,"[A-Za-z]*_y_.*")," Young",(IF(regexMatch(A185,"[A-Za-z]*_o_.*")," Old", "")))</f>
        <v/>
      </c>
      <c r="G185" s="16" t="str">
        <f>IF(regexMatch(A185,"[A-Za-z]*_f_.*")," Female", (IF(regexMatch(A185,"[A-Za-z]*_m_.*"), " Male", "")))</f>
        <v xml:space="preserve"> Female</v>
      </c>
      <c r="H185" s="16" t="str">
        <f>IF(regexMatch(A185,".*_([0-9]+$)"), CONCATENATE(" ",VALUE(TRIM(CLEAN(RegexFindGroup(A185,".*_([0-9]*)"))))), "")</f>
        <v xml:space="preserve"> 1</v>
      </c>
      <c r="I185" s="16" t="str">
        <f>IF(regexMatch(A185,"cs_.*")," (CS)", (IF(regexMatch(A185,"ig_.*"), " (IG)", "")))</f>
        <v/>
      </c>
      <c r="J185" s="10" t="str">
        <f t="shared" si="5"/>
        <v>Corpse Female</v>
      </c>
    </row>
    <row r="186" spans="1:10" x14ac:dyDescent="0.25">
      <c r="A186" s="6" t="s">
        <v>381</v>
      </c>
      <c r="B186" s="6" t="str">
        <f t="shared" si="6"/>
        <v>u_f_y_corpse_01</v>
      </c>
      <c r="C186" s="6" t="s">
        <v>380</v>
      </c>
      <c r="D186" s="7" t="str">
        <f>PROPER(C186)</f>
        <v>Corpse</v>
      </c>
      <c r="E186" s="4" t="s">
        <v>1138</v>
      </c>
      <c r="F186" s="9" t="str">
        <f>IF(regexMatch(A186,"[A-Za-z]*_y_.*")," Young",(IF(regexMatch(A186,"[A-Za-z]*_o_.*")," Old", "")))</f>
        <v xml:space="preserve"> Young</v>
      </c>
      <c r="G186" s="16" t="str">
        <f>IF(regexMatch(A186,"[A-Za-z]*_f_.*")," Female", (IF(regexMatch(A186,"[A-Za-z]*_m_.*"), " Male", "")))</f>
        <v xml:space="preserve"> Female</v>
      </c>
      <c r="H186" s="16" t="str">
        <f>IF(regexMatch(A186,".*_([0-9]+$)"), CONCATENATE(" ",VALUE(TRIM(CLEAN(RegexFindGroup(A186,".*_([0-9]*)"))))), "")</f>
        <v xml:space="preserve"> 1</v>
      </c>
      <c r="I186" s="16" t="str">
        <f>IF(regexMatch(A186,"cs_.*")," (CS)", (IF(regexMatch(A186,"ig_.*"), " (IG)", "")))</f>
        <v/>
      </c>
      <c r="J186" s="10" t="str">
        <f t="shared" si="5"/>
        <v>Corpse Young Female</v>
      </c>
    </row>
    <row r="187" spans="1:10" x14ac:dyDescent="0.25">
      <c r="A187" s="6" t="s">
        <v>382</v>
      </c>
      <c r="B187" s="6" t="str">
        <f t="shared" si="6"/>
        <v>u_f_y_corpse_02</v>
      </c>
      <c r="C187" s="6" t="s">
        <v>380</v>
      </c>
      <c r="D187" s="7" t="str">
        <f>PROPER(C187)</f>
        <v>Corpse</v>
      </c>
      <c r="E187" s="4" t="s">
        <v>1138</v>
      </c>
      <c r="F187" s="9" t="str">
        <f>IF(regexMatch(A187,"[A-Za-z]*_y_.*")," Young",(IF(regexMatch(A187,"[A-Za-z]*_o_.*")," Old", "")))</f>
        <v xml:space="preserve"> Young</v>
      </c>
      <c r="G187" s="16" t="str">
        <f>IF(regexMatch(A187,"[A-Za-z]*_f_.*")," Female", (IF(regexMatch(A187,"[A-Za-z]*_m_.*"), " Male", "")))</f>
        <v xml:space="preserve"> Female</v>
      </c>
      <c r="H187" s="16" t="str">
        <f>IF(regexMatch(A187,".*_([0-9]+$)"), CONCATENATE(" ",VALUE(TRIM(CLEAN(RegexFindGroup(A187,".*_([0-9]*)"))))), "")</f>
        <v xml:space="preserve"> 2</v>
      </c>
      <c r="I187" s="16" t="str">
        <f>IF(regexMatch(A187,"cs_.*")," (CS)", (IF(regexMatch(A187,"ig_.*"), " (IG)", "")))</f>
        <v/>
      </c>
      <c r="J187" s="10" t="str">
        <f t="shared" si="5"/>
        <v>Corpse Young Female 2</v>
      </c>
    </row>
    <row r="188" spans="1:10" x14ac:dyDescent="0.25">
      <c r="A188" s="1" t="s">
        <v>1545</v>
      </c>
      <c r="B188" s="6" t="str">
        <f t="shared" si="6"/>
        <v>s_m_m_ccrew_01</v>
      </c>
      <c r="E188" s="2" t="s">
        <v>1546</v>
      </c>
      <c r="H188" s="16" t="str">
        <f>IF(regexMatch(A188,".*_([0-9]+$)"), CONCATENATE(" ",VALUE(TRIM(CLEAN(RegexFindGroup(A188,".*_([0-9]*)"))))), "")</f>
        <v xml:space="preserve"> 1</v>
      </c>
      <c r="J188" s="10" t="str">
        <f t="shared" si="5"/>
        <v>Crew Member</v>
      </c>
    </row>
    <row r="189" spans="1:10" x14ac:dyDescent="0.25">
      <c r="A189" s="6" t="s">
        <v>352</v>
      </c>
      <c r="B189" s="6" t="str">
        <f t="shared" si="6"/>
        <v>cs_chrisformage</v>
      </c>
      <c r="C189" s="6" t="s">
        <v>353</v>
      </c>
      <c r="D189" s="7" t="str">
        <f>PROPER(C189)</f>
        <v>Chrisformage</v>
      </c>
      <c r="E189" s="4" t="s">
        <v>1385</v>
      </c>
      <c r="F189" s="9" t="str">
        <f>IF(regexMatch(A189,"[A-Za-z]*_y_.*")," Young",(IF(regexMatch(A189,"[A-Za-z]*_o_.*")," Old", "")))</f>
        <v/>
      </c>
      <c r="G189" s="16" t="str">
        <f>IF(regexMatch(A189,"[A-Za-z]*_f_.*")," Female", (IF(regexMatch(A189,"[A-Za-z]*_m_.*"), " Male", "")))</f>
        <v/>
      </c>
      <c r="H189" s="16" t="str">
        <f>IF(regexMatch(A189,".*_([0-9]+$)"), CONCATENATE(" ",VALUE(TRIM(CLEAN(RegexFindGroup(A189,".*_([0-9]*)"))))), "")</f>
        <v/>
      </c>
      <c r="I189" s="16" t="str">
        <f>IF(regexMatch(A189,"cs_.*")," (CS)", (IF(regexMatch(A189,"ig_.*"), " (IG)", "")))</f>
        <v xml:space="preserve"> (CS)</v>
      </c>
      <c r="J189" s="10" t="str">
        <f t="shared" si="5"/>
        <v>Cris Formage (CS)</v>
      </c>
    </row>
    <row r="190" spans="1:10" x14ac:dyDescent="0.25">
      <c r="A190" s="6" t="s">
        <v>30</v>
      </c>
      <c r="B190" s="6" t="str">
        <f t="shared" si="6"/>
        <v xml:space="preserve">	ig_chrisformage</v>
      </c>
      <c r="C190" s="6" t="s">
        <v>29</v>
      </c>
      <c r="D190" s="7" t="str">
        <f>PROPER(C190)</f>
        <v xml:space="preserve">	Chrisformage</v>
      </c>
      <c r="E190" s="4" t="s">
        <v>1385</v>
      </c>
      <c r="F190" s="9" t="str">
        <f>IF(regexMatch(A190,"[A-Za-z]*_y_.*")," Young",(IF(regexMatch(A190,"[A-Za-z]*_o_.*")," Old", "")))</f>
        <v/>
      </c>
      <c r="G190" s="16" t="str">
        <f>IF(regexMatch(A190,"[A-Za-z]*_f_.*")," Female", (IF(regexMatch(A190,"[A-Za-z]*_m_.*"), " Male", "")))</f>
        <v/>
      </c>
      <c r="H190" s="16" t="str">
        <f>IF(regexMatch(A190,".*_([0-9]+$)"), CONCATENATE(" ",VALUE(TRIM(CLEAN(RegexFindGroup(A190,".*_([0-9]*)"))))), "")</f>
        <v/>
      </c>
      <c r="I190" s="16" t="str">
        <f>IF(regexMatch(A190,"cs_.*")," (CS)", (IF(regexMatch(A190,"ig_.*"), " (IG)", "")))</f>
        <v xml:space="preserve"> (IG)</v>
      </c>
      <c r="J190" s="10" t="str">
        <f t="shared" si="5"/>
        <v>Cris Formage (IG)</v>
      </c>
    </row>
    <row r="191" spans="1:10" x14ac:dyDescent="0.25">
      <c r="A191" s="6" t="s">
        <v>383</v>
      </c>
      <c r="B191" s="6" t="str">
        <f t="shared" si="6"/>
        <v>csb_customer</v>
      </c>
      <c r="C191" s="6" t="s">
        <v>384</v>
      </c>
      <c r="D191" s="7" t="str">
        <f>PROPER(C191)</f>
        <v>Customer</v>
      </c>
      <c r="E191" s="4" t="s">
        <v>1139</v>
      </c>
      <c r="F191" s="9" t="str">
        <f>IF(regexMatch(A191,"[A-Za-z]*_y_.*")," Young",(IF(regexMatch(A191,"[A-Za-z]*_o_.*")," Old", "")))</f>
        <v/>
      </c>
      <c r="G191" s="16" t="str">
        <f>IF(regexMatch(A191,"[A-Za-z]*_f_.*")," Female", (IF(regexMatch(A191,"[A-Za-z]*_m_.*"), " Male", "")))</f>
        <v/>
      </c>
      <c r="H191" s="16" t="str">
        <f>IF(regexMatch(A191,".*_([0-9]+$)"), CONCATENATE(" ",VALUE(TRIM(CLEAN(RegexFindGroup(A191,".*_([0-9]*)"))))), "")</f>
        <v/>
      </c>
      <c r="I191" s="16" t="str">
        <f>IF(regexMatch(A191,"cs_.*")," (CS)", (IF(regexMatch(A191,"ig_.*"), " (IG)", "")))</f>
        <v/>
      </c>
      <c r="J191" s="10" t="str">
        <f t="shared" si="5"/>
        <v>Customer</v>
      </c>
    </row>
    <row r="192" spans="1:10" x14ac:dyDescent="0.25">
      <c r="A192" s="6" t="s">
        <v>385</v>
      </c>
      <c r="B192" s="6" t="str">
        <f t="shared" si="6"/>
        <v>a_m_y_cyclist_01</v>
      </c>
      <c r="C192" s="6" t="s">
        <v>386</v>
      </c>
      <c r="D192" s="7" t="str">
        <f>PROPER(C192)</f>
        <v>Cyclist</v>
      </c>
      <c r="E192" s="4" t="s">
        <v>1140</v>
      </c>
      <c r="F192" s="9"/>
      <c r="G192" s="16" t="str">
        <f>IF(regexMatch(A192,"[A-Za-z]*_f_.*")," Female", (IF(regexMatch(A192,"[A-Za-z]*_m_.*"), " Male", "")))</f>
        <v xml:space="preserve"> Male</v>
      </c>
      <c r="H192" s="16" t="str">
        <f>IF(regexMatch(A192,".*_([0-9]+$)"), CONCATENATE(" ",VALUE(TRIM(CLEAN(RegexFindGroup(A192,".*_([0-9]*)"))))), "")</f>
        <v xml:space="preserve"> 1</v>
      </c>
      <c r="I192" s="16" t="str">
        <f>IF(regexMatch(A192,"cs_.*")," (CS)", (IF(regexMatch(A192,"ig_.*"), " (IG)", "")))</f>
        <v/>
      </c>
      <c r="J192" s="10" t="str">
        <f t="shared" si="5"/>
        <v>Cyclist Male</v>
      </c>
    </row>
    <row r="193" spans="1:10" x14ac:dyDescent="0.25">
      <c r="A193" s="6" t="s">
        <v>387</v>
      </c>
      <c r="B193" s="6" t="str">
        <f t="shared" si="6"/>
        <v>u_m_y_cyclist_01</v>
      </c>
      <c r="C193" s="6" t="s">
        <v>386</v>
      </c>
      <c r="D193" s="7" t="str">
        <f>PROPER(C193)</f>
        <v>Cyclist</v>
      </c>
      <c r="E193" s="4" t="s">
        <v>1140</v>
      </c>
      <c r="F193" s="9"/>
      <c r="G193" s="16" t="str">
        <f>IF(regexMatch(A193,"[A-Za-z]*_f_.*")," Female", (IF(regexMatch(A193,"[A-Za-z]*_m_.*"), " Male", "")))</f>
        <v xml:space="preserve"> Male</v>
      </c>
      <c r="H193" s="16" t="str">
        <f>IF(regexMatch(A193,".*_([0-9]+$)"), CONCATENATE(" ",VALUE(TRIM(CLEAN(RegexFindGroup(A193,".*_([0-9]*)"))))), "")</f>
        <v xml:space="preserve"> 1</v>
      </c>
      <c r="I193" s="16" t="str">
        <f>IF(regexMatch(A193,"cs_.*")," (CS)", (IF(regexMatch(A193,"ig_.*"), " (IG)", "")))</f>
        <v/>
      </c>
      <c r="J193" s="10" t="str">
        <f t="shared" si="5"/>
        <v>Cyclist Male</v>
      </c>
    </row>
    <row r="194" spans="1:10" x14ac:dyDescent="0.25">
      <c r="A194" s="6" t="s">
        <v>388</v>
      </c>
      <c r="B194" s="6" t="str">
        <f t="shared" si="6"/>
        <v>cs_dale</v>
      </c>
      <c r="C194" s="6" t="s">
        <v>389</v>
      </c>
      <c r="D194" s="7" t="str">
        <f>PROPER(C194)</f>
        <v>Dale</v>
      </c>
      <c r="E194" s="4" t="s">
        <v>1141</v>
      </c>
      <c r="F194" s="9" t="str">
        <f>IF(regexMatch(A194,"[A-Za-z]*_y_.*")," Young",(IF(regexMatch(A194,"[A-Za-z]*_o_.*")," Old", "")))</f>
        <v/>
      </c>
      <c r="G194" s="16" t="str">
        <f>IF(regexMatch(A194,"[A-Za-z]*_f_.*")," Female", (IF(regexMatch(A194,"[A-Za-z]*_m_.*"), " Male", "")))</f>
        <v/>
      </c>
      <c r="H194" s="16" t="str">
        <f>IF(regexMatch(A194,".*_([0-9]+$)"), CONCATENATE(" ",VALUE(TRIM(CLEAN(RegexFindGroup(A194,".*_([0-9]*)"))))), "")</f>
        <v/>
      </c>
      <c r="I194" s="16" t="str">
        <f>IF(regexMatch(A194,"cs_.*")," (CS)", (IF(regexMatch(A194,"ig_.*"), " (IG)", "")))</f>
        <v xml:space="preserve"> (CS)</v>
      </c>
      <c r="J194" s="10" t="str">
        <f t="shared" si="5"/>
        <v>Dale (CS)</v>
      </c>
    </row>
    <row r="195" spans="1:10" x14ac:dyDescent="0.25">
      <c r="A195" s="6" t="s">
        <v>390</v>
      </c>
      <c r="B195" s="6" t="str">
        <f t="shared" si="6"/>
        <v>ig_dale</v>
      </c>
      <c r="C195" s="6" t="s">
        <v>389</v>
      </c>
      <c r="D195" s="7" t="str">
        <f>PROPER(C195)</f>
        <v>Dale</v>
      </c>
      <c r="E195" s="4" t="s">
        <v>1141</v>
      </c>
      <c r="F195" s="9" t="str">
        <f>IF(regexMatch(A195,"[A-Za-z]*_y_.*")," Young",(IF(regexMatch(A195,"[A-Za-z]*_o_.*")," Old", "")))</f>
        <v/>
      </c>
      <c r="G195" s="16" t="str">
        <f>IF(regexMatch(A195,"[A-Za-z]*_f_.*")," Female", (IF(regexMatch(A195,"[A-Za-z]*_m_.*"), " Male", "")))</f>
        <v/>
      </c>
      <c r="H195" s="16" t="str">
        <f>IF(regexMatch(A195,".*_([0-9]+$)"), CONCATENATE(" ",VALUE(TRIM(CLEAN(RegexFindGroup(A195,".*_([0-9]*)"))))), "")</f>
        <v/>
      </c>
      <c r="I195" s="16" t="str">
        <f>IF(regexMatch(A195,"cs_.*")," (CS)", (IF(regexMatch(A195,"ig_.*"), " (IG)", "")))</f>
        <v xml:space="preserve"> (IG)</v>
      </c>
      <c r="J195" s="10" t="str">
        <f t="shared" ref="J195:J258" si="7">TRIM(CONCATENATE(E195,F195,G195,IF(H195=" 1","",H195),I195))</f>
        <v>Dale (IG)</v>
      </c>
    </row>
    <row r="196" spans="1:10" x14ac:dyDescent="0.25">
      <c r="A196" s="6" t="s">
        <v>391</v>
      </c>
      <c r="B196" s="6" t="str">
        <f t="shared" ref="B196:B259" si="8">TRIM(A196)</f>
        <v>cs_davenorton</v>
      </c>
      <c r="C196" s="6" t="s">
        <v>392</v>
      </c>
      <c r="D196" s="7" t="str">
        <f>PROPER(C196)</f>
        <v>Davenorton</v>
      </c>
      <c r="E196" s="4" t="s">
        <v>1330</v>
      </c>
      <c r="F196" s="9" t="str">
        <f>IF(regexMatch(A196,"[A-Za-z]*_y_.*")," Young",(IF(regexMatch(A196,"[A-Za-z]*_o_.*")," Old", "")))</f>
        <v/>
      </c>
      <c r="G196" s="16" t="str">
        <f>IF(regexMatch(A196,"[A-Za-z]*_f_.*")," Female", (IF(regexMatch(A196,"[A-Za-z]*_m_.*"), " Male", "")))</f>
        <v/>
      </c>
      <c r="H196" s="16" t="str">
        <f>IF(regexMatch(A196,".*_([0-9]+$)"), CONCATENATE(" ",VALUE(TRIM(CLEAN(RegexFindGroup(A196,".*_([0-9]*)"))))), "")</f>
        <v/>
      </c>
      <c r="I196" s="16" t="str">
        <f>IF(regexMatch(A196,"cs_.*")," (CS)", (IF(regexMatch(A196,"ig_.*"), " (IG)", "")))</f>
        <v xml:space="preserve"> (CS)</v>
      </c>
      <c r="J196" s="10" t="str">
        <f t="shared" si="7"/>
        <v>Dave Norton (CS)</v>
      </c>
    </row>
    <row r="197" spans="1:10" x14ac:dyDescent="0.25">
      <c r="A197" s="6" t="s">
        <v>393</v>
      </c>
      <c r="B197" s="6" t="str">
        <f t="shared" si="8"/>
        <v>ig_davenorton</v>
      </c>
      <c r="C197" s="6" t="s">
        <v>392</v>
      </c>
      <c r="D197" s="7" t="str">
        <f>PROPER(C197)</f>
        <v>Davenorton</v>
      </c>
      <c r="E197" s="4" t="s">
        <v>1330</v>
      </c>
      <c r="F197" s="9" t="str">
        <f>IF(regexMatch(A197,"[A-Za-z]*_y_.*")," Young",(IF(regexMatch(A197,"[A-Za-z]*_o_.*")," Old", "")))</f>
        <v/>
      </c>
      <c r="G197" s="16" t="str">
        <f>IF(regexMatch(A197,"[A-Za-z]*_f_.*")," Female", (IF(regexMatch(A197,"[A-Za-z]*_m_.*"), " Male", "")))</f>
        <v/>
      </c>
      <c r="H197" s="16" t="str">
        <f>IF(regexMatch(A197,".*_([0-9]+$)"), CONCATENATE(" ",VALUE(TRIM(CLEAN(RegexFindGroup(A197,".*_([0-9]*)"))))), "")</f>
        <v/>
      </c>
      <c r="I197" s="16" t="str">
        <f>IF(regexMatch(A197,"cs_.*")," (CS)", (IF(regexMatch(A197,"ig_.*"), " (IG)", "")))</f>
        <v xml:space="preserve"> (IG)</v>
      </c>
      <c r="J197" s="10" t="str">
        <f t="shared" si="7"/>
        <v>Dave Norton (IG)</v>
      </c>
    </row>
    <row r="198" spans="1:10" x14ac:dyDescent="0.25">
      <c r="A198" s="6" t="s">
        <v>394</v>
      </c>
      <c r="B198" s="6" t="str">
        <f t="shared" si="8"/>
        <v>mp_f_deadhooker</v>
      </c>
      <c r="C198" s="6" t="s">
        <v>395</v>
      </c>
      <c r="D198" s="7" t="str">
        <f>PROPER(C198)</f>
        <v>Deadhooker</v>
      </c>
      <c r="E198" s="4" t="s">
        <v>1331</v>
      </c>
      <c r="F198" s="9" t="str">
        <f>IF(regexMatch(A198,"[A-Za-z]*_y_.*")," Young",(IF(regexMatch(A198,"[A-Za-z]*_o_.*")," Old", "")))</f>
        <v/>
      </c>
      <c r="G198" s="16"/>
      <c r="H198" s="16" t="str">
        <f>IF(regexMatch(A198,".*_([0-9]+$)"), CONCATENATE(" ",VALUE(TRIM(CLEAN(RegexFindGroup(A198,".*_([0-9]*)"))))), "")</f>
        <v/>
      </c>
      <c r="I198" s="16" t="str">
        <f>IF(regexMatch(A198,"cs_.*")," (CS)", (IF(regexMatch(A198,"ig_.*"), " (IG)", "")))</f>
        <v/>
      </c>
      <c r="J198" s="10" t="str">
        <f t="shared" si="7"/>
        <v>Dead Hooker</v>
      </c>
    </row>
    <row r="199" spans="1:10" x14ac:dyDescent="0.25">
      <c r="A199" s="6" t="s">
        <v>396</v>
      </c>
      <c r="B199" s="6" t="str">
        <f t="shared" si="8"/>
        <v>s_m_y_dealer_01</v>
      </c>
      <c r="C199" s="6" t="s">
        <v>397</v>
      </c>
      <c r="D199" s="7" t="str">
        <f>PROPER(C199)</f>
        <v>Dealer</v>
      </c>
      <c r="E199" s="4" t="s">
        <v>1142</v>
      </c>
      <c r="F199" s="9"/>
      <c r="G199" s="16"/>
      <c r="H199" s="16" t="str">
        <f>IF(regexMatch(A199,".*_([0-9]+$)"), CONCATENATE(" ",VALUE(TRIM(CLEAN(RegexFindGroup(A199,".*_([0-9]*)"))))), "")</f>
        <v xml:space="preserve"> 1</v>
      </c>
      <c r="I199" s="16" t="str">
        <f>IF(regexMatch(A199,"cs_.*")," (CS)", (IF(regexMatch(A199,"ig_.*"), " (IG)", "")))</f>
        <v/>
      </c>
      <c r="J199" s="10" t="str">
        <f t="shared" si="7"/>
        <v>Dealer</v>
      </c>
    </row>
    <row r="200" spans="1:10" x14ac:dyDescent="0.25">
      <c r="A200" s="6" t="s">
        <v>398</v>
      </c>
      <c r="B200" s="6" t="str">
        <f t="shared" si="8"/>
        <v>cs_debra</v>
      </c>
      <c r="C200" s="6" t="s">
        <v>399</v>
      </c>
      <c r="D200" s="7" t="str">
        <f>PROPER(C200)</f>
        <v>Debra</v>
      </c>
      <c r="E200" s="4" t="s">
        <v>1143</v>
      </c>
      <c r="F200" s="9" t="str">
        <f>IF(regexMatch(A200,"[A-Za-z]*_y_.*")," Young",(IF(regexMatch(A200,"[A-Za-z]*_o_.*")," Old", "")))</f>
        <v/>
      </c>
      <c r="G200" s="16" t="str">
        <f>IF(regexMatch(A200,"[A-Za-z]*_f_.*")," Female", (IF(regexMatch(A200,"[A-Za-z]*_m_.*"), " Male", "")))</f>
        <v/>
      </c>
      <c r="H200" s="16" t="str">
        <f>IF(regexMatch(A200,".*_([0-9]+$)"), CONCATENATE(" ",VALUE(TRIM(CLEAN(RegexFindGroup(A200,".*_([0-9]*)"))))), "")</f>
        <v/>
      </c>
      <c r="I200" s="16" t="str">
        <f>IF(regexMatch(A200,"cs_.*")," (CS)", (IF(regexMatch(A200,"ig_.*"), " (IG)", "")))</f>
        <v xml:space="preserve"> (CS)</v>
      </c>
      <c r="J200" s="10" t="str">
        <f t="shared" si="7"/>
        <v>Debra (CS)</v>
      </c>
    </row>
    <row r="201" spans="1:10" x14ac:dyDescent="0.25">
      <c r="A201" s="6" t="s">
        <v>400</v>
      </c>
      <c r="B201" s="6" t="str">
        <f t="shared" si="8"/>
        <v>cs_denise</v>
      </c>
      <c r="C201" s="6" t="s">
        <v>401</v>
      </c>
      <c r="D201" s="7" t="str">
        <f>PROPER(C201)</f>
        <v>Denise</v>
      </c>
      <c r="E201" s="4" t="s">
        <v>1144</v>
      </c>
      <c r="F201" s="9" t="str">
        <f>IF(regexMatch(A201,"[A-Za-z]*_y_.*")," Young",(IF(regexMatch(A201,"[A-Za-z]*_o_.*")," Old", "")))</f>
        <v/>
      </c>
      <c r="G201" s="16" t="str">
        <f>IF(regexMatch(A201,"[A-Za-z]*_f_.*")," Female", (IF(regexMatch(A201,"[A-Za-z]*_m_.*"), " Male", "")))</f>
        <v/>
      </c>
      <c r="H201" s="16" t="str">
        <f>IF(regexMatch(A201,".*_([0-9]+$)"), CONCATENATE(" ",VALUE(TRIM(CLEAN(RegexFindGroup(A201,".*_([0-9]*)"))))), "")</f>
        <v/>
      </c>
      <c r="I201" s="16" t="str">
        <f>IF(regexMatch(A201,"cs_.*")," (CS)", (IF(regexMatch(A201,"ig_.*"), " (IG)", "")))</f>
        <v xml:space="preserve"> (CS)</v>
      </c>
      <c r="J201" s="10" t="str">
        <f t="shared" si="7"/>
        <v>Denise (CS)</v>
      </c>
    </row>
    <row r="202" spans="1:10" x14ac:dyDescent="0.25">
      <c r="A202" s="6" t="s">
        <v>402</v>
      </c>
      <c r="B202" s="6" t="str">
        <f t="shared" si="8"/>
        <v>ig_denise</v>
      </c>
      <c r="C202" s="6" t="s">
        <v>401</v>
      </c>
      <c r="D202" s="7" t="str">
        <f>PROPER(C202)</f>
        <v>Denise</v>
      </c>
      <c r="E202" s="4" t="s">
        <v>1144</v>
      </c>
      <c r="F202" s="9" t="str">
        <f>IF(regexMatch(A202,"[A-Za-z]*_y_.*")," Young",(IF(regexMatch(A202,"[A-Za-z]*_o_.*")," Old", "")))</f>
        <v/>
      </c>
      <c r="G202" s="16" t="str">
        <f>IF(regexMatch(A202,"[A-Za-z]*_f_.*")," Female", (IF(regexMatch(A202,"[A-Za-z]*_m_.*"), " Male", "")))</f>
        <v/>
      </c>
      <c r="H202" s="16" t="str">
        <f>IF(regexMatch(A202,".*_([0-9]+$)"), CONCATENATE(" ",VALUE(TRIM(CLEAN(RegexFindGroup(A202,".*_([0-9]*)"))))), "")</f>
        <v/>
      </c>
      <c r="I202" s="16" t="str">
        <f>IF(regexMatch(A202,"cs_.*")," (CS)", (IF(regexMatch(A202,"ig_.*"), " (IG)", "")))</f>
        <v xml:space="preserve"> (IG)</v>
      </c>
      <c r="J202" s="10" t="str">
        <f t="shared" si="7"/>
        <v>Denise (IG)</v>
      </c>
    </row>
    <row r="203" spans="1:10" x14ac:dyDescent="0.25">
      <c r="A203" s="6" t="s">
        <v>32</v>
      </c>
      <c r="B203" s="6" t="str">
        <f t="shared" si="8"/>
        <v xml:space="preserve">	csb_denise_friend</v>
      </c>
      <c r="C203" s="6" t="s">
        <v>31</v>
      </c>
      <c r="D203" s="7" t="str">
        <f>PROPER(C203)</f>
        <v xml:space="preserve">	Denise_Friend</v>
      </c>
      <c r="E203" s="4" t="s">
        <v>1384</v>
      </c>
      <c r="F203" s="9" t="str">
        <f>IF(regexMatch(A203,"[A-Za-z]*_y_.*")," Young",(IF(regexMatch(A203,"[A-Za-z]*_o_.*")," Old", "")))</f>
        <v/>
      </c>
      <c r="G203" s="16" t="str">
        <f>IF(regexMatch(A203,"[A-Za-z]*_f_.*")," Female", (IF(regexMatch(A203,"[A-Za-z]*_m_.*"), " Male", "")))</f>
        <v/>
      </c>
      <c r="H203" s="16" t="str">
        <f>IF(regexMatch(A203,".*_([0-9]+$)"), CONCATENATE(" ",VALUE(TRIM(CLEAN(RegexFindGroup(A203,".*_([0-9]*)"))))), "")</f>
        <v/>
      </c>
      <c r="I203" s="16" t="str">
        <f>IF(regexMatch(A203,"cs_.*")," (CS)", (IF(regexMatch(A203,"ig_.*"), " (IG)", "")))</f>
        <v/>
      </c>
      <c r="J203" s="10" t="str">
        <f t="shared" si="7"/>
        <v>Denise's Friend</v>
      </c>
    </row>
    <row r="204" spans="1:10" x14ac:dyDescent="0.25">
      <c r="A204" s="6" t="s">
        <v>403</v>
      </c>
      <c r="B204" s="6" t="str">
        <f t="shared" si="8"/>
        <v>cs_devin</v>
      </c>
      <c r="C204" s="6" t="s">
        <v>404</v>
      </c>
      <c r="D204" s="7" t="str">
        <f>PROPER(C204)</f>
        <v>Devin</v>
      </c>
      <c r="E204" s="4" t="s">
        <v>1145</v>
      </c>
      <c r="F204" s="9" t="str">
        <f>IF(regexMatch(A204,"[A-Za-z]*_y_.*")," Young",(IF(regexMatch(A204,"[A-Za-z]*_o_.*")," Old", "")))</f>
        <v/>
      </c>
      <c r="G204" s="16" t="str">
        <f>IF(regexMatch(A204,"[A-Za-z]*_f_.*")," Female", (IF(regexMatch(A204,"[A-Za-z]*_m_.*"), " Male", "")))</f>
        <v/>
      </c>
      <c r="H204" s="16" t="str">
        <f>IF(regexMatch(A204,".*_([0-9]+$)"), CONCATENATE(" ",VALUE(TRIM(CLEAN(RegexFindGroup(A204,".*_([0-9]*)"))))), "")</f>
        <v/>
      </c>
      <c r="I204" s="16" t="str">
        <f>IF(regexMatch(A204,"cs_.*")," (CS)", (IF(regexMatch(A204,"ig_.*"), " (IG)", "")))</f>
        <v xml:space="preserve"> (CS)</v>
      </c>
      <c r="J204" s="10" t="str">
        <f t="shared" si="7"/>
        <v>Devin (CS)</v>
      </c>
    </row>
    <row r="205" spans="1:10" x14ac:dyDescent="0.25">
      <c r="A205" s="6" t="s">
        <v>405</v>
      </c>
      <c r="B205" s="6" t="str">
        <f t="shared" si="8"/>
        <v>ig_devin</v>
      </c>
      <c r="C205" s="6" t="s">
        <v>404</v>
      </c>
      <c r="D205" s="7" t="str">
        <f>PROPER(C205)</f>
        <v>Devin</v>
      </c>
      <c r="E205" s="4" t="s">
        <v>1145</v>
      </c>
      <c r="F205" s="9" t="str">
        <f>IF(regexMatch(A205,"[A-Za-z]*_y_.*")," Young",(IF(regexMatch(A205,"[A-Za-z]*_o_.*")," Old", "")))</f>
        <v/>
      </c>
      <c r="G205" s="16" t="str">
        <f>IF(regexMatch(A205,"[A-Za-z]*_f_.*")," Female", (IF(regexMatch(A205,"[A-Za-z]*_m_.*"), " Male", "")))</f>
        <v/>
      </c>
      <c r="H205" s="16" t="str">
        <f>IF(regexMatch(A205,".*_([0-9]+$)"), CONCATENATE(" ",VALUE(TRIM(CLEAN(RegexFindGroup(A205,".*_([0-9]*)"))))), "")</f>
        <v/>
      </c>
      <c r="I205" s="16" t="str">
        <f>IF(regexMatch(A205,"cs_.*")," (CS)", (IF(regexMatch(A205,"ig_.*"), " (IG)", "")))</f>
        <v xml:space="preserve"> (IG)</v>
      </c>
      <c r="J205" s="10" t="str">
        <f t="shared" si="7"/>
        <v>Devin (IG)</v>
      </c>
    </row>
    <row r="206" spans="1:10" x14ac:dyDescent="0.25">
      <c r="A206" s="6" t="s">
        <v>406</v>
      </c>
      <c r="B206" s="6" t="str">
        <f t="shared" si="8"/>
        <v>s_m_y_devinsec_01</v>
      </c>
      <c r="C206" s="6" t="s">
        <v>407</v>
      </c>
      <c r="D206" s="7" t="str">
        <f>PROPER(C206)</f>
        <v>Devinsec</v>
      </c>
      <c r="E206" s="4" t="s">
        <v>1329</v>
      </c>
      <c r="F206" s="9"/>
      <c r="G206" s="16"/>
      <c r="H206" s="16" t="str">
        <f>IF(regexMatch(A206,".*_([0-9]+$)"), CONCATENATE(" ",VALUE(TRIM(CLEAN(RegexFindGroup(A206,".*_([0-9]*)"))))), "")</f>
        <v xml:space="preserve"> 1</v>
      </c>
      <c r="I206" s="16" t="str">
        <f>IF(regexMatch(A206,"cs_.*")," (CS)", (IF(regexMatch(A206,"ig_.*"), " (IG)", "")))</f>
        <v/>
      </c>
      <c r="J206" s="10" t="str">
        <f t="shared" si="7"/>
        <v>Devin's Security</v>
      </c>
    </row>
    <row r="207" spans="1:10" x14ac:dyDescent="0.25">
      <c r="A207" s="1" t="s">
        <v>1513</v>
      </c>
      <c r="B207" s="6" t="str">
        <f t="shared" si="8"/>
        <v>csb_popov</v>
      </c>
      <c r="D207" s="21"/>
      <c r="E207" s="21" t="s">
        <v>1534</v>
      </c>
      <c r="F207" s="9"/>
      <c r="G207" s="16"/>
      <c r="H207" s="16" t="str">
        <f>IF(regexMatch(A207,".*_([0-9]+$)"), CONCATENATE(" ",VALUE(TRIM(CLEAN(RegexFindGroup(A207,".*_([0-9]*)"))))), "")</f>
        <v/>
      </c>
      <c r="I207" s="16"/>
      <c r="J207" s="10" t="str">
        <f t="shared" si="7"/>
        <v>Dima Popov (CS)</v>
      </c>
    </row>
    <row r="208" spans="1:10" x14ac:dyDescent="0.25">
      <c r="A208" s="1" t="s">
        <v>1519</v>
      </c>
      <c r="B208" s="6" t="str">
        <f t="shared" si="8"/>
        <v>ig_popov</v>
      </c>
      <c r="D208" s="21"/>
      <c r="E208" s="21" t="s">
        <v>1533</v>
      </c>
      <c r="F208" s="9"/>
      <c r="G208" s="16"/>
      <c r="H208" s="16" t="str">
        <f>IF(regexMatch(A208,".*_([0-9]+$)"), CONCATENATE(" ",VALUE(TRIM(CLEAN(RegexFindGroup(A208,".*_([0-9]*)"))))), "")</f>
        <v/>
      </c>
      <c r="I208" s="16"/>
      <c r="J208" s="10" t="str">
        <f t="shared" si="7"/>
        <v>Dima Popov (IG)</v>
      </c>
    </row>
    <row r="209" spans="1:10" x14ac:dyDescent="0.25">
      <c r="A209" s="1" t="s">
        <v>1523</v>
      </c>
      <c r="B209" s="6" t="str">
        <f t="shared" si="8"/>
        <v>u_m_m_doa_01</v>
      </c>
      <c r="E209" s="2" t="s">
        <v>1547</v>
      </c>
      <c r="H209" s="16" t="str">
        <f>IF(regexMatch(A209,".*_([0-9]+$)"), CONCATENATE(" ",VALUE(TRIM(CLEAN(RegexFindGroup(A209,".*_([0-9]*)"))))), "")</f>
        <v xml:space="preserve"> 1</v>
      </c>
      <c r="J209" s="10" t="str">
        <f t="shared" si="7"/>
        <v>DOA Man</v>
      </c>
    </row>
    <row r="210" spans="1:10" x14ac:dyDescent="0.25">
      <c r="A210" s="6" t="s">
        <v>412</v>
      </c>
      <c r="B210" s="6" t="str">
        <f t="shared" si="8"/>
        <v>s_m_m_dockwork_01</v>
      </c>
      <c r="C210" s="6" t="s">
        <v>413</v>
      </c>
      <c r="D210" s="7" t="str">
        <f>PROPER(C210)</f>
        <v>Dockwork</v>
      </c>
      <c r="E210" s="4" t="s">
        <v>1328</v>
      </c>
      <c r="F210" s="9"/>
      <c r="G210" s="16"/>
      <c r="H210" s="16" t="str">
        <f>IF(regexMatch(A210,".*_([0-9]+$)"), CONCATENATE(" ",VALUE(TRIM(CLEAN(RegexFindGroup(A210,".*_([0-9]*)"))))), "")</f>
        <v xml:space="preserve"> 1</v>
      </c>
      <c r="I210" s="16" t="str">
        <f>IF(regexMatch(A210,"cs_.*")," (CS)", (IF(regexMatch(A210,"ig_.*"), " (IG)", "")))</f>
        <v/>
      </c>
      <c r="J210" s="10" t="str">
        <f t="shared" si="7"/>
        <v>Dock Worker</v>
      </c>
    </row>
    <row r="211" spans="1:10" x14ac:dyDescent="0.25">
      <c r="A211" s="6" t="s">
        <v>414</v>
      </c>
      <c r="B211" s="6" t="str">
        <f t="shared" si="8"/>
        <v>s_m_y_dockwork_01</v>
      </c>
      <c r="C211" s="6" t="s">
        <v>413</v>
      </c>
      <c r="D211" s="7" t="str">
        <f>PROPER(C211)</f>
        <v>Dockwork</v>
      </c>
      <c r="E211" s="4" t="s">
        <v>1328</v>
      </c>
      <c r="F211" s="9"/>
      <c r="G211" s="16"/>
      <c r="H211" s="16" t="str">
        <f>IF(regexMatch(A211,".*_([0-9]+$)"), CONCATENATE(" ",VALUE(TRIM(CLEAN(RegexFindGroup(A211,".*_([0-9]*)"))))), "")</f>
        <v xml:space="preserve"> 1</v>
      </c>
      <c r="I211" s="16" t="str">
        <f>IF(regexMatch(A211,"cs_.*")," (CS)", (IF(regexMatch(A211,"ig_.*"), " (IG)", "")))</f>
        <v/>
      </c>
      <c r="J211" s="10" t="str">
        <f t="shared" si="7"/>
        <v>Dock Worker</v>
      </c>
    </row>
    <row r="212" spans="1:10" x14ac:dyDescent="0.25">
      <c r="A212" s="6" t="s">
        <v>415</v>
      </c>
      <c r="B212" s="6" t="str">
        <f t="shared" si="8"/>
        <v>s_m_m_doctor_01</v>
      </c>
      <c r="C212" s="6" t="s">
        <v>416</v>
      </c>
      <c r="D212" s="7" t="str">
        <f>PROPER(C212)</f>
        <v>Doctor</v>
      </c>
      <c r="E212" s="4" t="s">
        <v>1146</v>
      </c>
      <c r="F212" s="9"/>
      <c r="G212" s="16"/>
      <c r="H212" s="16" t="str">
        <f>IF(regexMatch(A212,".*_([0-9]+$)"), CONCATENATE(" ",VALUE(TRIM(CLEAN(RegexFindGroup(A212,".*_([0-9]*)"))))), "")</f>
        <v xml:space="preserve"> 1</v>
      </c>
      <c r="I212" s="16" t="str">
        <f>IF(regexMatch(A212,"cs_.*")," (CS)", (IF(regexMatch(A212,"ig_.*"), " (IG)", "")))</f>
        <v/>
      </c>
      <c r="J212" s="10" t="str">
        <f t="shared" si="7"/>
        <v>Doctor</v>
      </c>
    </row>
    <row r="213" spans="1:10" x14ac:dyDescent="0.25">
      <c r="A213" s="6" t="s">
        <v>417</v>
      </c>
      <c r="B213" s="6" t="str">
        <f t="shared" si="8"/>
        <v>cs_dom</v>
      </c>
      <c r="C213" s="6" t="s">
        <v>418</v>
      </c>
      <c r="D213" s="7" t="str">
        <f>PROPER(C213)</f>
        <v>Dom</v>
      </c>
      <c r="E213" s="4" t="s">
        <v>1359</v>
      </c>
      <c r="F213" s="9" t="str">
        <f>IF(regexMatch(A213,"[A-Za-z]*_y_.*")," Young",(IF(regexMatch(A213,"[A-Za-z]*_o_.*")," Old", "")))</f>
        <v/>
      </c>
      <c r="G213" s="16" t="str">
        <f>IF(regexMatch(A213,"[A-Za-z]*_f_.*")," Female", (IF(regexMatch(A213,"[A-Za-z]*_m_.*"), " Male", "")))</f>
        <v/>
      </c>
      <c r="H213" s="16" t="str">
        <f>IF(regexMatch(A213,".*_([0-9]+$)"), CONCATENATE(" ",VALUE(TRIM(CLEAN(RegexFindGroup(A213,".*_([0-9]*)"))))), "")</f>
        <v/>
      </c>
      <c r="I213" s="16" t="str">
        <f>IF(regexMatch(A213,"cs_.*")," (CS)", (IF(regexMatch(A213,"ig_.*"), " (IG)", "")))</f>
        <v xml:space="preserve"> (CS)</v>
      </c>
      <c r="J213" s="10" t="str">
        <f t="shared" si="7"/>
        <v>Dom Beasley (CS)</v>
      </c>
    </row>
    <row r="214" spans="1:10" x14ac:dyDescent="0.25">
      <c r="A214" s="6" t="s">
        <v>419</v>
      </c>
      <c r="B214" s="6" t="str">
        <f t="shared" si="8"/>
        <v>ig_dom</v>
      </c>
      <c r="C214" s="6" t="s">
        <v>418</v>
      </c>
      <c r="D214" s="7" t="str">
        <f>PROPER(C214)</f>
        <v>Dom</v>
      </c>
      <c r="E214" s="4" t="s">
        <v>1359</v>
      </c>
      <c r="F214" s="9" t="str">
        <f>IF(regexMatch(A214,"[A-Za-z]*_y_.*")," Young",(IF(regexMatch(A214,"[A-Za-z]*_o_.*")," Old", "")))</f>
        <v/>
      </c>
      <c r="G214" s="16" t="str">
        <f>IF(regexMatch(A214,"[A-Za-z]*_f_.*")," Female", (IF(regexMatch(A214,"[A-Za-z]*_m_.*"), " Male", "")))</f>
        <v/>
      </c>
      <c r="H214" s="16" t="str">
        <f>IF(regexMatch(A214,".*_([0-9]+$)"), CONCATENATE(" ",VALUE(TRIM(CLEAN(RegexFindGroup(A214,".*_([0-9]*)"))))), "")</f>
        <v/>
      </c>
      <c r="I214" s="16" t="str">
        <f>IF(regexMatch(A214,"cs_.*")," (CS)", (IF(regexMatch(A214,"ig_.*"), " (IG)", "")))</f>
        <v xml:space="preserve"> (IG)</v>
      </c>
      <c r="J214" s="10" t="str">
        <f t="shared" si="7"/>
        <v>Dom Beasley (IG)</v>
      </c>
    </row>
    <row r="215" spans="1:10" x14ac:dyDescent="0.25">
      <c r="A215" s="6" t="s">
        <v>420</v>
      </c>
      <c r="B215" s="6" t="str">
        <f t="shared" si="8"/>
        <v>s_m_y_doorman_01</v>
      </c>
      <c r="C215" s="6" t="s">
        <v>421</v>
      </c>
      <c r="D215" s="7" t="str">
        <f>PROPER(C215)</f>
        <v>Doorman</v>
      </c>
      <c r="E215" s="4" t="s">
        <v>1147</v>
      </c>
      <c r="F215" s="9"/>
      <c r="G215" s="16"/>
      <c r="H215" s="16" t="str">
        <f>IF(regexMatch(A215,".*_([0-9]+$)"), CONCATENATE(" ",VALUE(TRIM(CLEAN(RegexFindGroup(A215,".*_([0-9]*)"))))), "")</f>
        <v xml:space="preserve"> 1</v>
      </c>
      <c r="I215" s="16" t="str">
        <f>IF(regexMatch(A215,"cs_.*")," (CS)", (IF(regexMatch(A215,"ig_.*"), " (IG)", "")))</f>
        <v/>
      </c>
      <c r="J215" s="10" t="str">
        <f t="shared" si="7"/>
        <v>Doorman</v>
      </c>
    </row>
    <row r="216" spans="1:10" x14ac:dyDescent="0.25">
      <c r="A216" s="6" t="s">
        <v>408</v>
      </c>
      <c r="B216" s="6" t="str">
        <f t="shared" si="8"/>
        <v>a_m_y_dhill_01</v>
      </c>
      <c r="C216" s="6" t="s">
        <v>409</v>
      </c>
      <c r="D216" s="7" t="str">
        <f>PROPER(C216)</f>
        <v>Dhill</v>
      </c>
      <c r="E216" s="4" t="s">
        <v>1344</v>
      </c>
      <c r="F216" s="9"/>
      <c r="G216" s="16"/>
      <c r="H216" s="16" t="str">
        <f>IF(regexMatch(A216,".*_([0-9]+$)"), CONCATENATE(" ",VALUE(TRIM(CLEAN(RegexFindGroup(A216,".*_([0-9]*)"))))), "")</f>
        <v xml:space="preserve"> 1</v>
      </c>
      <c r="I216" s="16" t="str">
        <f>IF(regexMatch(A216,"cs_.*")," (CS)", (IF(regexMatch(A216,"ig_.*"), " (IG)", "")))</f>
        <v/>
      </c>
      <c r="J216" s="10" t="str">
        <f t="shared" si="7"/>
        <v>Downhill Cyclist</v>
      </c>
    </row>
    <row r="217" spans="1:10" x14ac:dyDescent="0.25">
      <c r="A217" s="6" t="s">
        <v>422</v>
      </c>
      <c r="B217" s="6" t="str">
        <f t="shared" si="8"/>
        <v>a_f_m_downtown_01</v>
      </c>
      <c r="C217" s="6" t="s">
        <v>423</v>
      </c>
      <c r="D217" s="7" t="str">
        <f>PROPER(C217)</f>
        <v>Downtown</v>
      </c>
      <c r="E217" s="4" t="s">
        <v>1148</v>
      </c>
      <c r="F217" s="9" t="str">
        <f>IF(regexMatch(A217,"[A-Za-z]*_y_.*")," Young",(IF(regexMatch(A217,"[A-Za-z]*_o_.*")," Old", "")))</f>
        <v/>
      </c>
      <c r="G217" s="16" t="str">
        <f>IF(regexMatch(A217,"[A-Za-z]*_f_.*")," Female", (IF(regexMatch(A217,"[A-Za-z]*_m_.*"), " Male", "")))</f>
        <v xml:space="preserve"> Female</v>
      </c>
      <c r="H217" s="16" t="str">
        <f>IF(regexMatch(A217,".*_([0-9]+$)"), CONCATENATE(" ",VALUE(TRIM(CLEAN(RegexFindGroup(A217,".*_([0-9]*)"))))), "")</f>
        <v xml:space="preserve"> 1</v>
      </c>
      <c r="I217" s="16" t="str">
        <f>IF(regexMatch(A217,"cs_.*")," (CS)", (IF(regexMatch(A217,"ig_.*"), " (IG)", "")))</f>
        <v/>
      </c>
      <c r="J217" s="10" t="str">
        <f t="shared" si="7"/>
        <v>Downtown Female</v>
      </c>
    </row>
    <row r="218" spans="1:10" x14ac:dyDescent="0.25">
      <c r="A218" s="6" t="s">
        <v>34</v>
      </c>
      <c r="B218" s="6" t="str">
        <f t="shared" si="8"/>
        <v xml:space="preserve">	a_m_y_downtown_01</v>
      </c>
      <c r="C218" s="6" t="s">
        <v>33</v>
      </c>
      <c r="D218" s="7" t="str">
        <f>PROPER(C218)</f>
        <v xml:space="preserve">	Downtown</v>
      </c>
      <c r="E218" s="4" t="s">
        <v>1148</v>
      </c>
      <c r="F218" s="9"/>
      <c r="G218" s="16" t="str">
        <f>IF(regexMatch(A218,"[A-Za-z]*_f_.*")," Female", (IF(regexMatch(A218,"[A-Za-z]*_m_.*"), " Male", "")))</f>
        <v xml:space="preserve"> Male</v>
      </c>
      <c r="H218" s="16" t="str">
        <f>IF(regexMatch(A218,".*_([0-9]+$)"), CONCATENATE(" ",VALUE(TRIM(CLEAN(RegexFindGroup(A218,".*_([0-9]*)"))))), "")</f>
        <v xml:space="preserve"> 1</v>
      </c>
      <c r="I218" s="16" t="str">
        <f>IF(regexMatch(A218,"cs_.*")," (CS)", (IF(regexMatch(A218,"ig_.*"), " (IG)", "")))</f>
        <v/>
      </c>
      <c r="J218" s="10" t="str">
        <f t="shared" si="7"/>
        <v>Downtown Male</v>
      </c>
    </row>
    <row r="219" spans="1:10" x14ac:dyDescent="0.25">
      <c r="A219" s="6" t="s">
        <v>426</v>
      </c>
      <c r="B219" s="6" t="str">
        <f t="shared" si="8"/>
        <v>cs_drfriedlander</v>
      </c>
      <c r="C219" s="6" t="s">
        <v>427</v>
      </c>
      <c r="D219" s="7" t="str">
        <f>PROPER(C219)</f>
        <v>Drfriedlander</v>
      </c>
      <c r="E219" s="4" t="s">
        <v>1246</v>
      </c>
      <c r="F219" s="9" t="str">
        <f>IF(regexMatch(A219,"[A-Za-z]*_y_.*")," Young",(IF(regexMatch(A219,"[A-Za-z]*_o_.*")," Old", "")))</f>
        <v/>
      </c>
      <c r="G219" s="16" t="str">
        <f>IF(regexMatch(A219,"[A-Za-z]*_f_.*")," Female", (IF(regexMatch(A219,"[A-Za-z]*_m_.*"), " Male", "")))</f>
        <v/>
      </c>
      <c r="H219" s="16" t="str">
        <f>IF(regexMatch(A219,".*_([0-9]+$)"), CONCATENATE(" ",VALUE(TRIM(CLEAN(RegexFindGroup(A219,".*_([0-9]*)"))))), "")</f>
        <v/>
      </c>
      <c r="I219" s="16" t="str">
        <f>IF(regexMatch(A219,"cs_.*")," (CS)", (IF(regexMatch(A219,"ig_.*"), " (IG)", "")))</f>
        <v xml:space="preserve"> (CS)</v>
      </c>
      <c r="J219" s="10" t="str">
        <f t="shared" si="7"/>
        <v>Dr. Friedlander (CS)</v>
      </c>
    </row>
    <row r="220" spans="1:10" x14ac:dyDescent="0.25">
      <c r="A220" s="6" t="s">
        <v>38</v>
      </c>
      <c r="B220" s="6" t="str">
        <f t="shared" si="8"/>
        <v xml:space="preserve">	ig_drfriedlander</v>
      </c>
      <c r="C220" s="6" t="s">
        <v>37</v>
      </c>
      <c r="D220" s="7" t="str">
        <f>PROPER(C220)</f>
        <v xml:space="preserve">	Drfriedlander</v>
      </c>
      <c r="E220" s="4" t="s">
        <v>1246</v>
      </c>
      <c r="F220" s="9" t="str">
        <f>IF(regexMatch(A220,"[A-Za-z]*_y_.*")," Young",(IF(regexMatch(A220,"[A-Za-z]*_o_.*")," Old", "")))</f>
        <v/>
      </c>
      <c r="G220" s="16" t="str">
        <f>IF(regexMatch(A220,"[A-Za-z]*_f_.*")," Female", (IF(regexMatch(A220,"[A-Za-z]*_m_.*"), " Male", "")))</f>
        <v/>
      </c>
      <c r="H220" s="16" t="str">
        <f>IF(regexMatch(A220,".*_([0-9]+$)"), CONCATENATE(" ",VALUE(TRIM(CLEAN(RegexFindGroup(A220,".*_([0-9]*)"))))), "")</f>
        <v/>
      </c>
      <c r="I220" s="16" t="str">
        <f>IF(regexMatch(A220,"cs_.*")," (CS)", (IF(regexMatch(A220,"ig_.*"), " (IG)", "")))</f>
        <v xml:space="preserve"> (IG)</v>
      </c>
      <c r="J220" s="10" t="str">
        <f t="shared" si="7"/>
        <v>Dr. Friedlander (IG)</v>
      </c>
    </row>
    <row r="221" spans="1:10" x14ac:dyDescent="0.25">
      <c r="A221" s="6" t="s">
        <v>904</v>
      </c>
      <c r="B221" s="6" t="str">
        <f t="shared" si="8"/>
        <v>a_f_y_scdressy_01</v>
      </c>
      <c r="C221" s="6" t="s">
        <v>905</v>
      </c>
      <c r="D221" s="7" t="str">
        <f>PROPER(C221)</f>
        <v>Scdressy</v>
      </c>
      <c r="E221" s="4" t="s">
        <v>1405</v>
      </c>
      <c r="F221" s="9"/>
      <c r="G221" s="16" t="str">
        <f>IF(regexMatch(A221,"[A-Za-z]*_f_.*")," Female", (IF(regexMatch(A221,"[A-Za-z]*_m_.*"), " Male", "")))</f>
        <v xml:space="preserve"> Female</v>
      </c>
      <c r="H221" s="16" t="str">
        <f>IF(regexMatch(A221,".*_([0-9]+$)"), CONCATENATE(" ",VALUE(TRIM(CLEAN(RegexFindGroup(A221,".*_([0-9]*)"))))), "")</f>
        <v xml:space="preserve"> 1</v>
      </c>
      <c r="I221" s="16" t="str">
        <f>IF(regexMatch(A221,"cs_.*")," (CS)", (IF(regexMatch(A221,"ig_.*"), " (IG)", "")))</f>
        <v/>
      </c>
      <c r="J221" s="10" t="str">
        <f t="shared" si="7"/>
        <v>Dressy Female</v>
      </c>
    </row>
    <row r="222" spans="1:10" x14ac:dyDescent="0.25">
      <c r="A222" s="6" t="s">
        <v>428</v>
      </c>
      <c r="B222" s="6" t="str">
        <f t="shared" si="8"/>
        <v>s_m_y_dwservice_01</v>
      </c>
      <c r="C222" s="6" t="s">
        <v>429</v>
      </c>
      <c r="D222" s="7" t="str">
        <f>PROPER(C222)</f>
        <v>Dwservice</v>
      </c>
      <c r="E222" s="4" t="s">
        <v>1327</v>
      </c>
      <c r="F222" s="9"/>
      <c r="G222" s="16"/>
      <c r="H222" s="16" t="str">
        <f>IF(regexMatch(A222,".*_([0-9]+$)"), CONCATENATE(" ",VALUE(TRIM(CLEAN(RegexFindGroup(A222,".*_([0-9]*)"))))), "")</f>
        <v xml:space="preserve"> 1</v>
      </c>
      <c r="I222" s="16" t="str">
        <f>IF(regexMatch(A222,"cs_.*")," (CS)", (IF(regexMatch(A222,"ig_.*"), " (IG)", "")))</f>
        <v/>
      </c>
      <c r="J222" s="10" t="str">
        <f t="shared" si="7"/>
        <v>DW Airport Worker</v>
      </c>
    </row>
    <row r="223" spans="1:10" x14ac:dyDescent="0.25">
      <c r="A223" s="6" t="s">
        <v>40</v>
      </c>
      <c r="B223" s="6" t="str">
        <f t="shared" si="8"/>
        <v xml:space="preserve">	s_m_y_dwservice_02</v>
      </c>
      <c r="C223" s="6" t="s">
        <v>39</v>
      </c>
      <c r="D223" s="7" t="str">
        <f>PROPER(C223)</f>
        <v xml:space="preserve">	Dwservice</v>
      </c>
      <c r="E223" s="4" t="s">
        <v>1327</v>
      </c>
      <c r="F223" s="9"/>
      <c r="G223" s="16"/>
      <c r="H223" s="16" t="str">
        <f>IF(regexMatch(A223,".*_([0-9]+$)"), CONCATENATE(" ",VALUE(TRIM(CLEAN(RegexFindGroup(A223,".*_([0-9]*)"))))), "")</f>
        <v xml:space="preserve"> 2</v>
      </c>
      <c r="I223" s="16" t="str">
        <f>IF(regexMatch(A223,"cs_.*")," (CS)", (IF(regexMatch(A223,"ig_.*"), " (IG)", "")))</f>
        <v/>
      </c>
      <c r="J223" s="10" t="str">
        <f t="shared" si="7"/>
        <v>DW Airport Worker 2</v>
      </c>
    </row>
    <row r="224" spans="1:10" x14ac:dyDescent="0.25">
      <c r="A224" s="6" t="s">
        <v>430</v>
      </c>
      <c r="B224" s="6" t="str">
        <f t="shared" si="8"/>
        <v>a_f_m_eastsa_01</v>
      </c>
      <c r="C224" s="6" t="s">
        <v>431</v>
      </c>
      <c r="D224" s="7" t="str">
        <f>PROPER(C224)</f>
        <v>Eastsa</v>
      </c>
      <c r="E224" s="4" t="s">
        <v>1326</v>
      </c>
      <c r="F224" s="9" t="str">
        <f>IF(regexMatch(A224,"[A-Za-z]*_y_.*")," Young",(IF(regexMatch(A224,"[A-Za-z]*_o_.*")," Old", "")))</f>
        <v/>
      </c>
      <c r="G224" s="16" t="str">
        <f>IF(regexMatch(A224,"[A-Za-z]*_f_.*")," Female", (IF(regexMatch(A224,"[A-Za-z]*_m_.*"), " Male", "")))</f>
        <v xml:space="preserve"> Female</v>
      </c>
      <c r="H224" s="16" t="str">
        <f>IF(regexMatch(A224,".*_([0-9]+$)"), CONCATENATE(" ",VALUE(TRIM(CLEAN(RegexFindGroup(A224,".*_([0-9]*)"))))), "")</f>
        <v xml:space="preserve"> 1</v>
      </c>
      <c r="I224" s="16" t="str">
        <f>IF(regexMatch(A224,"cs_.*")," (CS)", (IF(regexMatch(A224,"ig_.*"), " (IG)", "")))</f>
        <v/>
      </c>
      <c r="J224" s="10" t="str">
        <f t="shared" si="7"/>
        <v>East SA Female</v>
      </c>
    </row>
    <row r="225" spans="1:10" x14ac:dyDescent="0.25">
      <c r="A225" s="6" t="s">
        <v>432</v>
      </c>
      <c r="B225" s="6" t="str">
        <f t="shared" si="8"/>
        <v>a_f_m_eastsa_02</v>
      </c>
      <c r="C225" s="6" t="s">
        <v>431</v>
      </c>
      <c r="D225" s="7" t="str">
        <f>PROPER(C225)</f>
        <v>Eastsa</v>
      </c>
      <c r="E225" s="4" t="s">
        <v>1326</v>
      </c>
      <c r="F225" s="9" t="str">
        <f>IF(regexMatch(A225,"[A-Za-z]*_y_.*")," Young",(IF(regexMatch(A225,"[A-Za-z]*_o_.*")," Old", "")))</f>
        <v/>
      </c>
      <c r="G225" s="16" t="str">
        <f>IF(regexMatch(A225,"[A-Za-z]*_f_.*")," Female", (IF(regexMatch(A225,"[A-Za-z]*_m_.*"), " Male", "")))</f>
        <v xml:space="preserve"> Female</v>
      </c>
      <c r="H225" s="16" t="str">
        <f>IF(regexMatch(A225,".*_([0-9]+$)"), CONCATENATE(" ",VALUE(TRIM(CLEAN(RegexFindGroup(A225,".*_([0-9]*)"))))), "")</f>
        <v xml:space="preserve"> 2</v>
      </c>
      <c r="I225" s="16" t="str">
        <f>IF(regexMatch(A225,"cs_.*")," (CS)", (IF(regexMatch(A225,"ig_.*"), " (IG)", "")))</f>
        <v/>
      </c>
      <c r="J225" s="10" t="str">
        <f t="shared" si="7"/>
        <v>East SA Female 2</v>
      </c>
    </row>
    <row r="226" spans="1:10" x14ac:dyDescent="0.25">
      <c r="A226" s="6" t="s">
        <v>436</v>
      </c>
      <c r="B226" s="6" t="str">
        <f t="shared" si="8"/>
        <v>a_m_m_eastsa_01</v>
      </c>
      <c r="C226" s="6" t="s">
        <v>431</v>
      </c>
      <c r="D226" s="7" t="str">
        <f>PROPER(C226)</f>
        <v>Eastsa</v>
      </c>
      <c r="E226" s="4" t="s">
        <v>1326</v>
      </c>
      <c r="F226" s="9" t="str">
        <f>IF(regexMatch(A226,"[A-Za-z]*_y_.*")," Young",(IF(regexMatch(A226,"[A-Za-z]*_o_.*")," Old", "")))</f>
        <v/>
      </c>
      <c r="G226" s="16" t="str">
        <f>IF(regexMatch(A226,"[A-Za-z]*_f_.*")," Female", (IF(regexMatch(A226,"[A-Za-z]*_m_.*"), " Male", "")))</f>
        <v xml:space="preserve"> Male</v>
      </c>
      <c r="H226" s="16" t="str">
        <f>IF(regexMatch(A226,".*_([0-9]+$)"), CONCATENATE(" ",VALUE(TRIM(CLEAN(RegexFindGroup(A226,".*_([0-9]*)"))))), "")</f>
        <v xml:space="preserve"> 1</v>
      </c>
      <c r="I226" s="16" t="str">
        <f>IF(regexMatch(A226,"cs_.*")," (CS)", (IF(regexMatch(A226,"ig_.*"), " (IG)", "")))</f>
        <v/>
      </c>
      <c r="J226" s="10" t="str">
        <f t="shared" si="7"/>
        <v>East SA Male</v>
      </c>
    </row>
    <row r="227" spans="1:10" x14ac:dyDescent="0.25">
      <c r="A227" s="6" t="s">
        <v>437</v>
      </c>
      <c r="B227" s="6" t="str">
        <f t="shared" si="8"/>
        <v>a_m_m_eastsa_02</v>
      </c>
      <c r="C227" s="6" t="s">
        <v>431</v>
      </c>
      <c r="D227" s="7" t="str">
        <f>PROPER(C227)</f>
        <v>Eastsa</v>
      </c>
      <c r="E227" s="4" t="s">
        <v>1326</v>
      </c>
      <c r="F227" s="9" t="str">
        <f>IF(regexMatch(A227,"[A-Za-z]*_y_.*")," Young",(IF(regexMatch(A227,"[A-Za-z]*_o_.*")," Old", "")))</f>
        <v/>
      </c>
      <c r="G227" s="16" t="str">
        <f>IF(regexMatch(A227,"[A-Za-z]*_f_.*")," Female", (IF(regexMatch(A227,"[A-Za-z]*_m_.*"), " Male", "")))</f>
        <v xml:space="preserve"> Male</v>
      </c>
      <c r="H227" s="16" t="str">
        <f>IF(regexMatch(A227,".*_([0-9]+$)"), CONCATENATE(" ",VALUE(TRIM(CLEAN(RegexFindGroup(A227,".*_([0-9]*)"))))), "")</f>
        <v xml:space="preserve"> 2</v>
      </c>
      <c r="I227" s="16" t="str">
        <f>IF(regexMatch(A227,"cs_.*")," (CS)", (IF(regexMatch(A227,"ig_.*"), " (IG)", "")))</f>
        <v/>
      </c>
      <c r="J227" s="10" t="str">
        <f t="shared" si="7"/>
        <v>East SA Male 2</v>
      </c>
    </row>
    <row r="228" spans="1:10" x14ac:dyDescent="0.25">
      <c r="A228" s="6" t="s">
        <v>433</v>
      </c>
      <c r="B228" s="6" t="str">
        <f t="shared" si="8"/>
        <v>a_f_y_eastsa_01</v>
      </c>
      <c r="C228" s="6" t="s">
        <v>431</v>
      </c>
      <c r="D228" s="7" t="str">
        <f>PROPER(C228)</f>
        <v>Eastsa</v>
      </c>
      <c r="E228" s="4" t="s">
        <v>1326</v>
      </c>
      <c r="F228" s="9" t="str">
        <f>IF(regexMatch(A228,"[A-Za-z]*_y_.*")," Young",(IF(regexMatch(A228,"[A-Za-z]*_o_.*")," Old", "")))</f>
        <v xml:space="preserve"> Young</v>
      </c>
      <c r="G228" s="16" t="str">
        <f>IF(regexMatch(A228,"[A-Za-z]*_f_.*")," Female", (IF(regexMatch(A228,"[A-Za-z]*_m_.*"), " Male", "")))</f>
        <v xml:space="preserve"> Female</v>
      </c>
      <c r="H228" s="16" t="str">
        <f>IF(regexMatch(A228,".*_([0-9]+$)"), CONCATENATE(" ",VALUE(TRIM(CLEAN(RegexFindGroup(A228,".*_([0-9]*)"))))), "")</f>
        <v xml:space="preserve"> 1</v>
      </c>
      <c r="I228" s="16" t="str">
        <f>IF(regexMatch(A228,"cs_.*")," (CS)", (IF(regexMatch(A228,"ig_.*"), " (IG)", "")))</f>
        <v/>
      </c>
      <c r="J228" s="10" t="str">
        <f t="shared" si="7"/>
        <v>East SA Young Female</v>
      </c>
    </row>
    <row r="229" spans="1:10" x14ac:dyDescent="0.25">
      <c r="A229" s="6" t="s">
        <v>434</v>
      </c>
      <c r="B229" s="6" t="str">
        <f t="shared" si="8"/>
        <v>a_f_y_eastsa_02</v>
      </c>
      <c r="C229" s="6" t="s">
        <v>431</v>
      </c>
      <c r="D229" s="7" t="str">
        <f>PROPER(C229)</f>
        <v>Eastsa</v>
      </c>
      <c r="E229" s="4" t="s">
        <v>1326</v>
      </c>
      <c r="F229" s="9" t="str">
        <f>IF(regexMatch(A229,"[A-Za-z]*_y_.*")," Young",(IF(regexMatch(A229,"[A-Za-z]*_o_.*")," Old", "")))</f>
        <v xml:space="preserve"> Young</v>
      </c>
      <c r="G229" s="16" t="str">
        <f>IF(regexMatch(A229,"[A-Za-z]*_f_.*")," Female", (IF(regexMatch(A229,"[A-Za-z]*_m_.*"), " Male", "")))</f>
        <v xml:space="preserve"> Female</v>
      </c>
      <c r="H229" s="16" t="str">
        <f>IF(regexMatch(A229,".*_([0-9]+$)"), CONCATENATE(" ",VALUE(TRIM(CLEAN(RegexFindGroup(A229,".*_([0-9]*)"))))), "")</f>
        <v xml:space="preserve"> 2</v>
      </c>
      <c r="I229" s="16" t="str">
        <f>IF(regexMatch(A229,"cs_.*")," (CS)", (IF(regexMatch(A229,"ig_.*"), " (IG)", "")))</f>
        <v/>
      </c>
      <c r="J229" s="10" t="str">
        <f t="shared" si="7"/>
        <v>East SA Young Female 2</v>
      </c>
    </row>
    <row r="230" spans="1:10" x14ac:dyDescent="0.25">
      <c r="A230" s="6" t="s">
        <v>435</v>
      </c>
      <c r="B230" s="6" t="str">
        <f t="shared" si="8"/>
        <v>a_f_y_eastsa_03</v>
      </c>
      <c r="C230" s="6" t="s">
        <v>431</v>
      </c>
      <c r="D230" s="7" t="str">
        <f>PROPER(C230)</f>
        <v>Eastsa</v>
      </c>
      <c r="E230" s="4" t="s">
        <v>1326</v>
      </c>
      <c r="F230" s="9" t="str">
        <f>IF(regexMatch(A230,"[A-Za-z]*_y_.*")," Young",(IF(regexMatch(A230,"[A-Za-z]*_o_.*")," Old", "")))</f>
        <v xml:space="preserve"> Young</v>
      </c>
      <c r="G230" s="16" t="str">
        <f>IF(regexMatch(A230,"[A-Za-z]*_f_.*")," Female", (IF(regexMatch(A230,"[A-Za-z]*_m_.*"), " Male", "")))</f>
        <v xml:space="preserve"> Female</v>
      </c>
      <c r="H230" s="16" t="str">
        <f>IF(regexMatch(A230,".*_([0-9]+$)"), CONCATENATE(" ",VALUE(TRIM(CLEAN(RegexFindGroup(A230,".*_([0-9]*)"))))), "")</f>
        <v xml:space="preserve"> 3</v>
      </c>
      <c r="I230" s="16" t="str">
        <f>IF(regexMatch(A230,"cs_.*")," (CS)", (IF(regexMatch(A230,"ig_.*"), " (IG)", "")))</f>
        <v/>
      </c>
      <c r="J230" s="10" t="str">
        <f t="shared" si="7"/>
        <v>East SA Young Female 3</v>
      </c>
    </row>
    <row r="231" spans="1:10" x14ac:dyDescent="0.25">
      <c r="A231" s="6" t="s">
        <v>438</v>
      </c>
      <c r="B231" s="6" t="str">
        <f t="shared" si="8"/>
        <v>a_m_y_eastsa_01</v>
      </c>
      <c r="C231" s="6" t="s">
        <v>431</v>
      </c>
      <c r="D231" s="7" t="str">
        <f>PROPER(C231)</f>
        <v>Eastsa</v>
      </c>
      <c r="E231" s="4" t="s">
        <v>1326</v>
      </c>
      <c r="F231" s="9" t="str">
        <f>IF(regexMatch(A231,"[A-Za-z]*_y_.*")," Young",(IF(regexMatch(A231,"[A-Za-z]*_o_.*")," Old", "")))</f>
        <v xml:space="preserve"> Young</v>
      </c>
      <c r="G231" s="16" t="str">
        <f>IF(regexMatch(A231,"[A-Za-z]*_f_.*")," Female", (IF(regexMatch(A231,"[A-Za-z]*_m_.*"), " Male", "")))</f>
        <v xml:space="preserve"> Male</v>
      </c>
      <c r="H231" s="16" t="str">
        <f>IF(regexMatch(A231,".*_([0-9]+$)"), CONCATENATE(" ",VALUE(TRIM(CLEAN(RegexFindGroup(A231,".*_([0-9]*)"))))), "")</f>
        <v xml:space="preserve"> 1</v>
      </c>
      <c r="I231" s="16" t="str">
        <f>IF(regexMatch(A231,"cs_.*")," (CS)", (IF(regexMatch(A231,"ig_.*"), " (IG)", "")))</f>
        <v/>
      </c>
      <c r="J231" s="10" t="str">
        <f t="shared" si="7"/>
        <v>East SA Young Male</v>
      </c>
    </row>
    <row r="232" spans="1:10" x14ac:dyDescent="0.25">
      <c r="A232" s="6" t="s">
        <v>439</v>
      </c>
      <c r="B232" s="6" t="str">
        <f t="shared" si="8"/>
        <v>a_m_y_eastsa_02</v>
      </c>
      <c r="C232" s="6" t="s">
        <v>431</v>
      </c>
      <c r="D232" s="7" t="str">
        <f>PROPER(C232)</f>
        <v>Eastsa</v>
      </c>
      <c r="E232" s="4" t="s">
        <v>1326</v>
      </c>
      <c r="F232" s="9" t="str">
        <f>IF(regexMatch(A232,"[A-Za-z]*_y_.*")," Young",(IF(regexMatch(A232,"[A-Za-z]*_o_.*")," Old", "")))</f>
        <v xml:space="preserve"> Young</v>
      </c>
      <c r="G232" s="16" t="str">
        <f>IF(regexMatch(A232,"[A-Za-z]*_f_.*")," Female", (IF(regexMatch(A232,"[A-Za-z]*_m_.*"), " Male", "")))</f>
        <v xml:space="preserve"> Male</v>
      </c>
      <c r="H232" s="16" t="str">
        <f>IF(regexMatch(A232,".*_([0-9]+$)"), CONCATENATE(" ",VALUE(TRIM(CLEAN(RegexFindGroup(A232,".*_([0-9]*)"))))), "")</f>
        <v xml:space="preserve"> 2</v>
      </c>
      <c r="I232" s="16" t="str">
        <f>IF(regexMatch(A232,"cs_.*")," (CS)", (IF(regexMatch(A232,"ig_.*"), " (IG)", "")))</f>
        <v/>
      </c>
      <c r="J232" s="10" t="str">
        <f t="shared" si="7"/>
        <v>East SA Young Male 2</v>
      </c>
    </row>
    <row r="233" spans="1:10" x14ac:dyDescent="0.25">
      <c r="A233" s="1" t="s">
        <v>1524</v>
      </c>
      <c r="B233" s="6" t="str">
        <f t="shared" si="8"/>
        <v>u_m_m_edtoh</v>
      </c>
      <c r="E233" s="2" t="s">
        <v>1537</v>
      </c>
      <c r="H233" s="16" t="str">
        <f>IF(regexMatch(A233,".*_([0-9]+$)"), CONCATENATE(" ",VALUE(TRIM(CLEAN(RegexFindGroup(A233,".*_([0-9]*)"))))), "")</f>
        <v/>
      </c>
      <c r="J233" s="10" t="str">
        <f t="shared" si="7"/>
        <v>Ed Toh</v>
      </c>
    </row>
    <row r="234" spans="1:10" x14ac:dyDescent="0.25">
      <c r="A234" s="6" t="s">
        <v>42</v>
      </c>
      <c r="B234" s="6" t="str">
        <f t="shared" si="8"/>
        <v xml:space="preserve">	a_f_y_epsilon_01</v>
      </c>
      <c r="C234" s="6" t="s">
        <v>41</v>
      </c>
      <c r="D234" s="7" t="str">
        <f>PROPER(C234)</f>
        <v xml:space="preserve">	Epsilon</v>
      </c>
      <c r="E234" s="4" t="s">
        <v>1149</v>
      </c>
      <c r="F234" s="9"/>
      <c r="G234" s="16" t="str">
        <f>IF(regexMatch(A234,"[A-Za-z]*_f_.*")," Female", (IF(regexMatch(A234,"[A-Za-z]*_m_.*"), " Male", "")))</f>
        <v xml:space="preserve"> Female</v>
      </c>
      <c r="H234" s="16" t="str">
        <f>IF(regexMatch(A234,".*_([0-9]+$)"), CONCATENATE(" ",VALUE(TRIM(CLEAN(RegexFindGroup(A234,".*_([0-9]*)"))))), "")</f>
        <v xml:space="preserve"> 1</v>
      </c>
      <c r="I234" s="16" t="str">
        <f>IF(regexMatch(A234,"cs_.*")," (CS)", (IF(regexMatch(A234,"ig_.*"), " (IG)", "")))</f>
        <v/>
      </c>
      <c r="J234" s="10" t="str">
        <f t="shared" si="7"/>
        <v>Epsilon Female</v>
      </c>
    </row>
    <row r="235" spans="1:10" x14ac:dyDescent="0.25">
      <c r="A235" s="6" t="s">
        <v>440</v>
      </c>
      <c r="B235" s="6" t="str">
        <f t="shared" si="8"/>
        <v>a_m_y_epsilon_01</v>
      </c>
      <c r="C235" s="6" t="s">
        <v>441</v>
      </c>
      <c r="D235" s="7" t="str">
        <f>PROPER(C235)</f>
        <v>Epsilon</v>
      </c>
      <c r="E235" s="4" t="s">
        <v>1149</v>
      </c>
      <c r="F235" s="9"/>
      <c r="G235" s="16" t="str">
        <f>IF(regexMatch(A235,"[A-Za-z]*_f_.*")," Female", (IF(regexMatch(A235,"[A-Za-z]*_m_.*"), " Male", "")))</f>
        <v xml:space="preserve"> Male</v>
      </c>
      <c r="H235" s="16" t="str">
        <f>IF(regexMatch(A235,".*_([0-9]+$)"), CONCATENATE(" ",VALUE(TRIM(CLEAN(RegexFindGroup(A235,".*_([0-9]*)"))))), "")</f>
        <v xml:space="preserve"> 1</v>
      </c>
      <c r="I235" s="16" t="str">
        <f>IF(regexMatch(A235,"cs_.*")," (CS)", (IF(regexMatch(A235,"ig_.*"), " (IG)", "")))</f>
        <v/>
      </c>
      <c r="J235" s="10" t="str">
        <f t="shared" si="7"/>
        <v>Epsilon Male</v>
      </c>
    </row>
    <row r="236" spans="1:10" x14ac:dyDescent="0.25">
      <c r="A236" s="6" t="s">
        <v>442</v>
      </c>
      <c r="B236" s="6" t="str">
        <f t="shared" si="8"/>
        <v>a_m_y_epsilon_02</v>
      </c>
      <c r="C236" s="6" t="s">
        <v>441</v>
      </c>
      <c r="D236" s="7" t="str">
        <f>PROPER(C236)</f>
        <v>Epsilon</v>
      </c>
      <c r="E236" s="4" t="s">
        <v>1149</v>
      </c>
      <c r="F236" s="9"/>
      <c r="G236" s="16" t="str">
        <f>IF(regexMatch(A236,"[A-Za-z]*_f_.*")," Female", (IF(regexMatch(A236,"[A-Za-z]*_m_.*"), " Male", "")))</f>
        <v xml:space="preserve"> Male</v>
      </c>
      <c r="H236" s="16" t="str">
        <f>IF(regexMatch(A236,".*_([0-9]+$)"), CONCATENATE(" ",VALUE(TRIM(CLEAN(RegexFindGroup(A236,".*_([0-9]*)"))))), "")</f>
        <v xml:space="preserve"> 2</v>
      </c>
      <c r="I236" s="16" t="str">
        <f>IF(regexMatch(A236,"cs_.*")," (CS)", (IF(regexMatch(A236,"ig_.*"), " (IG)", "")))</f>
        <v/>
      </c>
      <c r="J236" s="10" t="str">
        <f t="shared" si="7"/>
        <v>Epsilon Male 2</v>
      </c>
    </row>
    <row r="237" spans="1:10" x14ac:dyDescent="0.25">
      <c r="A237" s="6" t="s">
        <v>1032</v>
      </c>
      <c r="B237" s="6" t="str">
        <f t="shared" si="8"/>
        <v>cs_tomepsilon</v>
      </c>
      <c r="C237" s="6" t="s">
        <v>1033</v>
      </c>
      <c r="D237" s="7" t="str">
        <f>PROPER(C237)</f>
        <v>Tomepsilon</v>
      </c>
      <c r="E237" s="4" t="s">
        <v>1317</v>
      </c>
      <c r="F237" s="9" t="str">
        <f>IF(regexMatch(A237,"[A-Za-z]*_y_.*")," Young",(IF(regexMatch(A237,"[A-Za-z]*_o_.*")," Old", "")))</f>
        <v/>
      </c>
      <c r="G237" s="16" t="str">
        <f>IF(regexMatch(A237,"[A-Za-z]*_f_.*")," Female", (IF(regexMatch(A237,"[A-Za-z]*_m_.*"), " Male", "")))</f>
        <v/>
      </c>
      <c r="H237" s="16" t="str">
        <f>IF(regexMatch(A237,".*_([0-9]+$)"), CONCATENATE(" ",VALUE(TRIM(CLEAN(RegexFindGroup(A237,".*_([0-9]*)"))))), "")</f>
        <v/>
      </c>
      <c r="I237" s="16" t="str">
        <f>IF(regexMatch(A237,"cs_.*")," (CS)", (IF(regexMatch(A237,"ig_.*"), " (IG)", "")))</f>
        <v xml:space="preserve"> (CS)</v>
      </c>
      <c r="J237" s="10" t="str">
        <f t="shared" si="7"/>
        <v>Epsilon Tom (CS)</v>
      </c>
    </row>
    <row r="238" spans="1:10" x14ac:dyDescent="0.25">
      <c r="A238" s="6" t="s">
        <v>1034</v>
      </c>
      <c r="B238" s="6" t="str">
        <f t="shared" si="8"/>
        <v>ig_tomepsilon</v>
      </c>
      <c r="C238" s="6" t="s">
        <v>1033</v>
      </c>
      <c r="D238" s="7" t="str">
        <f>PROPER(C238)</f>
        <v>Tomepsilon</v>
      </c>
      <c r="E238" s="4" t="s">
        <v>1317</v>
      </c>
      <c r="F238" s="9" t="str">
        <f>IF(regexMatch(A238,"[A-Za-z]*_y_.*")," Young",(IF(regexMatch(A238,"[A-Za-z]*_o_.*")," Old", "")))</f>
        <v/>
      </c>
      <c r="G238" s="16" t="str">
        <f>IF(regexMatch(A238,"[A-Za-z]*_f_.*")," Female", (IF(regexMatch(A238,"[A-Za-z]*_m_.*"), " Male", "")))</f>
        <v/>
      </c>
      <c r="H238" s="16" t="str">
        <f>IF(regexMatch(A238,".*_([0-9]+$)"), CONCATENATE(" ",VALUE(TRIM(CLEAN(RegexFindGroup(A238,".*_([0-9]*)"))))), "")</f>
        <v/>
      </c>
      <c r="I238" s="16" t="str">
        <f>IF(regexMatch(A238,"cs_.*")," (CS)", (IF(regexMatch(A238,"ig_.*"), " (IG)", "")))</f>
        <v xml:space="preserve"> (IG)</v>
      </c>
      <c r="J238" s="10" t="str">
        <f t="shared" si="7"/>
        <v>Epsilon Tom (IG)</v>
      </c>
    </row>
    <row r="239" spans="1:10" x14ac:dyDescent="0.25">
      <c r="A239" s="6" t="s">
        <v>443</v>
      </c>
      <c r="B239" s="6" t="str">
        <f t="shared" si="8"/>
        <v>mp_m_exarmy_01</v>
      </c>
      <c r="C239" s="6" t="s">
        <v>444</v>
      </c>
      <c r="D239" s="7" t="str">
        <f>PROPER(C239)</f>
        <v>Exarmy</v>
      </c>
      <c r="E239" s="4" t="s">
        <v>1360</v>
      </c>
      <c r="F239" s="9" t="str">
        <f>IF(regexMatch(A239,"[A-Za-z]*_y_.*")," Young",(IF(regexMatch(A239,"[A-Za-z]*_o_.*")," Old", "")))</f>
        <v/>
      </c>
      <c r="G239" s="16" t="str">
        <f>IF(regexMatch(A239,"[A-Za-z]*_f_.*")," Female", (IF(regexMatch(A239,"[A-Za-z]*_m_.*"), " Male", "")))</f>
        <v xml:space="preserve"> Male</v>
      </c>
      <c r="H239" s="16" t="str">
        <f>IF(regexMatch(A239,".*_([0-9]+$)"), CONCATENATE(" ",VALUE(TRIM(CLEAN(RegexFindGroup(A239,".*_([0-9]*)"))))), "")</f>
        <v xml:space="preserve"> 1</v>
      </c>
      <c r="I239" s="16" t="str">
        <f>IF(regexMatch(A239,"cs_.*")," (CS)", (IF(regexMatch(A239,"ig_.*"), " (IG)", "")))</f>
        <v/>
      </c>
      <c r="J239" s="10" t="str">
        <f t="shared" si="7"/>
        <v>Ex-Army Male</v>
      </c>
    </row>
    <row r="240" spans="1:10" x14ac:dyDescent="0.25">
      <c r="A240" s="6" t="s">
        <v>734</v>
      </c>
      <c r="B240" s="6" t="str">
        <f t="shared" si="8"/>
        <v>u_m_y_militarybum</v>
      </c>
      <c r="C240" s="6" t="s">
        <v>735</v>
      </c>
      <c r="D240" s="7" t="str">
        <f>PROPER(C240)</f>
        <v>Militarybum</v>
      </c>
      <c r="E240" s="4" t="s">
        <v>1290</v>
      </c>
      <c r="F240" s="9"/>
      <c r="G240" s="16"/>
      <c r="H240" s="16" t="str">
        <f>IF(regexMatch(A240,".*_([0-9]+$)"), CONCATENATE(" ",VALUE(TRIM(CLEAN(RegexFindGroup(A240,".*_([0-9]*)"))))), "")</f>
        <v/>
      </c>
      <c r="I240" s="16" t="str">
        <f>IF(regexMatch(A240,"cs_.*")," (CS)", (IF(regexMatch(A240,"ig_.*"), " (IG)", "")))</f>
        <v/>
      </c>
      <c r="J240" s="10" t="str">
        <f t="shared" si="7"/>
        <v>Ex-Mil Bum</v>
      </c>
    </row>
    <row r="241" spans="1:10" x14ac:dyDescent="0.25">
      <c r="A241" s="6" t="s">
        <v>445</v>
      </c>
      <c r="B241" s="6" t="str">
        <f t="shared" si="8"/>
        <v>cs_fabien</v>
      </c>
      <c r="C241" s="6" t="s">
        <v>446</v>
      </c>
      <c r="D241" s="7" t="str">
        <f>PROPER(C241)</f>
        <v>Fabien</v>
      </c>
      <c r="E241" s="4" t="s">
        <v>1150</v>
      </c>
      <c r="F241" s="9" t="str">
        <f>IF(regexMatch(A241,"[A-Za-z]*_y_.*")," Young",(IF(regexMatch(A241,"[A-Za-z]*_o_.*")," Old", "")))</f>
        <v/>
      </c>
      <c r="G241" s="16" t="str">
        <f>IF(regexMatch(A241,"[A-Za-z]*_f_.*")," Female", (IF(regexMatch(A241,"[A-Za-z]*_m_.*"), " Male", "")))</f>
        <v/>
      </c>
      <c r="H241" s="16" t="str">
        <f>IF(regexMatch(A241,".*_([0-9]+$)"), CONCATENATE(" ",VALUE(TRIM(CLEAN(RegexFindGroup(A241,".*_([0-9]*)"))))), "")</f>
        <v/>
      </c>
      <c r="I241" s="16" t="str">
        <f>IF(regexMatch(A241,"cs_.*")," (CS)", (IF(regexMatch(A241,"ig_.*"), " (IG)", "")))</f>
        <v xml:space="preserve"> (CS)</v>
      </c>
      <c r="J241" s="10" t="str">
        <f t="shared" si="7"/>
        <v>Fabien (CS)</v>
      </c>
    </row>
    <row r="242" spans="1:10" x14ac:dyDescent="0.25">
      <c r="A242" s="6" t="s">
        <v>447</v>
      </c>
      <c r="B242" s="6" t="str">
        <f t="shared" si="8"/>
        <v>ig_fabien</v>
      </c>
      <c r="C242" s="6" t="s">
        <v>446</v>
      </c>
      <c r="D242" s="7" t="str">
        <f>PROPER(C242)</f>
        <v>Fabien</v>
      </c>
      <c r="E242" s="4" t="s">
        <v>1150</v>
      </c>
      <c r="F242" s="9" t="str">
        <f>IF(regexMatch(A242,"[A-Za-z]*_y_.*")," Young",(IF(regexMatch(A242,"[A-Za-z]*_o_.*")," Old", "")))</f>
        <v/>
      </c>
      <c r="G242" s="16" t="str">
        <f>IF(regexMatch(A242,"[A-Za-z]*_f_.*")," Female", (IF(regexMatch(A242,"[A-Za-z]*_m_.*"), " Male", "")))</f>
        <v/>
      </c>
      <c r="H242" s="16" t="str">
        <f>IF(regexMatch(A242,".*_([0-9]+$)"), CONCATENATE(" ",VALUE(TRIM(CLEAN(RegexFindGroup(A242,".*_([0-9]*)"))))), "")</f>
        <v/>
      </c>
      <c r="I242" s="16" t="str">
        <f>IF(regexMatch(A242,"cs_.*")," (CS)", (IF(regexMatch(A242,"ig_.*"), " (IG)", "")))</f>
        <v xml:space="preserve"> (IG)</v>
      </c>
      <c r="J242" s="10" t="str">
        <f t="shared" si="7"/>
        <v>Fabien (IG)</v>
      </c>
    </row>
    <row r="243" spans="1:10" x14ac:dyDescent="0.25">
      <c r="A243" s="6" t="s">
        <v>448</v>
      </c>
      <c r="B243" s="6" t="str">
        <f t="shared" si="8"/>
        <v>s_f_y_factory_01</v>
      </c>
      <c r="C243" s="6" t="s">
        <v>449</v>
      </c>
      <c r="D243" s="7" t="str">
        <f>PROPER(C243)</f>
        <v>Factory</v>
      </c>
      <c r="E243" s="4" t="s">
        <v>1391</v>
      </c>
      <c r="F243" s="9"/>
      <c r="G243" s="16" t="str">
        <f>IF(regexMatch(A243,"[A-Za-z]*_f_.*")," Female", (IF(regexMatch(A243,"[A-Za-z]*_m_.*"), " Male", "")))</f>
        <v xml:space="preserve"> Female</v>
      </c>
      <c r="H243" s="16" t="str">
        <f>IF(regexMatch(A243,".*_([0-9]+$)"), CONCATENATE(" ",VALUE(TRIM(CLEAN(RegexFindGroup(A243,".*_([0-9]*)"))))), "")</f>
        <v xml:space="preserve"> 1</v>
      </c>
      <c r="I243" s="16" t="str">
        <f>IF(regexMatch(A243,"cs_.*")," (CS)", (IF(regexMatch(A243,"ig_.*"), " (IG)", "")))</f>
        <v/>
      </c>
      <c r="J243" s="10" t="str">
        <f t="shared" si="7"/>
        <v>Factory Worker Female</v>
      </c>
    </row>
    <row r="244" spans="1:10" x14ac:dyDescent="0.25">
      <c r="A244" s="6" t="s">
        <v>450</v>
      </c>
      <c r="B244" s="6" t="str">
        <f t="shared" si="8"/>
        <v>s_m_y_factory_01</v>
      </c>
      <c r="C244" s="6" t="s">
        <v>449</v>
      </c>
      <c r="D244" s="7" t="str">
        <f>PROPER(C244)</f>
        <v>Factory</v>
      </c>
      <c r="E244" s="4" t="s">
        <v>1391</v>
      </c>
      <c r="F244" s="9"/>
      <c r="G244" s="16" t="str">
        <f>IF(regexMatch(A244,"[A-Za-z]*_f_.*")," Female", (IF(regexMatch(A244,"[A-Za-z]*_m_.*"), " Male", "")))</f>
        <v xml:space="preserve"> Male</v>
      </c>
      <c r="H244" s="16" t="str">
        <f>IF(regexMatch(A244,".*_([0-9]+$)"), CONCATENATE(" ",VALUE(TRIM(CLEAN(RegexFindGroup(A244,".*_([0-9]*)"))))), "")</f>
        <v xml:space="preserve"> 1</v>
      </c>
      <c r="I244" s="16" t="str">
        <f>IF(regexMatch(A244,"cs_.*")," (CS)", (IF(regexMatch(A244,"ig_.*"), " (IG)", "")))</f>
        <v/>
      </c>
      <c r="J244" s="10" t="str">
        <f t="shared" si="7"/>
        <v>Factory Worker Male</v>
      </c>
    </row>
    <row r="245" spans="1:10" x14ac:dyDescent="0.25">
      <c r="A245" s="6" t="s">
        <v>451</v>
      </c>
      <c r="B245" s="6" t="str">
        <f t="shared" si="8"/>
        <v>g_m_y_famca_01</v>
      </c>
      <c r="C245" s="6" t="s">
        <v>452</v>
      </c>
      <c r="D245" s="7" t="str">
        <f>PROPER(C245)</f>
        <v>Famca</v>
      </c>
      <c r="E245" s="4" t="s">
        <v>1392</v>
      </c>
      <c r="F245" s="9"/>
      <c r="G245" s="16" t="str">
        <f>IF(regexMatch(A245,"[A-Za-z]*_f_.*")," Female", (IF(regexMatch(A245,"[A-Za-z]*_m_.*"), " Male", "")))</f>
        <v xml:space="preserve"> Male</v>
      </c>
      <c r="H245" s="16" t="str">
        <f>IF(regexMatch(A245,".*_([0-9]+$)"), CONCATENATE(" ",VALUE(TRIM(CLEAN(RegexFindGroup(A245,".*_([0-9]*)"))))), "")</f>
        <v xml:space="preserve"> 1</v>
      </c>
      <c r="I245" s="16" t="str">
        <f>IF(regexMatch(A245,"cs_.*")," (CS)", (IF(regexMatch(A245,"ig_.*"), " (IG)", "")))</f>
        <v/>
      </c>
      <c r="J245" s="10" t="str">
        <f t="shared" si="7"/>
        <v>Families CA Male</v>
      </c>
    </row>
    <row r="246" spans="1:10" x14ac:dyDescent="0.25">
      <c r="A246" s="6" t="s">
        <v>453</v>
      </c>
      <c r="B246" s="6" t="str">
        <f t="shared" si="8"/>
        <v>mp_m_famdd_01</v>
      </c>
      <c r="C246" s="6" t="s">
        <v>454</v>
      </c>
      <c r="D246" s="7" t="str">
        <f>PROPER(C246)</f>
        <v>Famdd</v>
      </c>
      <c r="E246" s="4" t="s">
        <v>1393</v>
      </c>
      <c r="F246" s="9"/>
      <c r="G246" s="16" t="str">
        <f>IF(regexMatch(A246,"[A-Za-z]*_f_.*")," Female", (IF(regexMatch(A246,"[A-Za-z]*_m_.*"), " Male", "")))</f>
        <v xml:space="preserve"> Male</v>
      </c>
      <c r="H246" s="16" t="str">
        <f>IF(regexMatch(A246,".*_([0-9]+$)"), CONCATENATE(" ",VALUE(TRIM(CLEAN(RegexFindGroup(A246,".*_([0-9]*)"))))), "")</f>
        <v xml:space="preserve"> 1</v>
      </c>
      <c r="I246" s="16" t="str">
        <f>IF(regexMatch(A246,"cs_.*")," (CS)", (IF(regexMatch(A246,"ig_.*"), " (IG)", "")))</f>
        <v/>
      </c>
      <c r="J246" s="10" t="str">
        <f t="shared" si="7"/>
        <v>Families DD Male</v>
      </c>
    </row>
    <row r="247" spans="1:10" x14ac:dyDescent="0.25">
      <c r="A247" s="6" t="s">
        <v>455</v>
      </c>
      <c r="B247" s="6" t="str">
        <f t="shared" si="8"/>
        <v>g_m_y_famdnf_01</v>
      </c>
      <c r="C247" s="6" t="s">
        <v>456</v>
      </c>
      <c r="D247" s="7" t="str">
        <f>PROPER(C247)</f>
        <v>Famdnf</v>
      </c>
      <c r="E247" s="4" t="s">
        <v>1394</v>
      </c>
      <c r="F247" s="9"/>
      <c r="G247" s="16" t="str">
        <f>IF(regexMatch(A247,"[A-Za-z]*_f_.*")," Female", (IF(regexMatch(A247,"[A-Za-z]*_m_.*"), " Male", "")))</f>
        <v xml:space="preserve"> Male</v>
      </c>
      <c r="H247" s="16" t="str">
        <f>IF(regexMatch(A247,".*_([0-9]+$)"), CONCATENATE(" ",VALUE(TRIM(CLEAN(RegexFindGroup(A247,".*_([0-9]*)"))))), "")</f>
        <v xml:space="preserve"> 1</v>
      </c>
      <c r="I247" s="16" t="str">
        <f>IF(regexMatch(A247,"cs_.*")," (CS)", (IF(regexMatch(A247,"ig_.*"), " (IG)", "")))</f>
        <v/>
      </c>
      <c r="J247" s="10" t="str">
        <f t="shared" si="7"/>
        <v>Families DNF Male</v>
      </c>
    </row>
    <row r="248" spans="1:10" x14ac:dyDescent="0.25">
      <c r="A248" s="6" t="s">
        <v>459</v>
      </c>
      <c r="B248" s="6" t="str">
        <f t="shared" si="8"/>
        <v>g_f_y_families_01</v>
      </c>
      <c r="C248" s="6" t="s">
        <v>460</v>
      </c>
      <c r="D248" s="7" t="str">
        <f>PROPER(C248)</f>
        <v>Families</v>
      </c>
      <c r="E248" s="4" t="s">
        <v>1151</v>
      </c>
      <c r="F248" s="9"/>
      <c r="G248" s="16" t="str">
        <f>IF(regexMatch(A248,"[A-Za-z]*_f_.*")," Female", (IF(regexMatch(A248,"[A-Za-z]*_m_.*"), " Male", "")))</f>
        <v xml:space="preserve"> Female</v>
      </c>
      <c r="H248" s="16" t="str">
        <f>IF(regexMatch(A248,".*_([0-9]+$)"), CONCATENATE(" ",VALUE(TRIM(CLEAN(RegexFindGroup(A248,".*_([0-9]*)"))))), "")</f>
        <v xml:space="preserve"> 1</v>
      </c>
      <c r="I248" s="16" t="str">
        <f>IF(regexMatch(A248,"cs_.*")," (CS)", (IF(regexMatch(A248,"ig_.*"), " (IG)", "")))</f>
        <v/>
      </c>
      <c r="J248" s="10" t="str">
        <f t="shared" si="7"/>
        <v>Families Female</v>
      </c>
    </row>
    <row r="249" spans="1:10" x14ac:dyDescent="0.25">
      <c r="A249" s="6" t="s">
        <v>457</v>
      </c>
      <c r="B249" s="6" t="str">
        <f t="shared" si="8"/>
        <v>g_m_y_famfor_01</v>
      </c>
      <c r="C249" s="6" t="s">
        <v>458</v>
      </c>
      <c r="D249" s="7" t="str">
        <f>PROPER(C249)</f>
        <v>Famfor</v>
      </c>
      <c r="E249" s="4" t="s">
        <v>1395</v>
      </c>
      <c r="F249" s="9"/>
      <c r="G249" s="16" t="str">
        <f>IF(regexMatch(A249,"[A-Za-z]*_f_.*")," Female", (IF(regexMatch(A249,"[A-Za-z]*_m_.*"), " Male", "")))</f>
        <v xml:space="preserve"> Male</v>
      </c>
      <c r="H249" s="16" t="str">
        <f>IF(regexMatch(A249,".*_([0-9]+$)"), CONCATENATE(" ",VALUE(TRIM(CLEAN(RegexFindGroup(A249,".*_([0-9]*)"))))), "")</f>
        <v xml:space="preserve"> 1</v>
      </c>
      <c r="I249" s="16" t="str">
        <f>IF(regexMatch(A249,"cs_.*")," (CS)", (IF(regexMatch(A249,"ig_.*"), " (IG)", "")))</f>
        <v/>
      </c>
      <c r="J249" s="10" t="str">
        <f t="shared" si="7"/>
        <v>Families FOR Male</v>
      </c>
    </row>
    <row r="250" spans="1:10" x14ac:dyDescent="0.25">
      <c r="A250" s="6" t="s">
        <v>502</v>
      </c>
      <c r="B250" s="6" t="str">
        <f t="shared" si="8"/>
        <v>csb_ramp_gang</v>
      </c>
      <c r="C250" s="6" t="s">
        <v>503</v>
      </c>
      <c r="D250" s="7" t="str">
        <f>PROPER(C250)</f>
        <v>Gang</v>
      </c>
      <c r="E250" s="4" t="s">
        <v>1457</v>
      </c>
      <c r="F250" s="9" t="str">
        <f>IF(regexMatch(A250,"[A-Za-z]*_y_.*")," Young",(IF(regexMatch(A250,"[A-Za-z]*_o_.*")," Old", "")))</f>
        <v/>
      </c>
      <c r="G250" s="16" t="str">
        <f>IF(regexMatch(A250,"[A-Za-z]*_f_.*")," Female", (IF(regexMatch(A250,"[A-Za-z]*_m_.*"), " Male", "")))</f>
        <v/>
      </c>
      <c r="H250" s="16" t="str">
        <f>IF(regexMatch(A250,".*_([0-9]+$)"), CONCATENATE(" ",VALUE(TRIM(CLEAN(RegexFindGroup(A250,".*_([0-9]*)"))))), "")</f>
        <v/>
      </c>
      <c r="I250" s="16" t="str">
        <f>IF(regexMatch(A250,"cs_.*")," (CS)", (IF(regexMatch(A250,"ig_.*"), " (IG)", "")))</f>
        <v/>
      </c>
      <c r="J250" s="10" t="str">
        <f t="shared" si="7"/>
        <v>Families Gang Member?</v>
      </c>
    </row>
    <row r="251" spans="1:10" x14ac:dyDescent="0.25">
      <c r="A251" s="6" t="s">
        <v>504</v>
      </c>
      <c r="B251" s="6" t="str">
        <f t="shared" si="8"/>
        <v>ig_ramp_gang</v>
      </c>
      <c r="C251" s="6" t="s">
        <v>503</v>
      </c>
      <c r="D251" s="7" t="str">
        <f>PROPER(C251)</f>
        <v>Gang</v>
      </c>
      <c r="E251" s="4" t="s">
        <v>1457</v>
      </c>
      <c r="F251" s="9" t="str">
        <f>IF(regexMatch(A251,"[A-Za-z]*_y_.*")," Young",(IF(regexMatch(A251,"[A-Za-z]*_o_.*")," Old", "")))</f>
        <v/>
      </c>
      <c r="G251" s="16" t="str">
        <f>IF(regexMatch(A251,"[A-Za-z]*_f_.*")," Female", (IF(regexMatch(A251,"[A-Za-z]*_m_.*"), " Male", "")))</f>
        <v/>
      </c>
      <c r="H251" s="16" t="str">
        <f>IF(regexMatch(A251,".*_([0-9]+$)"), CONCATENATE(" ",VALUE(TRIM(CLEAN(RegexFindGroup(A251,".*_([0-9]*)"))))), "")</f>
        <v/>
      </c>
      <c r="I251" s="16" t="str">
        <f>IF(regexMatch(A251,"cs_.*")," (CS)", (IF(regexMatch(A251,"ig_.*"), " (IG)", "")))</f>
        <v xml:space="preserve"> (IG)</v>
      </c>
      <c r="J251" s="10" t="str">
        <f t="shared" si="7"/>
        <v>Families Gang Member? (IG)</v>
      </c>
    </row>
    <row r="252" spans="1:10" x14ac:dyDescent="0.25">
      <c r="A252" s="6" t="s">
        <v>461</v>
      </c>
      <c r="B252" s="6" t="str">
        <f t="shared" si="8"/>
        <v>a_m_m_farmer_01</v>
      </c>
      <c r="C252" s="6" t="s">
        <v>462</v>
      </c>
      <c r="D252" s="7" t="str">
        <f>PROPER(C252)</f>
        <v>Farmer</v>
      </c>
      <c r="E252" s="4" t="s">
        <v>1152</v>
      </c>
      <c r="F252" s="9" t="str">
        <f>IF(regexMatch(A252,"[A-Za-z]*_y_.*")," Young",(IF(regexMatch(A252,"[A-Za-z]*_o_.*")," Old", "")))</f>
        <v/>
      </c>
      <c r="G252" s="16"/>
      <c r="H252" s="16" t="str">
        <f>IF(regexMatch(A252,".*_([0-9]+$)"), CONCATENATE(" ",VALUE(TRIM(CLEAN(RegexFindGroup(A252,".*_([0-9]*)"))))), "")</f>
        <v xml:space="preserve"> 1</v>
      </c>
      <c r="I252" s="16" t="str">
        <f>IF(regexMatch(A252,"cs_.*")," (CS)", (IF(regexMatch(A252,"ig_.*"), " (IG)", "")))</f>
        <v/>
      </c>
      <c r="J252" s="10" t="str">
        <f t="shared" si="7"/>
        <v>Farmer</v>
      </c>
    </row>
    <row r="253" spans="1:10" x14ac:dyDescent="0.25">
      <c r="A253" s="6" t="s">
        <v>463</v>
      </c>
      <c r="B253" s="6" t="str">
        <f t="shared" si="8"/>
        <v>a_f_m_fatbla_01</v>
      </c>
      <c r="C253" s="6" t="s">
        <v>464</v>
      </c>
      <c r="D253" s="7" t="str">
        <f>PROPER(C253)</f>
        <v>Fatbla</v>
      </c>
      <c r="E253" s="4" t="s">
        <v>1323</v>
      </c>
      <c r="F253" s="9" t="str">
        <f>IF(regexMatch(A253,"[A-Za-z]*_y_.*")," Young",(IF(regexMatch(A253,"[A-Za-z]*_o_.*")," Old", "")))</f>
        <v/>
      </c>
      <c r="G253" s="16" t="str">
        <f>IF(regexMatch(A253,"[A-Za-z]*_f_.*")," Female", (IF(regexMatch(A253,"[A-Za-z]*_m_.*"), " Male", "")))</f>
        <v xml:space="preserve"> Female</v>
      </c>
      <c r="H253" s="16" t="str">
        <f>IF(regexMatch(A253,".*_([0-9]+$)"), CONCATENATE(" ",VALUE(TRIM(CLEAN(RegexFindGroup(A253,".*_([0-9]*)"))))), "")</f>
        <v xml:space="preserve"> 1</v>
      </c>
      <c r="I253" s="16" t="str">
        <f>IF(regexMatch(A253,"cs_.*")," (CS)", (IF(regexMatch(A253,"ig_.*"), " (IG)", "")))</f>
        <v/>
      </c>
      <c r="J253" s="10" t="str">
        <f t="shared" si="7"/>
        <v>Fat Black Female</v>
      </c>
    </row>
    <row r="254" spans="1:10" x14ac:dyDescent="0.25">
      <c r="A254" s="6" t="s">
        <v>465</v>
      </c>
      <c r="B254" s="6" t="str">
        <f t="shared" si="8"/>
        <v>a_f_m_fatcult_01</v>
      </c>
      <c r="C254" s="6" t="s">
        <v>466</v>
      </c>
      <c r="D254" s="7" t="str">
        <f>PROPER(C254)</f>
        <v>Fatcult</v>
      </c>
      <c r="E254" s="4" t="s">
        <v>1324</v>
      </c>
      <c r="F254" s="9" t="str">
        <f>IF(regexMatch(A254,"[A-Za-z]*_y_.*")," Young",(IF(regexMatch(A254,"[A-Za-z]*_o_.*")," Old", "")))</f>
        <v/>
      </c>
      <c r="G254" s="16" t="str">
        <f>IF(regexMatch(A254,"[A-Za-z]*_f_.*")," Female", (IF(regexMatch(A254,"[A-Za-z]*_m_.*"), " Male", "")))</f>
        <v xml:space="preserve"> Female</v>
      </c>
      <c r="H254" s="16" t="str">
        <f>IF(regexMatch(A254,".*_([0-9]+$)"), CONCATENATE(" ",VALUE(TRIM(CLEAN(RegexFindGroup(A254,".*_([0-9]*)"))))), "")</f>
        <v xml:space="preserve"> 1</v>
      </c>
      <c r="I254" s="16" t="str">
        <f>IF(regexMatch(A254,"cs_.*")," (CS)", (IF(regexMatch(A254,"ig_.*"), " (IG)", "")))</f>
        <v/>
      </c>
      <c r="J254" s="10" t="str">
        <f t="shared" si="7"/>
        <v>Fat Cult Female</v>
      </c>
    </row>
    <row r="255" spans="1:10" x14ac:dyDescent="0.25">
      <c r="A255" s="6" t="s">
        <v>467</v>
      </c>
      <c r="B255" s="6" t="str">
        <f t="shared" si="8"/>
        <v>a_m_m_fatlatin_01</v>
      </c>
      <c r="C255" s="6" t="s">
        <v>468</v>
      </c>
      <c r="D255" s="7" t="str">
        <f>PROPER(C255)</f>
        <v>Fatlatin</v>
      </c>
      <c r="E255" s="4" t="s">
        <v>1325</v>
      </c>
      <c r="F255" s="9" t="str">
        <f>IF(regexMatch(A255,"[A-Za-z]*_y_.*")," Young",(IF(regexMatch(A255,"[A-Za-z]*_o_.*")," Old", "")))</f>
        <v/>
      </c>
      <c r="G255" s="16" t="str">
        <f>IF(regexMatch(A255,"[A-Za-z]*_f_.*")," Female", (IF(regexMatch(A255,"[A-Za-z]*_m_.*"), " Male", "")))</f>
        <v xml:space="preserve"> Male</v>
      </c>
      <c r="H255" s="16" t="str">
        <f>IF(regexMatch(A255,".*_([0-9]+$)"), CONCATENATE(" ",VALUE(TRIM(CLEAN(RegexFindGroup(A255,".*_([0-9]*)"))))), "")</f>
        <v xml:space="preserve"> 1</v>
      </c>
      <c r="I255" s="16" t="str">
        <f>IF(regexMatch(A255,"cs_.*")," (CS)", (IF(regexMatch(A255,"ig_.*"), " (IG)", "")))</f>
        <v/>
      </c>
      <c r="J255" s="10" t="str">
        <f t="shared" si="7"/>
        <v>Fat Latino Male</v>
      </c>
    </row>
    <row r="256" spans="1:10" x14ac:dyDescent="0.25">
      <c r="A256" s="6" t="s">
        <v>44</v>
      </c>
      <c r="B256" s="6" t="str">
        <f t="shared" si="8"/>
        <v xml:space="preserve">	a_f_m_fatwhite_01</v>
      </c>
      <c r="C256" s="6" t="s">
        <v>43</v>
      </c>
      <c r="D256" s="7" t="str">
        <f>PROPER(C256)</f>
        <v xml:space="preserve">	Fatwhite</v>
      </c>
      <c r="E256" s="4" t="s">
        <v>1383</v>
      </c>
      <c r="F256" s="9" t="str">
        <f>IF(regexMatch(A256,"[A-Za-z]*_y_.*")," Young",(IF(regexMatch(A256,"[A-Za-z]*_o_.*")," Old", "")))</f>
        <v/>
      </c>
      <c r="G256" s="16" t="str">
        <f>IF(regexMatch(A256,"[A-Za-z]*_f_.*")," Female", (IF(regexMatch(A256,"[A-Za-z]*_m_.*"), " Male", "")))</f>
        <v xml:space="preserve"> Female</v>
      </c>
      <c r="H256" s="16" t="str">
        <f>IF(regexMatch(A256,".*_([0-9]+$)"), CONCATENATE(" ",VALUE(TRIM(CLEAN(RegexFindGroup(A256,".*_([0-9]*)"))))), "")</f>
        <v xml:space="preserve"> 1</v>
      </c>
      <c r="I256" s="16" t="str">
        <f>IF(regexMatch(A256,"cs_.*")," (CS)", (IF(regexMatch(A256,"ig_.*"), " (IG)", "")))</f>
        <v/>
      </c>
      <c r="J256" s="10" t="str">
        <f t="shared" si="7"/>
        <v>Fat White Female</v>
      </c>
    </row>
    <row r="257" spans="1:10" x14ac:dyDescent="0.25">
      <c r="A257" s="1" t="s">
        <v>1509</v>
      </c>
      <c r="B257" s="6" t="str">
        <f t="shared" si="8"/>
        <v>a_f_y_femaleagent</v>
      </c>
      <c r="E257" s="21" t="s">
        <v>1531</v>
      </c>
      <c r="F257" s="9"/>
      <c r="G257" s="16"/>
      <c r="H257" s="16" t="str">
        <f>IF(regexMatch(A257,".*_([0-9]+$)"), CONCATENATE(" ",VALUE(TRIM(CLEAN(RegexFindGroup(A257,".*_([0-9]*)"))))), "")</f>
        <v/>
      </c>
      <c r="I257" s="16"/>
      <c r="J257" s="10" t="str">
        <f t="shared" si="7"/>
        <v>Female Agent</v>
      </c>
    </row>
    <row r="258" spans="1:10" x14ac:dyDescent="0.25">
      <c r="A258" s="6" t="s">
        <v>80</v>
      </c>
      <c r="B258" s="6" t="str">
        <f t="shared" si="8"/>
        <v xml:space="preserve">	cs_mrk</v>
      </c>
      <c r="C258" s="6" t="s">
        <v>79</v>
      </c>
      <c r="D258" s="7" t="str">
        <f>PROPER(C258)</f>
        <v xml:space="preserve">	Mrk</v>
      </c>
      <c r="E258" s="4" t="s">
        <v>1449</v>
      </c>
      <c r="F258" s="9" t="str">
        <f>IF(regexMatch(A258,"[A-Za-z]*_y_.*")," Young",(IF(regexMatch(A258,"[A-Za-z]*_o_.*")," Old", "")))</f>
        <v/>
      </c>
      <c r="G258" s="16" t="str">
        <f>IF(regexMatch(A258,"[A-Za-z]*_f_.*")," Female", (IF(regexMatch(A258,"[A-Za-z]*_m_.*"), " Male", "")))</f>
        <v/>
      </c>
      <c r="H258" s="16" t="str">
        <f>IF(regexMatch(A258,".*_([0-9]+$)"), CONCATENATE(" ",VALUE(TRIM(CLEAN(RegexFindGroup(A258,".*_([0-9]*)"))))), "")</f>
        <v/>
      </c>
      <c r="I258" s="16" t="str">
        <f>IF(regexMatch(A258,"cs_.*")," (CS)", (IF(regexMatch(A258,"ig_.*"), " (IG)", "")))</f>
        <v xml:space="preserve"> (CS)</v>
      </c>
      <c r="J258" s="10" t="str">
        <f t="shared" si="7"/>
        <v>Ferdinand Kerimov (Mr. K) (CS)</v>
      </c>
    </row>
    <row r="259" spans="1:10" x14ac:dyDescent="0.25">
      <c r="A259" s="6" t="s">
        <v>81</v>
      </c>
      <c r="B259" s="6" t="str">
        <f t="shared" si="8"/>
        <v xml:space="preserve">	ig_mrk</v>
      </c>
      <c r="C259" s="6" t="s">
        <v>79</v>
      </c>
      <c r="D259" s="7" t="str">
        <f>PROPER(C259)</f>
        <v xml:space="preserve">	Mrk</v>
      </c>
      <c r="E259" s="4" t="s">
        <v>1449</v>
      </c>
      <c r="F259" s="9" t="str">
        <f>IF(regexMatch(A259,"[A-Za-z]*_y_.*")," Young",(IF(regexMatch(A259,"[A-Za-z]*_o_.*")," Old", "")))</f>
        <v/>
      </c>
      <c r="G259" s="16" t="str">
        <f>IF(regexMatch(A259,"[A-Za-z]*_f_.*")," Female", (IF(regexMatch(A259,"[A-Za-z]*_m_.*"), " Male", "")))</f>
        <v/>
      </c>
      <c r="H259" s="16" t="str">
        <f>IF(regexMatch(A259,".*_([0-9]+$)"), CONCATENATE(" ",VALUE(TRIM(CLEAN(RegexFindGroup(A259,".*_([0-9]*)"))))), "")</f>
        <v/>
      </c>
      <c r="I259" s="16" t="str">
        <f>IF(regexMatch(A259,"cs_.*")," (CS)", (IF(regexMatch(A259,"ig_.*"), " (IG)", "")))</f>
        <v xml:space="preserve"> (IG)</v>
      </c>
      <c r="J259" s="10" t="str">
        <f t="shared" ref="J259:J322" si="9">TRIM(CONCATENATE(E259,F259,G259,IF(H259=" 1","",H259),I259))</f>
        <v>Ferdinand Kerimov (Mr. K) (IG)</v>
      </c>
    </row>
    <row r="260" spans="1:10" x14ac:dyDescent="0.25">
      <c r="A260" s="6" t="s">
        <v>474</v>
      </c>
      <c r="B260" s="6" t="str">
        <f t="shared" ref="B260:B323" si="10">TRIM(A260)</f>
        <v>u_m_m_fibarchitect</v>
      </c>
      <c r="C260" s="6" t="s">
        <v>475</v>
      </c>
      <c r="D260" s="7" t="str">
        <f>PROPER(C260)</f>
        <v>Fibarchitect</v>
      </c>
      <c r="E260" s="4" t="s">
        <v>1362</v>
      </c>
      <c r="F260" s="9"/>
      <c r="G260" s="16"/>
      <c r="H260" s="16" t="str">
        <f>IF(regexMatch(A260,".*_([0-9]+$)"), CONCATENATE(" ",VALUE(TRIM(CLEAN(RegexFindGroup(A260,".*_([0-9]*)"))))), "")</f>
        <v/>
      </c>
      <c r="I260" s="16" t="str">
        <f>IF(regexMatch(A260,"cs_.*")," (CS)", (IF(regexMatch(A260,"ig_.*"), " (IG)", "")))</f>
        <v/>
      </c>
      <c r="J260" s="10" t="str">
        <f t="shared" si="9"/>
        <v>FIB Architect</v>
      </c>
    </row>
    <row r="261" spans="1:10" x14ac:dyDescent="0.25">
      <c r="A261" s="6" t="s">
        <v>476</v>
      </c>
      <c r="B261" s="6" t="str">
        <f t="shared" si="10"/>
        <v>u_m_y_fibmugger_01</v>
      </c>
      <c r="C261" s="6" t="s">
        <v>477</v>
      </c>
      <c r="D261" s="7" t="str">
        <f>PROPER(C261)</f>
        <v>Fibmugger</v>
      </c>
      <c r="E261" s="4" t="s">
        <v>1363</v>
      </c>
      <c r="F261" s="9"/>
      <c r="G261" s="16"/>
      <c r="H261" s="16" t="str">
        <f>IF(regexMatch(A261,".*_([0-9]+$)"), CONCATENATE(" ",VALUE(TRIM(CLEAN(RegexFindGroup(A261,".*_([0-9]*)"))))), "")</f>
        <v xml:space="preserve"> 1</v>
      </c>
      <c r="I261" s="16" t="str">
        <f>IF(regexMatch(A261,"cs_.*")," (CS)", (IF(regexMatch(A261,"ig_.*"), " (IG)", "")))</f>
        <v/>
      </c>
      <c r="J261" s="10" t="str">
        <f t="shared" si="9"/>
        <v>FIB Mugger</v>
      </c>
    </row>
    <row r="262" spans="1:10" x14ac:dyDescent="0.25">
      <c r="A262" s="6" t="s">
        <v>478</v>
      </c>
      <c r="B262" s="6" t="str">
        <f t="shared" si="10"/>
        <v>s_m_m_fiboffice_01</v>
      </c>
      <c r="C262" s="6" t="s">
        <v>479</v>
      </c>
      <c r="D262" s="7" t="str">
        <f>PROPER(C262)</f>
        <v>Fiboffice</v>
      </c>
      <c r="E262" s="4" t="s">
        <v>1364</v>
      </c>
      <c r="F262" s="9"/>
      <c r="G262" s="16"/>
      <c r="H262" s="16" t="str">
        <f>IF(regexMatch(A262,".*_([0-9]+$)"), CONCATENATE(" ",VALUE(TRIM(CLEAN(RegexFindGroup(A262,".*_([0-9]*)"))))), "")</f>
        <v xml:space="preserve"> 1</v>
      </c>
      <c r="I262" s="16" t="str">
        <f>IF(regexMatch(A262,"cs_.*")," (CS)", (IF(regexMatch(A262,"ig_.*"), " (IG)", "")))</f>
        <v/>
      </c>
      <c r="J262" s="10" t="str">
        <f t="shared" si="9"/>
        <v>FIB Office Worker</v>
      </c>
    </row>
    <row r="263" spans="1:10" x14ac:dyDescent="0.25">
      <c r="A263" s="6" t="s">
        <v>480</v>
      </c>
      <c r="B263" s="6" t="str">
        <f t="shared" si="10"/>
        <v>s_m_m_fiboffice_02</v>
      </c>
      <c r="C263" s="6" t="s">
        <v>479</v>
      </c>
      <c r="D263" s="7" t="str">
        <f>PROPER(C263)</f>
        <v>Fiboffice</v>
      </c>
      <c r="E263" s="4" t="s">
        <v>1364</v>
      </c>
      <c r="F263" s="9"/>
      <c r="G263" s="16"/>
      <c r="H263" s="16" t="str">
        <f>IF(regexMatch(A263,".*_([0-9]+$)"), CONCATENATE(" ",VALUE(TRIM(CLEAN(RegexFindGroup(A263,".*_([0-9]*)"))))), "")</f>
        <v xml:space="preserve"> 2</v>
      </c>
      <c r="I263" s="16" t="str">
        <f>IF(regexMatch(A263,"cs_.*")," (CS)", (IF(regexMatch(A263,"ig_.*"), " (IG)", "")))</f>
        <v/>
      </c>
      <c r="J263" s="10" t="str">
        <f t="shared" si="9"/>
        <v>FIB Office Worker 2</v>
      </c>
    </row>
    <row r="264" spans="1:10" x14ac:dyDescent="0.25">
      <c r="A264" s="6" t="s">
        <v>46</v>
      </c>
      <c r="B264" s="6" t="str">
        <f t="shared" si="10"/>
        <v xml:space="preserve">	mp_m_fibsec_01</v>
      </c>
      <c r="C264" s="6" t="s">
        <v>45</v>
      </c>
      <c r="D264" s="7" t="str">
        <f>PROPER(C264)</f>
        <v xml:space="preserve">	Fibsec</v>
      </c>
      <c r="E264" s="4" t="s">
        <v>1553</v>
      </c>
      <c r="F264" s="9"/>
      <c r="G264" s="16"/>
      <c r="H264" s="16" t="str">
        <f>IF(regexMatch(A264,".*_([0-9]+$)"), CONCATENATE(" ",VALUE(TRIM(CLEAN(RegexFindGroup(A264,".*_([0-9]*)"))))), "")</f>
        <v xml:space="preserve"> 1</v>
      </c>
      <c r="I264" s="16" t="str">
        <f>IF(regexMatch(A264,"cs_.*")," (CS)", (IF(regexMatch(A264,"ig_.*"), " (IG)", "")))</f>
        <v/>
      </c>
      <c r="J264" s="10" t="str">
        <f t="shared" si="9"/>
        <v>FIB Security (MP)</v>
      </c>
    </row>
    <row r="265" spans="1:10" x14ac:dyDescent="0.25">
      <c r="A265" s="1" t="s">
        <v>1521</v>
      </c>
      <c r="B265" s="6" t="str">
        <f t="shared" si="10"/>
        <v>s_m_m_fibsec_01</v>
      </c>
      <c r="E265" s="2" t="s">
        <v>1554</v>
      </c>
      <c r="H265" s="16" t="str">
        <f>IF(regexMatch(A265,".*_([0-9]+$)"), CONCATENATE(" ",VALUE(TRIM(CLEAN(RegexFindGroup(A265,".*_([0-9]*)"))))), "")</f>
        <v xml:space="preserve"> 1</v>
      </c>
      <c r="J265" s="10" t="str">
        <f t="shared" si="9"/>
        <v>FIB Security (S)</v>
      </c>
    </row>
    <row r="266" spans="1:10" x14ac:dyDescent="0.25">
      <c r="A266" s="6" t="s">
        <v>469</v>
      </c>
      <c r="B266" s="6" t="str">
        <f t="shared" si="10"/>
        <v>cs_fbisuit_01</v>
      </c>
      <c r="C266" s="6" t="s">
        <v>470</v>
      </c>
      <c r="D266" s="7" t="str">
        <f>PROPER(C266)</f>
        <v>Fbisuit</v>
      </c>
      <c r="E266" s="4" t="s">
        <v>1361</v>
      </c>
      <c r="F266" s="9" t="str">
        <f>IF(regexMatch(A266,"[A-Za-z]*_y_.*")," Young",(IF(regexMatch(A266,"[A-Za-z]*_o_.*")," Old", "")))</f>
        <v/>
      </c>
      <c r="G266" s="16" t="str">
        <f>IF(regexMatch(A266,"[A-Za-z]*_f_.*")," Female", (IF(regexMatch(A266,"[A-Za-z]*_m_.*"), " Male", "")))</f>
        <v/>
      </c>
      <c r="H266" s="16" t="str">
        <f>IF(regexMatch(A266,".*_([0-9]+$)"), CONCATENATE(" ",VALUE(TRIM(CLEAN(RegexFindGroup(A266,".*_([0-9]*)"))))), "")</f>
        <v xml:space="preserve"> 1</v>
      </c>
      <c r="I266" s="16" t="str">
        <f>IF(regexMatch(A266,"cs_.*")," (CS)", (IF(regexMatch(A266,"ig_.*"), " (IG)", "")))</f>
        <v xml:space="preserve"> (CS)</v>
      </c>
      <c r="J266" s="10" t="str">
        <f t="shared" si="9"/>
        <v>FIB Suit (CS)</v>
      </c>
    </row>
    <row r="267" spans="1:10" x14ac:dyDescent="0.25">
      <c r="A267" s="6" t="s">
        <v>471</v>
      </c>
      <c r="B267" s="6" t="str">
        <f t="shared" si="10"/>
        <v>ig_fbisuit_01</v>
      </c>
      <c r="C267" s="6" t="s">
        <v>470</v>
      </c>
      <c r="D267" s="7" t="str">
        <f>PROPER(C267)</f>
        <v>Fbisuit</v>
      </c>
      <c r="E267" s="4" t="s">
        <v>1361</v>
      </c>
      <c r="F267" s="9" t="str">
        <f>IF(regexMatch(A267,"[A-Za-z]*_y_.*")," Young",(IF(regexMatch(A267,"[A-Za-z]*_o_.*")," Old", "")))</f>
        <v/>
      </c>
      <c r="G267" s="16" t="str">
        <f>IF(regexMatch(A267,"[A-Za-z]*_f_.*")," Female", (IF(regexMatch(A267,"[A-Za-z]*_m_.*"), " Male", "")))</f>
        <v/>
      </c>
      <c r="H267" s="16" t="str">
        <f>IF(regexMatch(A267,".*_([0-9]+$)"), CONCATENATE(" ",VALUE(TRIM(CLEAN(RegexFindGroup(A267,".*_([0-9]*)"))))), "")</f>
        <v xml:space="preserve"> 1</v>
      </c>
      <c r="I267" s="16" t="str">
        <f>IF(regexMatch(A267,"cs_.*")," (CS)", (IF(regexMatch(A267,"ig_.*"), " (IG)", "")))</f>
        <v xml:space="preserve"> (IG)</v>
      </c>
      <c r="J267" s="10" t="str">
        <f t="shared" si="9"/>
        <v>FIB Suit (IG)</v>
      </c>
    </row>
    <row r="268" spans="1:10" x14ac:dyDescent="0.25">
      <c r="A268" s="6" t="s">
        <v>483</v>
      </c>
      <c r="B268" s="6" t="str">
        <f t="shared" si="10"/>
        <v>u_m_o_finguru_01</v>
      </c>
      <c r="C268" s="6" t="s">
        <v>484</v>
      </c>
      <c r="D268" s="7" t="str">
        <f>PROPER(C268)</f>
        <v>Finguru</v>
      </c>
      <c r="E268" s="4" t="s">
        <v>1456</v>
      </c>
      <c r="F268" s="9"/>
      <c r="G268" s="16"/>
      <c r="H268" s="16" t="str">
        <f>IF(regexMatch(A268,".*_([0-9]+$)"), CONCATENATE(" ",VALUE(TRIM(CLEAN(RegexFindGroup(A268,".*_([0-9]*)"))))), "")</f>
        <v xml:space="preserve"> 1</v>
      </c>
      <c r="I268" s="16" t="str">
        <f>IF(regexMatch(A268,"cs_.*")," (CS)", (IF(regexMatch(A268,"ig_.*"), " (IG)", "")))</f>
        <v/>
      </c>
      <c r="J268" s="10" t="str">
        <f t="shared" si="9"/>
        <v>Financial Guru</v>
      </c>
    </row>
    <row r="269" spans="1:10" x14ac:dyDescent="0.25">
      <c r="A269" s="6" t="s">
        <v>485</v>
      </c>
      <c r="B269" s="6" t="str">
        <f t="shared" si="10"/>
        <v>s_m_y_fireman_01</v>
      </c>
      <c r="C269" s="6" t="s">
        <v>486</v>
      </c>
      <c r="D269" s="7" t="str">
        <f>PROPER(C269)</f>
        <v>Fireman</v>
      </c>
      <c r="E269" s="4" t="s">
        <v>1153</v>
      </c>
      <c r="F269" s="9"/>
      <c r="G269" s="16" t="str">
        <f>IF(regexMatch(A269,"[A-Za-z]*_f_.*")," Female", (IF(regexMatch(A269,"[A-Za-z]*_m_.*"), " Male", "")))</f>
        <v xml:space="preserve"> Male</v>
      </c>
      <c r="H269" s="16" t="str">
        <f>IF(regexMatch(A269,".*_([0-9]+$)"), CONCATENATE(" ",VALUE(TRIM(CLEAN(RegexFindGroup(A269,".*_([0-9]*)"))))), "")</f>
        <v xml:space="preserve"> 1</v>
      </c>
      <c r="I269" s="16" t="str">
        <f>IF(regexMatch(A269,"cs_.*")," (CS)", (IF(regexMatch(A269,"ig_.*"), " (IG)", "")))</f>
        <v/>
      </c>
      <c r="J269" s="10" t="str">
        <f t="shared" si="9"/>
        <v>Fireman Male</v>
      </c>
    </row>
    <row r="270" spans="1:10" x14ac:dyDescent="0.25">
      <c r="A270" s="6" t="s">
        <v>487</v>
      </c>
      <c r="B270" s="6" t="str">
        <f t="shared" si="10"/>
        <v>a_f_y_fitness_01</v>
      </c>
      <c r="C270" s="6" t="s">
        <v>488</v>
      </c>
      <c r="D270" s="7" t="str">
        <f>PROPER(C270)</f>
        <v>Fitness</v>
      </c>
      <c r="E270" s="4" t="s">
        <v>1154</v>
      </c>
      <c r="F270" s="9"/>
      <c r="G270" s="16" t="str">
        <f>IF(regexMatch(A270,"[A-Za-z]*_f_.*")," Female", (IF(regexMatch(A270,"[A-Za-z]*_m_.*"), " Male", "")))</f>
        <v xml:space="preserve"> Female</v>
      </c>
      <c r="H270" s="16" t="str">
        <f>IF(regexMatch(A270,".*_([0-9]+$)"), CONCATENATE(" ",VALUE(TRIM(CLEAN(RegexFindGroup(A270,".*_([0-9]*)"))))), "")</f>
        <v xml:space="preserve"> 1</v>
      </c>
      <c r="I270" s="16" t="str">
        <f>IF(regexMatch(A270,"cs_.*")," (CS)", (IF(regexMatch(A270,"ig_.*"), " (IG)", "")))</f>
        <v/>
      </c>
      <c r="J270" s="10" t="str">
        <f t="shared" si="9"/>
        <v>Fitness Female</v>
      </c>
    </row>
    <row r="271" spans="1:10" x14ac:dyDescent="0.25">
      <c r="A271" s="6" t="s">
        <v>489</v>
      </c>
      <c r="B271" s="6" t="str">
        <f t="shared" si="10"/>
        <v>a_f_y_fitness_02</v>
      </c>
      <c r="C271" s="6" t="s">
        <v>488</v>
      </c>
      <c r="D271" s="7" t="str">
        <f>PROPER(C271)</f>
        <v>Fitness</v>
      </c>
      <c r="E271" s="4" t="s">
        <v>1154</v>
      </c>
      <c r="F271" s="9"/>
      <c r="G271" s="16" t="str">
        <f>IF(regexMatch(A271,"[A-Za-z]*_f_.*")," Female", (IF(regexMatch(A271,"[A-Za-z]*_m_.*"), " Male", "")))</f>
        <v xml:space="preserve"> Female</v>
      </c>
      <c r="H271" s="16" t="str">
        <f>IF(regexMatch(A271,".*_([0-9]+$)"), CONCATENATE(" ",VALUE(TRIM(CLEAN(RegexFindGroup(A271,".*_([0-9]*)"))))), "")</f>
        <v xml:space="preserve"> 2</v>
      </c>
      <c r="I271" s="16" t="str">
        <f>IF(regexMatch(A271,"cs_.*")," (CS)", (IF(regexMatch(A271,"ig_.*"), " (IG)", "")))</f>
        <v/>
      </c>
      <c r="J271" s="10" t="str">
        <f t="shared" si="9"/>
        <v>Fitness Female 2</v>
      </c>
    </row>
    <row r="272" spans="1:10" x14ac:dyDescent="0.25">
      <c r="A272" s="6" t="s">
        <v>490</v>
      </c>
      <c r="B272" s="6" t="str">
        <f t="shared" si="10"/>
        <v>cs_floyd</v>
      </c>
      <c r="C272" s="6" t="s">
        <v>491</v>
      </c>
      <c r="D272" s="7" t="str">
        <f>PROPER(C272)</f>
        <v>Floyd</v>
      </c>
      <c r="E272" s="4" t="s">
        <v>1422</v>
      </c>
      <c r="F272" s="9" t="str">
        <f>IF(regexMatch(A272,"[A-Za-z]*_y_.*")," Young",(IF(regexMatch(A272,"[A-Za-z]*_o_.*")," Old", "")))</f>
        <v/>
      </c>
      <c r="G272" s="16" t="str">
        <f>IF(regexMatch(A272,"[A-Za-z]*_f_.*")," Female", (IF(regexMatch(A272,"[A-Za-z]*_m_.*"), " Male", "")))</f>
        <v/>
      </c>
      <c r="H272" s="16" t="str">
        <f>IF(regexMatch(A272,".*_([0-9]+$)"), CONCATENATE(" ",VALUE(TRIM(CLEAN(RegexFindGroup(A272,".*_([0-9]*)"))))), "")</f>
        <v/>
      </c>
      <c r="I272" s="16" t="str">
        <f>IF(regexMatch(A272,"cs_.*")," (CS)", (IF(regexMatch(A272,"ig_.*"), " (IG)", "")))</f>
        <v xml:space="preserve"> (CS)</v>
      </c>
      <c r="J272" s="10" t="str">
        <f t="shared" si="9"/>
        <v>Floyd Hebert (CS)</v>
      </c>
    </row>
    <row r="273" spans="1:10" x14ac:dyDescent="0.25">
      <c r="A273" s="6" t="s">
        <v>492</v>
      </c>
      <c r="B273" s="6" t="str">
        <f t="shared" si="10"/>
        <v>ig_floyd</v>
      </c>
      <c r="C273" s="6" t="s">
        <v>491</v>
      </c>
      <c r="D273" s="7" t="str">
        <f>PROPER(C273)</f>
        <v>Floyd</v>
      </c>
      <c r="E273" s="4" t="s">
        <v>1422</v>
      </c>
      <c r="F273" s="9" t="str">
        <f>IF(regexMatch(A273,"[A-Za-z]*_y_.*")," Young",(IF(regexMatch(A273,"[A-Za-z]*_o_.*")," Old", "")))</f>
        <v/>
      </c>
      <c r="G273" s="16" t="str">
        <f>IF(regexMatch(A273,"[A-Za-z]*_f_.*")," Female", (IF(regexMatch(A273,"[A-Za-z]*_m_.*"), " Male", "")))</f>
        <v/>
      </c>
      <c r="H273" s="16" t="str">
        <f>IF(regexMatch(A273,".*_([0-9]+$)"), CONCATENATE(" ",VALUE(TRIM(CLEAN(RegexFindGroup(A273,".*_([0-9]*)"))))), "")</f>
        <v/>
      </c>
      <c r="I273" s="16" t="str">
        <f>IF(regexMatch(A273,"cs_.*")," (CS)", (IF(regexMatch(A273,"ig_.*"), " (IG)", "")))</f>
        <v xml:space="preserve"> (IG)</v>
      </c>
      <c r="J273" s="10" t="str">
        <f t="shared" si="9"/>
        <v>Floyd Hebert (IG)</v>
      </c>
    </row>
    <row r="274" spans="1:10" x14ac:dyDescent="0.25">
      <c r="A274" s="6" t="s">
        <v>493</v>
      </c>
      <c r="B274" s="6" t="str">
        <f t="shared" si="10"/>
        <v>csb_fos_rep</v>
      </c>
      <c r="C274" s="6" t="s">
        <v>494</v>
      </c>
      <c r="D274" s="7" t="str">
        <f>PROPER(C274)</f>
        <v>Fos_Rep</v>
      </c>
      <c r="E274" s="4" t="s">
        <v>1458</v>
      </c>
      <c r="F274" s="9" t="str">
        <f>IF(regexMatch(A274,"[A-Za-z]*_y_.*")," Young",(IF(regexMatch(A274,"[A-Za-z]*_o_.*")," Old", "")))</f>
        <v/>
      </c>
      <c r="G274" s="16" t="str">
        <f>IF(regexMatch(A274,"[A-Za-z]*_f_.*")," Female", (IF(regexMatch(A274,"[A-Za-z]*_m_.*"), " Male", "")))</f>
        <v/>
      </c>
      <c r="H274" s="16" t="str">
        <f>IF(regexMatch(A274,".*_([0-9]+$)"), CONCATENATE(" ",VALUE(TRIM(CLEAN(RegexFindGroup(A274,".*_([0-9]*)"))))), "")</f>
        <v/>
      </c>
      <c r="I274" s="16" t="str">
        <f>IF(regexMatch(A274,"cs_.*")," (CS)", (IF(regexMatch(A274,"ig_.*"), " (IG)", "")))</f>
        <v/>
      </c>
      <c r="J274" s="10" t="str">
        <f t="shared" si="9"/>
        <v>FOS Rep?</v>
      </c>
    </row>
    <row r="275" spans="1:10" x14ac:dyDescent="0.25">
      <c r="A275" s="6" t="s">
        <v>495</v>
      </c>
      <c r="B275" s="6" t="str">
        <f t="shared" si="10"/>
        <v>mp_f_freemode_01</v>
      </c>
      <c r="C275" s="6" t="s">
        <v>496</v>
      </c>
      <c r="D275" s="7" t="str">
        <f>PROPER(C275)</f>
        <v>Freemode</v>
      </c>
      <c r="E275" s="4" t="s">
        <v>1421</v>
      </c>
      <c r="F275" s="9" t="str">
        <f>IF(regexMatch(A275,"[A-Za-z]*_y_.*")," Young",(IF(regexMatch(A275,"[A-Za-z]*_o_.*")," Old", "")))</f>
        <v/>
      </c>
      <c r="G275" s="16" t="str">
        <f>IF(regexMatch(A275,"[A-Za-z]*_f_.*")," Female", (IF(regexMatch(A275,"[A-Za-z]*_m_.*"), " Male", "")))</f>
        <v xml:space="preserve"> Female</v>
      </c>
      <c r="H275" s="16" t="str">
        <f>IF(regexMatch(A275,".*_([0-9]+$)"), CONCATENATE(" ",VALUE(TRIM(CLEAN(RegexFindGroup(A275,".*_([0-9]*)"))))), "")</f>
        <v xml:space="preserve"> 1</v>
      </c>
      <c r="I275" s="16" t="str">
        <f>IF(regexMatch(A275,"cs_.*")," (CS)", (IF(regexMatch(A275,"ig_.*"), " (IG)", "")))</f>
        <v/>
      </c>
      <c r="J275" s="10" t="str">
        <f t="shared" si="9"/>
        <v>Free Mode Female</v>
      </c>
    </row>
    <row r="276" spans="1:10" x14ac:dyDescent="0.25">
      <c r="A276" s="6" t="s">
        <v>497</v>
      </c>
      <c r="B276" s="6" t="str">
        <f t="shared" si="10"/>
        <v>mp_m_freemode_01</v>
      </c>
      <c r="C276" s="6" t="s">
        <v>496</v>
      </c>
      <c r="D276" s="7" t="str">
        <f>PROPER(C276)</f>
        <v>Freemode</v>
      </c>
      <c r="E276" s="4" t="s">
        <v>1421</v>
      </c>
      <c r="F276" s="9" t="str">
        <f>IF(regexMatch(A276,"[A-Za-z]*_y_.*")," Young",(IF(regexMatch(A276,"[A-Za-z]*_o_.*")," Old", "")))</f>
        <v/>
      </c>
      <c r="G276" s="16" t="str">
        <f>IF(regexMatch(A276,"[A-Za-z]*_f_.*")," Female", (IF(regexMatch(A276,"[A-Za-z]*_m_.*"), " Male", "")))</f>
        <v xml:space="preserve"> Male</v>
      </c>
      <c r="H276" s="16" t="str">
        <f>IF(regexMatch(A276,".*_([0-9]+$)"), CONCATENATE(" ",VALUE(TRIM(CLEAN(RegexFindGroup(A276,".*_([0-9]*)"))))), "")</f>
        <v xml:space="preserve"> 1</v>
      </c>
      <c r="I276" s="16" t="str">
        <f>IF(regexMatch(A276,"cs_.*")," (CS)", (IF(regexMatch(A276,"ig_.*"), " (IG)", "")))</f>
        <v/>
      </c>
      <c r="J276" s="10" t="str">
        <f t="shared" si="9"/>
        <v>Free Mode Male</v>
      </c>
    </row>
    <row r="277" spans="1:10" x14ac:dyDescent="0.25">
      <c r="A277" s="6" t="s">
        <v>500</v>
      </c>
      <c r="B277" s="6" t="str">
        <f t="shared" si="10"/>
        <v>s_m_m_gaffer_01</v>
      </c>
      <c r="C277" s="6" t="s">
        <v>501</v>
      </c>
      <c r="D277" s="7" t="str">
        <f>PROPER(C277)</f>
        <v>Gaffer</v>
      </c>
      <c r="E277" s="4" t="s">
        <v>1155</v>
      </c>
      <c r="F277" s="9"/>
      <c r="G277" s="16"/>
      <c r="H277" s="16" t="str">
        <f>IF(regexMatch(A277,".*_([0-9]+$)"), CONCATENATE(" ",VALUE(TRIM(CLEAN(RegexFindGroup(A277,".*_([0-9]*)"))))), "")</f>
        <v xml:space="preserve"> 1</v>
      </c>
      <c r="I277" s="16" t="str">
        <f>IF(regexMatch(A277,"cs_.*")," (CS)", (IF(regexMatch(A277,"ig_.*"), " (IG)", "")))</f>
        <v/>
      </c>
      <c r="J277" s="10" t="str">
        <f t="shared" si="9"/>
        <v>Gaffer</v>
      </c>
    </row>
    <row r="278" spans="1:10" x14ac:dyDescent="0.25">
      <c r="A278" s="6" t="s">
        <v>505</v>
      </c>
      <c r="B278" s="6" t="str">
        <f t="shared" si="10"/>
        <v>s_m_y_garbage</v>
      </c>
      <c r="C278" s="6" t="s">
        <v>506</v>
      </c>
      <c r="D278" s="7" t="str">
        <f>PROPER(C278)</f>
        <v>Garbage</v>
      </c>
      <c r="E278" s="4" t="s">
        <v>1420</v>
      </c>
      <c r="F278" s="9"/>
      <c r="G278" s="16"/>
      <c r="H278" s="16" t="str">
        <f>IF(regexMatch(A278,".*_([0-9]+$)"), CONCATENATE(" ",VALUE(TRIM(CLEAN(RegexFindGroup(A278,".*_([0-9]*)"))))), "")</f>
        <v/>
      </c>
      <c r="I278" s="16" t="str">
        <f>IF(regexMatch(A278,"cs_.*")," (CS)", (IF(regexMatch(A278,"ig_.*"), " (IG)", "")))</f>
        <v/>
      </c>
      <c r="J278" s="10" t="str">
        <f t="shared" si="9"/>
        <v>Garbage Worker</v>
      </c>
    </row>
    <row r="279" spans="1:10" x14ac:dyDescent="0.25">
      <c r="A279" s="6" t="s">
        <v>507</v>
      </c>
      <c r="B279" s="6" t="str">
        <f t="shared" si="10"/>
        <v>s_m_m_gardener_01</v>
      </c>
      <c r="C279" s="6" t="s">
        <v>508</v>
      </c>
      <c r="D279" s="7" t="str">
        <f>PROPER(C279)</f>
        <v>Gardener</v>
      </c>
      <c r="E279" s="4" t="s">
        <v>1156</v>
      </c>
      <c r="F279" s="9"/>
      <c r="G279" s="16"/>
      <c r="H279" s="16" t="str">
        <f>IF(regexMatch(A279,".*_([0-9]+$)"), CONCATENATE(" ",VALUE(TRIM(CLEAN(RegexFindGroup(A279,".*_([0-9]*)"))))), "")</f>
        <v xml:space="preserve"> 1</v>
      </c>
      <c r="I279" s="16" t="str">
        <f>IF(regexMatch(A279,"cs_.*")," (CS)", (IF(regexMatch(A279,"ig_.*"), " (IG)", "")))</f>
        <v/>
      </c>
      <c r="J279" s="10" t="str">
        <f t="shared" si="9"/>
        <v>Gardener</v>
      </c>
    </row>
    <row r="280" spans="1:10" x14ac:dyDescent="0.25">
      <c r="A280" s="6" t="s">
        <v>509</v>
      </c>
      <c r="B280" s="6" t="str">
        <f t="shared" si="10"/>
        <v>a_m_y_gay_01</v>
      </c>
      <c r="C280" s="6" t="s">
        <v>510</v>
      </c>
      <c r="D280" s="7" t="str">
        <f>PROPER(C280)</f>
        <v>Gay</v>
      </c>
      <c r="E280" s="4" t="s">
        <v>1157</v>
      </c>
      <c r="F280" s="9"/>
      <c r="G280" s="16" t="str">
        <f>IF(regexMatch(A280,"[A-Za-z]*_f_.*")," Female", (IF(regexMatch(A280,"[A-Za-z]*_m_.*"), " Male", "")))</f>
        <v xml:space="preserve"> Male</v>
      </c>
      <c r="H280" s="16" t="str">
        <f>IF(regexMatch(A280,".*_([0-9]+$)"), CONCATENATE(" ",VALUE(TRIM(CLEAN(RegexFindGroup(A280,".*_([0-9]*)"))))), "")</f>
        <v xml:space="preserve"> 1</v>
      </c>
      <c r="I280" s="16" t="str">
        <f>IF(regexMatch(A280,"cs_.*")," (CS)", (IF(regexMatch(A280,"ig_.*"), " (IG)", "")))</f>
        <v/>
      </c>
      <c r="J280" s="10" t="str">
        <f t="shared" si="9"/>
        <v>Gay Male</v>
      </c>
    </row>
    <row r="281" spans="1:10" x14ac:dyDescent="0.25">
      <c r="A281" s="6" t="s">
        <v>511</v>
      </c>
      <c r="B281" s="6" t="str">
        <f t="shared" si="10"/>
        <v>a_m_y_gay_02</v>
      </c>
      <c r="C281" s="6" t="s">
        <v>510</v>
      </c>
      <c r="D281" s="7" t="str">
        <f>PROPER(C281)</f>
        <v>Gay</v>
      </c>
      <c r="E281" s="4" t="s">
        <v>1157</v>
      </c>
      <c r="F281" s="9"/>
      <c r="G281" s="16" t="str">
        <f>IF(regexMatch(A281,"[A-Za-z]*_f_.*")," Female", (IF(regexMatch(A281,"[A-Za-z]*_m_.*"), " Male", "")))</f>
        <v xml:space="preserve"> Male</v>
      </c>
      <c r="H281" s="16" t="str">
        <f>IF(regexMatch(A281,".*_([0-9]+$)"), CONCATENATE(" ",VALUE(TRIM(CLEAN(RegexFindGroup(A281,".*_([0-9]*)"))))), "")</f>
        <v xml:space="preserve"> 2</v>
      </c>
      <c r="I281" s="16" t="str">
        <f>IF(regexMatch(A281,"cs_.*")," (CS)", (IF(regexMatch(A281,"ig_.*"), " (IG)", "")))</f>
        <v/>
      </c>
      <c r="J281" s="10" t="str">
        <f t="shared" si="9"/>
        <v>Gay Male 2</v>
      </c>
    </row>
    <row r="282" spans="1:10" x14ac:dyDescent="0.25">
      <c r="A282" s="6" t="s">
        <v>48</v>
      </c>
      <c r="B282" s="6" t="str">
        <f t="shared" si="10"/>
        <v xml:space="preserve">	a_m_m_genfat_01</v>
      </c>
      <c r="C282" s="6" t="s">
        <v>47</v>
      </c>
      <c r="D282" s="7" t="str">
        <f>PROPER(C282)</f>
        <v xml:space="preserve">	Genfat</v>
      </c>
      <c r="E282" s="4" t="s">
        <v>1346</v>
      </c>
      <c r="F282" s="9" t="str">
        <f>IF(regexMatch(A282,"[A-Za-z]*_y_.*")," Young",(IF(regexMatch(A282,"[A-Za-z]*_o_.*")," Old", "")))</f>
        <v/>
      </c>
      <c r="G282" s="16" t="str">
        <f>IF(regexMatch(A282,"[A-Za-z]*_f_.*")," Female", (IF(regexMatch(A282,"[A-Za-z]*_m_.*"), " Male", "")))</f>
        <v xml:space="preserve"> Male</v>
      </c>
      <c r="H282" s="16" t="str">
        <f>IF(regexMatch(A282,".*_([0-9]+$)"), CONCATENATE(" ",VALUE(TRIM(CLEAN(RegexFindGroup(A282,".*_([0-9]*)"))))), "")</f>
        <v xml:space="preserve"> 1</v>
      </c>
      <c r="I282" s="16" t="str">
        <f>IF(regexMatch(A282,"cs_.*")," (CS)", (IF(regexMatch(A282,"ig_.*"), " (IG)", "")))</f>
        <v/>
      </c>
      <c r="J282" s="10" t="str">
        <f t="shared" si="9"/>
        <v>General Fat Male</v>
      </c>
    </row>
    <row r="283" spans="1:10" x14ac:dyDescent="0.25">
      <c r="A283" s="6" t="s">
        <v>512</v>
      </c>
      <c r="B283" s="6" t="str">
        <f t="shared" si="10"/>
        <v>a_m_m_genfat_02</v>
      </c>
      <c r="C283" s="6" t="s">
        <v>513</v>
      </c>
      <c r="D283" s="7" t="str">
        <f>PROPER(C283)</f>
        <v>Genfat</v>
      </c>
      <c r="E283" s="4" t="s">
        <v>1346</v>
      </c>
      <c r="F283" s="9" t="str">
        <f>IF(regexMatch(A283,"[A-Za-z]*_y_.*")," Young",(IF(regexMatch(A283,"[A-Za-z]*_o_.*")," Old", "")))</f>
        <v/>
      </c>
      <c r="G283" s="16" t="str">
        <f>IF(regexMatch(A283,"[A-Za-z]*_f_.*")," Female", (IF(regexMatch(A283,"[A-Za-z]*_m_.*"), " Male", "")))</f>
        <v xml:space="preserve"> Male</v>
      </c>
      <c r="H283" s="16" t="str">
        <f>IF(regexMatch(A283,".*_([0-9]+$)"), CONCATENATE(" ",VALUE(TRIM(CLEAN(RegexFindGroup(A283,".*_([0-9]*)"))))), "")</f>
        <v xml:space="preserve"> 2</v>
      </c>
      <c r="I283" s="16" t="str">
        <f>IF(regexMatch(A283,"cs_.*")," (CS)", (IF(regexMatch(A283,"ig_.*"), " (IG)", "")))</f>
        <v/>
      </c>
      <c r="J283" s="10" t="str">
        <f t="shared" si="9"/>
        <v>General Fat Male 2</v>
      </c>
    </row>
    <row r="284" spans="1:10" x14ac:dyDescent="0.25">
      <c r="A284" s="6" t="s">
        <v>514</v>
      </c>
      <c r="B284" s="6" t="str">
        <f t="shared" si="10"/>
        <v>a_f_y_genhot_01</v>
      </c>
      <c r="C284" s="6" t="s">
        <v>515</v>
      </c>
      <c r="D284" s="7" t="str">
        <f>PROPER(C284)</f>
        <v>Genhot</v>
      </c>
      <c r="E284" s="4" t="s">
        <v>1347</v>
      </c>
      <c r="F284" s="9" t="str">
        <f>IF(regexMatch(A284,"[A-Za-z]*_y_.*")," Young",(IF(regexMatch(A284,"[A-Za-z]*_o_.*")," Old", "")))</f>
        <v xml:space="preserve"> Young</v>
      </c>
      <c r="G284" s="16" t="str">
        <f>IF(regexMatch(A284,"[A-Za-z]*_f_.*")," Female", (IF(regexMatch(A284,"[A-Za-z]*_m_.*"), " Male", "")))</f>
        <v xml:space="preserve"> Female</v>
      </c>
      <c r="H284" s="16" t="str">
        <f>IF(regexMatch(A284,".*_([0-9]+$)"), CONCATENATE(" ",VALUE(TRIM(CLEAN(RegexFindGroup(A284,".*_([0-9]*)"))))), "")</f>
        <v xml:space="preserve"> 1</v>
      </c>
      <c r="I284" s="16" t="str">
        <f>IF(regexMatch(A284,"cs_.*")," (CS)", (IF(regexMatch(A284,"ig_.*"), " (IG)", "")))</f>
        <v/>
      </c>
      <c r="J284" s="10" t="str">
        <f t="shared" si="9"/>
        <v>General Hot Young Female</v>
      </c>
    </row>
    <row r="285" spans="1:10" x14ac:dyDescent="0.25">
      <c r="A285" s="6" t="s">
        <v>516</v>
      </c>
      <c r="B285" s="6" t="str">
        <f t="shared" si="10"/>
        <v>a_f_o_genstreet_01</v>
      </c>
      <c r="C285" s="6" t="s">
        <v>517</v>
      </c>
      <c r="D285" s="7" t="str">
        <f>PROPER(C285)</f>
        <v>Genstreet</v>
      </c>
      <c r="E285" s="4" t="s">
        <v>1348</v>
      </c>
      <c r="F285" s="9" t="str">
        <f>IF(regexMatch(A285,"[A-Za-z]*_y_.*")," Young",(IF(regexMatch(A285,"[A-Za-z]*_o_.*")," Old", "")))</f>
        <v xml:space="preserve"> Old</v>
      </c>
      <c r="G285" s="16" t="str">
        <f>IF(regexMatch(A285,"[A-Za-z]*_f_.*")," Female", (IF(regexMatch(A285,"[A-Za-z]*_m_.*"), " Male", "")))</f>
        <v xml:space="preserve"> Female</v>
      </c>
      <c r="H285" s="16" t="str">
        <f>IF(regexMatch(A285,".*_([0-9]+$)"), CONCATENATE(" ",VALUE(TRIM(CLEAN(RegexFindGroup(A285,".*_([0-9]*)"))))), "")</f>
        <v xml:space="preserve"> 1</v>
      </c>
      <c r="I285" s="16" t="str">
        <f>IF(regexMatch(A285,"cs_.*")," (CS)", (IF(regexMatch(A285,"ig_.*"), " (IG)", "")))</f>
        <v/>
      </c>
      <c r="J285" s="10" t="str">
        <f t="shared" si="9"/>
        <v>General Street Old Female</v>
      </c>
    </row>
    <row r="286" spans="1:10" x14ac:dyDescent="0.25">
      <c r="A286" s="6" t="s">
        <v>518</v>
      </c>
      <c r="B286" s="6" t="str">
        <f t="shared" si="10"/>
        <v>a_m_o_genstreet_01</v>
      </c>
      <c r="C286" s="6" t="s">
        <v>517</v>
      </c>
      <c r="D286" s="7" t="str">
        <f>PROPER(C286)</f>
        <v>Genstreet</v>
      </c>
      <c r="E286" s="4" t="s">
        <v>1348</v>
      </c>
      <c r="F286" s="9" t="str">
        <f>IF(regexMatch(A286,"[A-Za-z]*_y_.*")," Young",(IF(regexMatch(A286,"[A-Za-z]*_o_.*")," Old", "")))</f>
        <v xml:space="preserve"> Old</v>
      </c>
      <c r="G286" s="16" t="str">
        <f>IF(regexMatch(A286,"[A-Za-z]*_f_.*")," Female", (IF(regexMatch(A286,"[A-Za-z]*_m_.*"), " Male", "")))</f>
        <v xml:space="preserve"> Male</v>
      </c>
      <c r="H286" s="16" t="str">
        <f>IF(regexMatch(A286,".*_([0-9]+$)"), CONCATENATE(" ",VALUE(TRIM(CLEAN(RegexFindGroup(A286,".*_([0-9]*)"))))), "")</f>
        <v xml:space="preserve"> 1</v>
      </c>
      <c r="I286" s="16" t="str">
        <f>IF(regexMatch(A286,"cs_.*")," (CS)", (IF(regexMatch(A286,"ig_.*"), " (IG)", "")))</f>
        <v/>
      </c>
      <c r="J286" s="10" t="str">
        <f t="shared" si="9"/>
        <v>General Street Old Male</v>
      </c>
    </row>
    <row r="287" spans="1:10" x14ac:dyDescent="0.25">
      <c r="A287" s="6" t="s">
        <v>519</v>
      </c>
      <c r="B287" s="6" t="str">
        <f t="shared" si="10"/>
        <v>a_m_y_genstreet_01</v>
      </c>
      <c r="C287" s="6" t="s">
        <v>517</v>
      </c>
      <c r="D287" s="7" t="str">
        <f>PROPER(C287)</f>
        <v>Genstreet</v>
      </c>
      <c r="E287" s="4" t="s">
        <v>1348</v>
      </c>
      <c r="F287" s="9" t="str">
        <f>IF(regexMatch(A287,"[A-Za-z]*_y_.*")," Young",(IF(regexMatch(A287,"[A-Za-z]*_o_.*")," Old", "")))</f>
        <v xml:space="preserve"> Young</v>
      </c>
      <c r="G287" s="16" t="str">
        <f>IF(regexMatch(A287,"[A-Za-z]*_f_.*")," Female", (IF(regexMatch(A287,"[A-Za-z]*_m_.*"), " Male", "")))</f>
        <v xml:space="preserve"> Male</v>
      </c>
      <c r="H287" s="16" t="str">
        <f>IF(regexMatch(A287,".*_([0-9]+$)"), CONCATENATE(" ",VALUE(TRIM(CLEAN(RegexFindGroup(A287,".*_([0-9]*)"))))), "")</f>
        <v xml:space="preserve"> 1</v>
      </c>
      <c r="I287" s="16" t="str">
        <f>IF(regexMatch(A287,"cs_.*")," (CS)", (IF(regexMatch(A287,"ig_.*"), " (IG)", "")))</f>
        <v/>
      </c>
      <c r="J287" s="10" t="str">
        <f t="shared" si="9"/>
        <v>General Street Young Male</v>
      </c>
    </row>
    <row r="288" spans="1:10" x14ac:dyDescent="0.25">
      <c r="A288" s="6" t="s">
        <v>520</v>
      </c>
      <c r="B288" s="6" t="str">
        <f t="shared" si="10"/>
        <v>a_m_y_genstreet_02</v>
      </c>
      <c r="C288" s="6" t="s">
        <v>517</v>
      </c>
      <c r="D288" s="7" t="str">
        <f>PROPER(C288)</f>
        <v>Genstreet</v>
      </c>
      <c r="E288" s="4" t="s">
        <v>1348</v>
      </c>
      <c r="F288" s="9" t="str">
        <f>IF(regexMatch(A288,"[A-Za-z]*_y_.*")," Young",(IF(regexMatch(A288,"[A-Za-z]*_o_.*")," Old", "")))</f>
        <v xml:space="preserve"> Young</v>
      </c>
      <c r="G288" s="16" t="str">
        <f>IF(regexMatch(A288,"[A-Za-z]*_f_.*")," Female", (IF(regexMatch(A288,"[A-Za-z]*_m_.*"), " Male", "")))</f>
        <v xml:space="preserve"> Male</v>
      </c>
      <c r="H288" s="16" t="str">
        <f>IF(regexMatch(A288,".*_([0-9]+$)"), CONCATENATE(" ",VALUE(TRIM(CLEAN(RegexFindGroup(A288,".*_([0-9]*)"))))), "")</f>
        <v xml:space="preserve"> 2</v>
      </c>
      <c r="I288" s="16" t="str">
        <f>IF(regexMatch(A288,"cs_.*")," (CS)", (IF(regexMatch(A288,"ig_.*"), " (IG)", "")))</f>
        <v/>
      </c>
      <c r="J288" s="10" t="str">
        <f t="shared" si="9"/>
        <v>General Street Young Male 2</v>
      </c>
    </row>
    <row r="289" spans="1:10" x14ac:dyDescent="0.25">
      <c r="A289" s="6" t="s">
        <v>498</v>
      </c>
      <c r="B289" s="6" t="str">
        <f t="shared" si="10"/>
        <v>csb_g</v>
      </c>
      <c r="C289" s="6" t="s">
        <v>499</v>
      </c>
      <c r="D289" s="7" t="str">
        <f>PROPER(C289)</f>
        <v>G</v>
      </c>
      <c r="E289" s="4" t="s">
        <v>1481</v>
      </c>
      <c r="F289" s="9" t="str">
        <f>IF(regexMatch(A289,"[A-Za-z]*_y_.*")," Young",(IF(regexMatch(A289,"[A-Za-z]*_o_.*")," Old", "")))</f>
        <v/>
      </c>
      <c r="G289" s="16" t="str">
        <f>IF(regexMatch(A289,"[A-Za-z]*_f_.*")," Female", (IF(regexMatch(A289,"[A-Za-z]*_m_.*"), " Male", "")))</f>
        <v/>
      </c>
      <c r="H289" s="16" t="str">
        <f>IF(regexMatch(A289,".*_([0-9]+$)"), CONCATENATE(" ",VALUE(TRIM(CLEAN(RegexFindGroup(A289,".*_([0-9]*)"))))), "")</f>
        <v/>
      </c>
      <c r="I289" s="16" t="str">
        <f>IF(regexMatch(A289,"cs_.*")," (CS)", (IF(regexMatch(A289,"ig_.*"), " (IG)", "")))</f>
        <v/>
      </c>
      <c r="J289" s="10" t="str">
        <f t="shared" si="9"/>
        <v>Gerald</v>
      </c>
    </row>
    <row r="290" spans="1:10" x14ac:dyDescent="0.25">
      <c r="A290" s="6" t="s">
        <v>523</v>
      </c>
      <c r="B290" s="6" t="str">
        <f t="shared" si="10"/>
        <v>u_m_m_glenstank_01</v>
      </c>
      <c r="C290" s="6" t="s">
        <v>524</v>
      </c>
      <c r="D290" s="7" t="str">
        <f>PROPER(C290)</f>
        <v>Glenstank</v>
      </c>
      <c r="E290" s="4" t="s">
        <v>1459</v>
      </c>
      <c r="F290" s="9" t="str">
        <f>IF(regexMatch(A290,"[A-Za-z]*_y_.*")," Young",(IF(regexMatch(A290,"[A-Za-z]*_o_.*")," Old", "")))</f>
        <v/>
      </c>
      <c r="G290" s="16" t="str">
        <f>IF(regexMatch(A290,"[A-Za-z]*_f_.*")," Female", (IF(regexMatch(A290,"[A-Za-z]*_m_.*"), " Male", "")))</f>
        <v xml:space="preserve"> Male</v>
      </c>
      <c r="H290" s="16" t="str">
        <f>IF(regexMatch(A290,".*_([0-9]+$)"), CONCATENATE(" ",VALUE(TRIM(CLEAN(RegexFindGroup(A290,".*_([0-9]*)"))))), "")</f>
        <v xml:space="preserve"> 1</v>
      </c>
      <c r="I290" s="16" t="str">
        <f>IF(regexMatch(A290,"cs_.*")," (CS)", (IF(regexMatch(A290,"ig_.*"), " (IG)", "")))</f>
        <v/>
      </c>
      <c r="J290" s="10" t="str">
        <f t="shared" si="9"/>
        <v>GLENSTANK? Male</v>
      </c>
    </row>
    <row r="291" spans="1:10" x14ac:dyDescent="0.25">
      <c r="A291" s="6" t="s">
        <v>527</v>
      </c>
      <c r="B291" s="6" t="str">
        <f t="shared" si="10"/>
        <v>a_m_m_golfer_01</v>
      </c>
      <c r="C291" s="6" t="s">
        <v>526</v>
      </c>
      <c r="D291" s="7" t="str">
        <f>PROPER(C291)</f>
        <v>Golfer</v>
      </c>
      <c r="E291" s="4" t="s">
        <v>1158</v>
      </c>
      <c r="F291" s="9" t="str">
        <f>IF(regexMatch(A291,"[A-Za-z]*_y_.*")," Young",(IF(regexMatch(A291,"[A-Za-z]*_o_.*")," Old", "")))</f>
        <v/>
      </c>
      <c r="G291" s="16" t="str">
        <f>IF(regexMatch(A291,"[A-Za-z]*_f_.*")," Female", (IF(regexMatch(A291,"[A-Za-z]*_m_.*"), " Male", "")))</f>
        <v xml:space="preserve"> Male</v>
      </c>
      <c r="H291" s="16" t="str">
        <f>IF(regexMatch(A291,".*_([0-9]+$)"), CONCATENATE(" ",VALUE(TRIM(CLEAN(RegexFindGroup(A291,".*_([0-9]*)"))))), "")</f>
        <v xml:space="preserve"> 1</v>
      </c>
      <c r="I291" s="16" t="str">
        <f>IF(regexMatch(A291,"cs_.*")," (CS)", (IF(regexMatch(A291,"ig_.*"), " (IG)", "")))</f>
        <v/>
      </c>
      <c r="J291" s="10" t="str">
        <f t="shared" si="9"/>
        <v>Golfer Male</v>
      </c>
    </row>
    <row r="292" spans="1:10" x14ac:dyDescent="0.25">
      <c r="A292" s="6" t="s">
        <v>525</v>
      </c>
      <c r="B292" s="6" t="str">
        <f t="shared" si="10"/>
        <v>a_f_y_golfer_01</v>
      </c>
      <c r="C292" s="6" t="s">
        <v>526</v>
      </c>
      <c r="D292" s="7" t="str">
        <f>PROPER(C292)</f>
        <v>Golfer</v>
      </c>
      <c r="E292" s="4" t="s">
        <v>1158</v>
      </c>
      <c r="F292" s="9" t="str">
        <f>IF(regexMatch(A292,"[A-Za-z]*_y_.*")," Young",(IF(regexMatch(A292,"[A-Za-z]*_o_.*")," Old", "")))</f>
        <v xml:space="preserve"> Young</v>
      </c>
      <c r="G292" s="16" t="str">
        <f>IF(regexMatch(A292,"[A-Za-z]*_f_.*")," Female", (IF(regexMatch(A292,"[A-Za-z]*_m_.*"), " Male", "")))</f>
        <v xml:space="preserve"> Female</v>
      </c>
      <c r="H292" s="16" t="str">
        <f>IF(regexMatch(A292,".*_([0-9]+$)"), CONCATENATE(" ",VALUE(TRIM(CLEAN(RegexFindGroup(A292,".*_([0-9]*)"))))), "")</f>
        <v xml:space="preserve"> 1</v>
      </c>
      <c r="I292" s="16" t="str">
        <f>IF(regexMatch(A292,"cs_.*")," (CS)", (IF(regexMatch(A292,"ig_.*"), " (IG)", "")))</f>
        <v/>
      </c>
      <c r="J292" s="10" t="str">
        <f t="shared" si="9"/>
        <v>Golfer Young Female</v>
      </c>
    </row>
    <row r="293" spans="1:10" x14ac:dyDescent="0.25">
      <c r="A293" s="6" t="s">
        <v>528</v>
      </c>
      <c r="B293" s="6" t="str">
        <f t="shared" si="10"/>
        <v>a_m_y_golfer_01</v>
      </c>
      <c r="C293" s="6" t="s">
        <v>526</v>
      </c>
      <c r="D293" s="7" t="str">
        <f>PROPER(C293)</f>
        <v>Golfer</v>
      </c>
      <c r="E293" s="4" t="s">
        <v>1158</v>
      </c>
      <c r="F293" s="9" t="str">
        <f>IF(regexMatch(A293,"[A-Za-z]*_y_.*")," Young",(IF(regexMatch(A293,"[A-Za-z]*_o_.*")," Old", "")))</f>
        <v xml:space="preserve"> Young</v>
      </c>
      <c r="G293" s="16" t="str">
        <f>IF(regexMatch(A293,"[A-Za-z]*_f_.*")," Female", (IF(regexMatch(A293,"[A-Za-z]*_m_.*"), " Male", "")))</f>
        <v xml:space="preserve"> Male</v>
      </c>
      <c r="H293" s="16" t="str">
        <f>IF(regexMatch(A293,".*_([0-9]+$)"), CONCATENATE(" ",VALUE(TRIM(CLEAN(RegexFindGroup(A293,".*_([0-9]*)"))))), "")</f>
        <v xml:space="preserve"> 1</v>
      </c>
      <c r="I293" s="16" t="str">
        <f>IF(regexMatch(A293,"cs_.*")," (CS)", (IF(regexMatch(A293,"ig_.*"), " (IG)", "")))</f>
        <v/>
      </c>
      <c r="J293" s="10" t="str">
        <f t="shared" si="9"/>
        <v>Golfer Young Male</v>
      </c>
    </row>
    <row r="294" spans="1:10" x14ac:dyDescent="0.25">
      <c r="A294" s="6" t="s">
        <v>529</v>
      </c>
      <c r="B294" s="6" t="str">
        <f t="shared" si="10"/>
        <v>u_m_m_griff_01</v>
      </c>
      <c r="C294" s="6" t="s">
        <v>530</v>
      </c>
      <c r="D294" s="7" t="str">
        <f>PROPER(C294)</f>
        <v>Griff</v>
      </c>
      <c r="E294" s="4" t="s">
        <v>1159</v>
      </c>
      <c r="F294" s="9" t="str">
        <f>IF(regexMatch(A294,"[A-Za-z]*_y_.*")," Young",(IF(regexMatch(A294,"[A-Za-z]*_o_.*")," Old", "")))</f>
        <v/>
      </c>
      <c r="G294" s="16"/>
      <c r="H294" s="16" t="str">
        <f>IF(regexMatch(A294,".*_([0-9]+$)"), CONCATENATE(" ",VALUE(TRIM(CLEAN(RegexFindGroup(A294,".*_([0-9]*)"))))), "")</f>
        <v xml:space="preserve"> 1</v>
      </c>
      <c r="I294" s="16" t="str">
        <f>IF(regexMatch(A294,"cs_.*")," (CS)", (IF(regexMatch(A294,"ig_.*"), " (IG)", "")))</f>
        <v/>
      </c>
      <c r="J294" s="10" t="str">
        <f t="shared" si="9"/>
        <v>Griff</v>
      </c>
    </row>
    <row r="295" spans="1:10" x14ac:dyDescent="0.25">
      <c r="A295" s="6" t="s">
        <v>531</v>
      </c>
      <c r="B295" s="6" t="str">
        <f t="shared" si="10"/>
        <v>s_m_y_grip_01</v>
      </c>
      <c r="C295" s="6" t="s">
        <v>532</v>
      </c>
      <c r="D295" s="7" t="str">
        <f>PROPER(C295)</f>
        <v>Grip</v>
      </c>
      <c r="E295" s="4" t="s">
        <v>1160</v>
      </c>
      <c r="F295" s="9"/>
      <c r="G295" s="16"/>
      <c r="H295" s="16" t="str">
        <f>IF(regexMatch(A295,".*_([0-9]+$)"), CONCATENATE(" ",VALUE(TRIM(CLEAN(RegexFindGroup(A295,".*_([0-9]*)"))))), "")</f>
        <v xml:space="preserve"> 1</v>
      </c>
      <c r="I295" s="16" t="str">
        <f>IF(regexMatch(A295,"cs_.*")," (CS)", (IF(regexMatch(A295,"ig_.*"), " (IG)", "")))</f>
        <v/>
      </c>
      <c r="J295" s="10" t="str">
        <f t="shared" si="9"/>
        <v>Grip</v>
      </c>
    </row>
    <row r="296" spans="1:10" x14ac:dyDescent="0.25">
      <c r="A296" s="6" t="s">
        <v>533</v>
      </c>
      <c r="B296" s="6" t="str">
        <f t="shared" si="10"/>
        <v>csb_groom</v>
      </c>
      <c r="C296" s="6" t="s">
        <v>534</v>
      </c>
      <c r="D296" s="7" t="str">
        <f>PROPER(C296)</f>
        <v>Groom</v>
      </c>
      <c r="E296" s="4" t="s">
        <v>1161</v>
      </c>
      <c r="F296" s="9" t="str">
        <f>IF(regexMatch(A296,"[A-Za-z]*_y_.*")," Young",(IF(regexMatch(A296,"[A-Za-z]*_o_.*")," Old", "")))</f>
        <v/>
      </c>
      <c r="G296" s="16" t="str">
        <f>IF(regexMatch(A296,"[A-Za-z]*_f_.*")," Female", (IF(regexMatch(A296,"[A-Za-z]*_m_.*"), " Male", "")))</f>
        <v/>
      </c>
      <c r="H296" s="16" t="str">
        <f>IF(regexMatch(A296,".*_([0-9]+$)"), CONCATENATE(" ",VALUE(TRIM(CLEAN(RegexFindGroup(A296,".*_([0-9]*)"))))), "")</f>
        <v/>
      </c>
      <c r="I296" s="16" t="str">
        <f>IF(regexMatch(A296,"cs_.*")," (CS)", (IF(regexMatch(A296,"ig_.*"), " (IG)", "")))</f>
        <v/>
      </c>
      <c r="J296" s="10" t="str">
        <f t="shared" si="9"/>
        <v>Groom</v>
      </c>
    </row>
    <row r="297" spans="1:10" x14ac:dyDescent="0.25">
      <c r="A297" s="6" t="s">
        <v>535</v>
      </c>
      <c r="B297" s="6" t="str">
        <f t="shared" si="10"/>
        <v>ig_groom</v>
      </c>
      <c r="C297" s="6" t="s">
        <v>534</v>
      </c>
      <c r="D297" s="7" t="str">
        <f>PROPER(C297)</f>
        <v>Groom</v>
      </c>
      <c r="E297" s="4" t="s">
        <v>1161</v>
      </c>
      <c r="F297" s="9" t="str">
        <f>IF(regexMatch(A297,"[A-Za-z]*_y_.*")," Young",(IF(regexMatch(A297,"[A-Za-z]*_o_.*")," Old", "")))</f>
        <v/>
      </c>
      <c r="G297" s="16" t="str">
        <f>IF(regexMatch(A297,"[A-Za-z]*_f_.*")," Female", (IF(regexMatch(A297,"[A-Za-z]*_m_.*"), " Male", "")))</f>
        <v/>
      </c>
      <c r="H297" s="16" t="str">
        <f>IF(regexMatch(A297,".*_([0-9]+$)"), CONCATENATE(" ",VALUE(TRIM(CLEAN(RegexFindGroup(A297,".*_([0-9]*)"))))), "")</f>
        <v/>
      </c>
      <c r="I297" s="16" t="str">
        <f>IF(regexMatch(A297,"cs_.*")," (CS)", (IF(regexMatch(A297,"ig_.*"), " (IG)", "")))</f>
        <v xml:space="preserve"> (IG)</v>
      </c>
      <c r="J297" s="10" t="str">
        <f t="shared" si="9"/>
        <v>Groom (IG)</v>
      </c>
    </row>
    <row r="298" spans="1:10" x14ac:dyDescent="0.25">
      <c r="A298" s="6" t="s">
        <v>410</v>
      </c>
      <c r="B298" s="6" t="str">
        <f t="shared" si="10"/>
        <v>csb_grove_str_dlr</v>
      </c>
      <c r="C298" s="6" t="s">
        <v>411</v>
      </c>
      <c r="D298" s="7" t="str">
        <f>PROPER(C298)</f>
        <v>Dlr</v>
      </c>
      <c r="E298" s="4" t="s">
        <v>1453</v>
      </c>
      <c r="F298" s="9" t="str">
        <f>IF(regexMatch(A298,"[A-Za-z]*_y_.*")," Young",(IF(regexMatch(A298,"[A-Za-z]*_o_.*")," Old", "")))</f>
        <v/>
      </c>
      <c r="G298" s="16" t="str">
        <f>IF(regexMatch(A298,"[A-Za-z]*_f_.*")," Female", (IF(regexMatch(A298,"[A-Za-z]*_m_.*"), " Male", "")))</f>
        <v/>
      </c>
      <c r="H298" s="16" t="str">
        <f>IF(regexMatch(A298,".*_([0-9]+$)"), CONCATENATE(" ",VALUE(TRIM(CLEAN(RegexFindGroup(A298,".*_([0-9]*)"))))), "")</f>
        <v/>
      </c>
      <c r="I298" s="16" t="str">
        <f>IF(regexMatch(A298,"cs_.*")," (CS)", (IF(regexMatch(A298,"ig_.*"), " (IG)", "")))</f>
        <v/>
      </c>
      <c r="J298" s="10" t="str">
        <f t="shared" si="9"/>
        <v>Grove Street Dealer</v>
      </c>
    </row>
    <row r="299" spans="1:10" x14ac:dyDescent="0.25">
      <c r="A299" s="6" t="s">
        <v>536</v>
      </c>
      <c r="B299" s="6" t="str">
        <f t="shared" si="10"/>
        <v>cs_guadalope</v>
      </c>
      <c r="C299" s="6" t="s">
        <v>537</v>
      </c>
      <c r="D299" s="7" t="str">
        <f>PROPER(C299)</f>
        <v>Guadalope</v>
      </c>
      <c r="E299" s="4" t="s">
        <v>1162</v>
      </c>
      <c r="F299" s="9" t="str">
        <f>IF(regexMatch(A299,"[A-Za-z]*_y_.*")," Young",(IF(regexMatch(A299,"[A-Za-z]*_o_.*")," Old", "")))</f>
        <v/>
      </c>
      <c r="G299" s="16" t="str">
        <f>IF(regexMatch(A299,"[A-Za-z]*_f_.*")," Female", (IF(regexMatch(A299,"[A-Za-z]*_m_.*"), " Male", "")))</f>
        <v/>
      </c>
      <c r="H299" s="16" t="str">
        <f>IF(regexMatch(A299,".*_([0-9]+$)"), CONCATENATE(" ",VALUE(TRIM(CLEAN(RegexFindGroup(A299,".*_([0-9]*)"))))), "")</f>
        <v/>
      </c>
      <c r="I299" s="16" t="str">
        <f>IF(regexMatch(A299,"cs_.*")," (CS)", (IF(regexMatch(A299,"ig_.*"), " (IG)", "")))</f>
        <v xml:space="preserve"> (CS)</v>
      </c>
      <c r="J299" s="10" t="str">
        <f t="shared" si="9"/>
        <v>Guadalope (CS)</v>
      </c>
    </row>
    <row r="300" spans="1:10" x14ac:dyDescent="0.25">
      <c r="A300" s="6" t="s">
        <v>538</v>
      </c>
      <c r="B300" s="6" t="str">
        <f t="shared" si="10"/>
        <v>u_m_y_guido_01</v>
      </c>
      <c r="C300" s="6" t="s">
        <v>539</v>
      </c>
      <c r="D300" s="7" t="str">
        <f>PROPER(C300)</f>
        <v>Guido</v>
      </c>
      <c r="E300" s="4" t="s">
        <v>1163</v>
      </c>
      <c r="F300" s="9"/>
      <c r="G300" s="16"/>
      <c r="H300" s="16" t="str">
        <f>IF(regexMatch(A300,".*_([0-9]+$)"), CONCATENATE(" ",VALUE(TRIM(CLEAN(RegexFindGroup(A300,".*_([0-9]*)"))))), "")</f>
        <v xml:space="preserve"> 1</v>
      </c>
      <c r="I300" s="16" t="str">
        <f>IF(regexMatch(A300,"cs_.*")," (CS)", (IF(regexMatch(A300,"ig_.*"), " (IG)", "")))</f>
        <v/>
      </c>
      <c r="J300" s="10" t="str">
        <f t="shared" si="9"/>
        <v>Guido</v>
      </c>
    </row>
    <row r="301" spans="1:10" x14ac:dyDescent="0.25">
      <c r="A301" s="6" t="s">
        <v>50</v>
      </c>
      <c r="B301" s="6" t="str">
        <f t="shared" si="10"/>
        <v xml:space="preserve">	u_m_y_gunvend_01</v>
      </c>
      <c r="C301" s="6" t="s">
        <v>49</v>
      </c>
      <c r="D301" s="7" t="str">
        <f>PROPER(C301)</f>
        <v xml:space="preserve">	Gunvend</v>
      </c>
      <c r="E301" s="4" t="s">
        <v>1247</v>
      </c>
      <c r="F301" s="9"/>
      <c r="G301" s="16"/>
      <c r="H301" s="16" t="str">
        <f>IF(regexMatch(A301,".*_([0-9]+$)"), CONCATENATE(" ",VALUE(TRIM(CLEAN(RegexFindGroup(A301,".*_([0-9]*)"))))), "")</f>
        <v xml:space="preserve"> 1</v>
      </c>
      <c r="I301" s="16" t="str">
        <f>IF(regexMatch(A301,"cs_.*")," (CS)", (IF(regexMatch(A301,"ig_.*"), " (IG)", "")))</f>
        <v/>
      </c>
      <c r="J301" s="10" t="str">
        <f t="shared" si="9"/>
        <v>Gun Vendor</v>
      </c>
    </row>
    <row r="302" spans="1:10" x14ac:dyDescent="0.25">
      <c r="A302" s="6" t="s">
        <v>540</v>
      </c>
      <c r="B302" s="6" t="str">
        <f t="shared" si="10"/>
        <v>cs_gurk</v>
      </c>
      <c r="C302" s="6" t="s">
        <v>541</v>
      </c>
      <c r="D302" s="7" t="str">
        <f>PROPER(C302)</f>
        <v>Gurk</v>
      </c>
      <c r="E302" s="4" t="s">
        <v>1460</v>
      </c>
      <c r="F302" s="9" t="str">
        <f>IF(regexMatch(A302,"[A-Za-z]*_y_.*")," Young",(IF(regexMatch(A302,"[A-Za-z]*_o_.*")," Old", "")))</f>
        <v/>
      </c>
      <c r="G302" s="16" t="str">
        <f>IF(regexMatch(A302,"[A-Za-z]*_f_.*")," Female", (IF(regexMatch(A302,"[A-Za-z]*_m_.*"), " Male", "")))</f>
        <v/>
      </c>
      <c r="H302" s="16" t="str">
        <f>IF(regexMatch(A302,".*_([0-9]+$)"), CONCATENATE(" ",VALUE(TRIM(CLEAN(RegexFindGroup(A302,".*_([0-9]*)"))))), "")</f>
        <v/>
      </c>
      <c r="I302" s="16" t="str">
        <f>IF(regexMatch(A302,"cs_.*")," (CS)", (IF(regexMatch(A302,"ig_.*"), " (IG)", "")))</f>
        <v xml:space="preserve"> (CS)</v>
      </c>
      <c r="J302" s="10" t="str">
        <f t="shared" si="9"/>
        <v>GURK? (CS)</v>
      </c>
    </row>
    <row r="303" spans="1:10" x14ac:dyDescent="0.25">
      <c r="A303" s="6" t="s">
        <v>52</v>
      </c>
      <c r="B303" s="6" t="str">
        <f t="shared" si="10"/>
        <v xml:space="preserve">	s_m_m_hairdress_01</v>
      </c>
      <c r="C303" s="6" t="s">
        <v>51</v>
      </c>
      <c r="D303" s="7" t="str">
        <f>PROPER(C303)</f>
        <v xml:space="preserve">	Hairdress</v>
      </c>
      <c r="E303" s="4" t="s">
        <v>1248</v>
      </c>
      <c r="F303" s="9" t="str">
        <f>IF(regexMatch(A303,"[A-Za-z]*_y_.*")," Young",(IF(regexMatch(A303,"[A-Za-z]*_o_.*")," Old", "")))</f>
        <v/>
      </c>
      <c r="G303" s="16" t="str">
        <f>IF(regexMatch(A303,"[A-Za-z]*_f_.*")," Female", (IF(regexMatch(A303,"[A-Za-z]*_m_.*"), " Male", "")))</f>
        <v xml:space="preserve"> Male</v>
      </c>
      <c r="H303" s="16" t="str">
        <f>IF(regexMatch(A303,".*_([0-9]+$)"), CONCATENATE(" ",VALUE(TRIM(CLEAN(RegexFindGroup(A303,".*_([0-9]*)"))))), "")</f>
        <v xml:space="preserve"> 1</v>
      </c>
      <c r="I303" s="16" t="str">
        <f>IF(regexMatch(A303,"cs_.*")," (CS)", (IF(regexMatch(A303,"ig_.*"), " (IG)", "")))</f>
        <v/>
      </c>
      <c r="J303" s="10" t="str">
        <f t="shared" si="9"/>
        <v>Hairdresser Male</v>
      </c>
    </row>
    <row r="304" spans="1:10" x14ac:dyDescent="0.25">
      <c r="A304" s="6" t="s">
        <v>542</v>
      </c>
      <c r="B304" s="6" t="str">
        <f t="shared" si="10"/>
        <v>csb_hao</v>
      </c>
      <c r="C304" s="6" t="s">
        <v>543</v>
      </c>
      <c r="D304" s="7" t="str">
        <f>PROPER(C304)</f>
        <v>Hao</v>
      </c>
      <c r="E304" s="4" t="s">
        <v>1164</v>
      </c>
      <c r="F304" s="9" t="str">
        <f>IF(regexMatch(A304,"[A-Za-z]*_y_.*")," Young",(IF(regexMatch(A304,"[A-Za-z]*_o_.*")," Old", "")))</f>
        <v/>
      </c>
      <c r="G304" s="16" t="str">
        <f>IF(regexMatch(A304,"[A-Za-z]*_f_.*")," Female", (IF(regexMatch(A304,"[A-Za-z]*_m_.*"), " Male", "")))</f>
        <v/>
      </c>
      <c r="H304" s="16" t="str">
        <f>IF(regexMatch(A304,".*_([0-9]+$)"), CONCATENATE(" ",VALUE(TRIM(CLEAN(RegexFindGroup(A304,".*_([0-9]*)"))))), "")</f>
        <v/>
      </c>
      <c r="I304" s="16" t="str">
        <f>IF(regexMatch(A304,"cs_.*")," (CS)", (IF(regexMatch(A304,"ig_.*"), " (IG)", "")))</f>
        <v/>
      </c>
      <c r="J304" s="10" t="str">
        <f t="shared" si="9"/>
        <v>Hao</v>
      </c>
    </row>
    <row r="305" spans="1:10" x14ac:dyDescent="0.25">
      <c r="A305" s="6" t="s">
        <v>544</v>
      </c>
      <c r="B305" s="6" t="str">
        <f t="shared" si="10"/>
        <v>ig_hao</v>
      </c>
      <c r="C305" s="6" t="s">
        <v>543</v>
      </c>
      <c r="D305" s="7" t="str">
        <f>PROPER(C305)</f>
        <v>Hao</v>
      </c>
      <c r="E305" s="4" t="s">
        <v>1164</v>
      </c>
      <c r="F305" s="9" t="str">
        <f>IF(regexMatch(A305,"[A-Za-z]*_y_.*")," Young",(IF(regexMatch(A305,"[A-Za-z]*_o_.*")," Old", "")))</f>
        <v/>
      </c>
      <c r="G305" s="16" t="str">
        <f>IF(regexMatch(A305,"[A-Za-z]*_f_.*")," Female", (IF(regexMatch(A305,"[A-Za-z]*_m_.*"), " Male", "")))</f>
        <v/>
      </c>
      <c r="H305" s="16" t="str">
        <f>IF(regexMatch(A305,".*_([0-9]+$)"), CONCATENATE(" ",VALUE(TRIM(CLEAN(RegexFindGroup(A305,".*_([0-9]*)"))))), "")</f>
        <v/>
      </c>
      <c r="I305" s="16" t="str">
        <f>IF(regexMatch(A305,"cs_.*")," (CS)", (IF(regexMatch(A305,"ig_.*"), " (IG)", "")))</f>
        <v xml:space="preserve"> (IG)</v>
      </c>
      <c r="J305" s="10" t="str">
        <f t="shared" si="9"/>
        <v>Hao (IG)</v>
      </c>
    </row>
    <row r="306" spans="1:10" x14ac:dyDescent="0.25">
      <c r="A306" s="6" t="s">
        <v>545</v>
      </c>
      <c r="B306" s="6" t="str">
        <f t="shared" si="10"/>
        <v>a_m_m_hasjew_01</v>
      </c>
      <c r="C306" s="6" t="s">
        <v>546</v>
      </c>
      <c r="D306" s="7" t="str">
        <f>PROPER(C306)</f>
        <v>Hasjew</v>
      </c>
      <c r="E306" s="4" t="s">
        <v>1249</v>
      </c>
      <c r="F306" s="9" t="str">
        <f>IF(regexMatch(A306,"[A-Za-z]*_y_.*")," Young",(IF(regexMatch(A306,"[A-Za-z]*_o_.*")," Old", "")))</f>
        <v/>
      </c>
      <c r="G306" s="16" t="str">
        <f>IF(regexMatch(A306,"[A-Za-z]*_f_.*")," Female", (IF(regexMatch(A306,"[A-Za-z]*_m_.*"), " Male", "")))</f>
        <v xml:space="preserve"> Male</v>
      </c>
      <c r="H306" s="16" t="str">
        <f>IF(regexMatch(A306,".*_([0-9]+$)"), CONCATENATE(" ",VALUE(TRIM(CLEAN(RegexFindGroup(A306,".*_([0-9]*)"))))), "")</f>
        <v xml:space="preserve"> 1</v>
      </c>
      <c r="I306" s="16" t="str">
        <f>IF(regexMatch(A306,"cs_.*")," (CS)", (IF(regexMatch(A306,"ig_.*"), " (IG)", "")))</f>
        <v/>
      </c>
      <c r="J306" s="10" t="str">
        <f t="shared" si="9"/>
        <v>Hasidic Jew Male</v>
      </c>
    </row>
    <row r="307" spans="1:10" x14ac:dyDescent="0.25">
      <c r="A307" s="6" t="s">
        <v>54</v>
      </c>
      <c r="B307" s="6" t="str">
        <f t="shared" si="10"/>
        <v xml:space="preserve">	a_m_y_hasjew_01</v>
      </c>
      <c r="C307" s="6" t="s">
        <v>53</v>
      </c>
      <c r="D307" s="7" t="str">
        <f>PROPER(C307)</f>
        <v xml:space="preserve">	Hasjew</v>
      </c>
      <c r="E307" s="4" t="s">
        <v>1249</v>
      </c>
      <c r="F307" s="9" t="str">
        <f>IF(regexMatch(A307,"[A-Za-z]*_y_.*")," Young",(IF(regexMatch(A307,"[A-Za-z]*_o_.*")," Old", "")))</f>
        <v xml:space="preserve"> Young</v>
      </c>
      <c r="G307" s="16" t="str">
        <f>IF(regexMatch(A307,"[A-Za-z]*_f_.*")," Female", (IF(regexMatch(A307,"[A-Za-z]*_m_.*"), " Male", "")))</f>
        <v xml:space="preserve"> Male</v>
      </c>
      <c r="H307" s="16" t="str">
        <f>IF(regexMatch(A307,".*_([0-9]+$)"), CONCATENATE(" ",VALUE(TRIM(CLEAN(RegexFindGroup(A307,".*_([0-9]*)"))))), "")</f>
        <v xml:space="preserve"> 1</v>
      </c>
      <c r="I307" s="16" t="str">
        <f>IF(regexMatch(A307,"cs_.*")," (CS)", (IF(regexMatch(A307,"ig_.*"), " (IG)", "")))</f>
        <v/>
      </c>
      <c r="J307" s="10" t="str">
        <f t="shared" si="9"/>
        <v>Hasidic Jew Young Male</v>
      </c>
    </row>
    <row r="308" spans="1:10" x14ac:dyDescent="0.25">
      <c r="A308" s="6" t="s">
        <v>551</v>
      </c>
      <c r="B308" s="6" t="str">
        <f t="shared" si="10"/>
        <v>csb_ramp_hic</v>
      </c>
      <c r="C308" s="6" t="s">
        <v>552</v>
      </c>
      <c r="D308" s="7" t="str">
        <f>PROPER(C308)</f>
        <v>Hic</v>
      </c>
      <c r="E308" s="4" t="s">
        <v>1357</v>
      </c>
      <c r="F308" s="9" t="str">
        <f>IF(regexMatch(A308,"[A-Za-z]*_y_.*")," Young",(IF(regexMatch(A308,"[A-Za-z]*_o_.*")," Old", "")))</f>
        <v/>
      </c>
      <c r="G308" s="16" t="str">
        <f>IF(regexMatch(A308,"[A-Za-z]*_f_.*")," Female", (IF(regexMatch(A308,"[A-Za-z]*_m_.*"), " Male", "")))</f>
        <v/>
      </c>
      <c r="H308" s="16" t="str">
        <f>IF(regexMatch(A308,".*_([0-9]+$)"), CONCATENATE(" ",VALUE(TRIM(CLEAN(RegexFindGroup(A308,".*_([0-9]*)"))))), "")</f>
        <v/>
      </c>
      <c r="I308" s="16" t="str">
        <f>IF(regexMatch(A308,"cs_.*")," (CS)", (IF(regexMatch(A308,"ig_.*"), " (IG)", "")))</f>
        <v/>
      </c>
      <c r="J308" s="10" t="str">
        <f t="shared" si="9"/>
        <v>Hick</v>
      </c>
    </row>
    <row r="309" spans="1:10" x14ac:dyDescent="0.25">
      <c r="A309" s="6" t="s">
        <v>553</v>
      </c>
      <c r="B309" s="6" t="str">
        <f t="shared" si="10"/>
        <v>ig_ramp_hic</v>
      </c>
      <c r="C309" s="6" t="s">
        <v>552</v>
      </c>
      <c r="D309" s="7" t="str">
        <f>PROPER(C309)</f>
        <v>Hic</v>
      </c>
      <c r="E309" s="4" t="s">
        <v>1357</v>
      </c>
      <c r="F309" s="9" t="str">
        <f>IF(regexMatch(A309,"[A-Za-z]*_y_.*")," Young",(IF(regexMatch(A309,"[A-Za-z]*_o_.*")," Old", "")))</f>
        <v/>
      </c>
      <c r="G309" s="16" t="str">
        <f>IF(regexMatch(A309,"[A-Za-z]*_f_.*")," Female", (IF(regexMatch(A309,"[A-Za-z]*_m_.*"), " Male", "")))</f>
        <v/>
      </c>
      <c r="H309" s="16" t="str">
        <f>IF(regexMatch(A309,".*_([0-9]+$)"), CONCATENATE(" ",VALUE(TRIM(CLEAN(RegexFindGroup(A309,".*_([0-9]*)"))))), "")</f>
        <v/>
      </c>
      <c r="I309" s="16" t="str">
        <f>IF(regexMatch(A309,"cs_.*")," (CS)", (IF(regexMatch(A309,"ig_.*"), " (IG)", "")))</f>
        <v xml:space="preserve"> (IG)</v>
      </c>
      <c r="J309" s="10" t="str">
        <f t="shared" si="9"/>
        <v>Hick (IG)</v>
      </c>
    </row>
    <row r="310" spans="1:10" x14ac:dyDescent="0.25">
      <c r="A310" s="6" t="s">
        <v>554</v>
      </c>
      <c r="B310" s="6" t="str">
        <f t="shared" si="10"/>
        <v>s_m_m_highsec_01</v>
      </c>
      <c r="C310" s="6" t="s">
        <v>555</v>
      </c>
      <c r="D310" s="7" t="str">
        <f>PROPER(C310)</f>
        <v>Highsec</v>
      </c>
      <c r="E310" s="4" t="s">
        <v>1298</v>
      </c>
      <c r="F310" s="9"/>
      <c r="G310" s="16"/>
      <c r="H310" s="16" t="str">
        <f>IF(regexMatch(A310,".*_([0-9]+$)"), CONCATENATE(" ",VALUE(TRIM(CLEAN(RegexFindGroup(A310,".*_([0-9]*)"))))), "")</f>
        <v xml:space="preserve"> 1</v>
      </c>
      <c r="I310" s="16" t="str">
        <f>IF(regexMatch(A310,"cs_.*")," (CS)", (IF(regexMatch(A310,"ig_.*"), " (IG)", "")))</f>
        <v/>
      </c>
      <c r="J310" s="10" t="str">
        <f t="shared" si="9"/>
        <v>High Security</v>
      </c>
    </row>
    <row r="311" spans="1:10" x14ac:dyDescent="0.25">
      <c r="A311" s="6" t="s">
        <v>556</v>
      </c>
      <c r="B311" s="6" t="str">
        <f t="shared" si="10"/>
        <v>s_m_m_highsec_02</v>
      </c>
      <c r="C311" s="6" t="s">
        <v>555</v>
      </c>
      <c r="D311" s="7" t="str">
        <f>PROPER(C311)</f>
        <v>Highsec</v>
      </c>
      <c r="E311" s="4" t="s">
        <v>1298</v>
      </c>
      <c r="F311" s="9"/>
      <c r="G311" s="16"/>
      <c r="H311" s="16" t="str">
        <f>IF(regexMatch(A311,".*_([0-9]+$)"), CONCATENATE(" ",VALUE(TRIM(CLEAN(RegexFindGroup(A311,".*_([0-9]*)"))))), "")</f>
        <v xml:space="preserve"> 2</v>
      </c>
      <c r="I311" s="16" t="str">
        <f>IF(regexMatch(A311,"cs_.*")," (CS)", (IF(regexMatch(A311,"ig_.*"), " (IG)", "")))</f>
        <v/>
      </c>
      <c r="J311" s="10" t="str">
        <f t="shared" si="9"/>
        <v>High Security 2</v>
      </c>
    </row>
    <row r="312" spans="1:10" x14ac:dyDescent="0.25">
      <c r="A312" s="6" t="s">
        <v>587</v>
      </c>
      <c r="B312" s="6" t="str">
        <f t="shared" si="10"/>
        <v>s_m_y_hwaycop_01</v>
      </c>
      <c r="C312" s="6" t="s">
        <v>588</v>
      </c>
      <c r="D312" s="7" t="str">
        <f>PROPER(C312)</f>
        <v>Hwaycop</v>
      </c>
      <c r="E312" s="4" t="s">
        <v>1296</v>
      </c>
      <c r="F312" s="9"/>
      <c r="G312" s="16"/>
      <c r="H312" s="16" t="str">
        <f>IF(regexMatch(A312,".*_([0-9]+$)"), CONCATENATE(" ",VALUE(TRIM(CLEAN(RegexFindGroup(A312,".*_([0-9]*)"))))), "")</f>
        <v xml:space="preserve"> 1</v>
      </c>
      <c r="I312" s="16" t="str">
        <f>IF(regexMatch(A312,"cs_.*")," (CS)", (IF(regexMatch(A312,"ig_.*"), " (IG)", "")))</f>
        <v/>
      </c>
      <c r="J312" s="10" t="str">
        <f t="shared" si="9"/>
        <v>Highway Cop</v>
      </c>
    </row>
    <row r="313" spans="1:10" x14ac:dyDescent="0.25">
      <c r="A313" s="6" t="s">
        <v>557</v>
      </c>
      <c r="B313" s="6" t="str">
        <f t="shared" si="10"/>
        <v>a_f_y_hiker_01</v>
      </c>
      <c r="C313" s="6" t="s">
        <v>558</v>
      </c>
      <c r="D313" s="7" t="str">
        <f>PROPER(C313)</f>
        <v>Hiker</v>
      </c>
      <c r="E313" s="4" t="s">
        <v>1165</v>
      </c>
      <c r="F313" s="9"/>
      <c r="G313" s="16" t="str">
        <f>IF(regexMatch(A313,"[A-Za-z]*_f_.*")," Female", (IF(regexMatch(A313,"[A-Za-z]*_m_.*"), " Male", "")))</f>
        <v xml:space="preserve"> Female</v>
      </c>
      <c r="H313" s="16" t="str">
        <f>IF(regexMatch(A313,".*_([0-9]+$)"), CONCATENATE(" ",VALUE(TRIM(CLEAN(RegexFindGroup(A313,".*_([0-9]*)"))))), "")</f>
        <v xml:space="preserve"> 1</v>
      </c>
      <c r="I313" s="16" t="str">
        <f>IF(regexMatch(A313,"cs_.*")," (CS)", (IF(regexMatch(A313,"ig_.*"), " (IG)", "")))</f>
        <v/>
      </c>
      <c r="J313" s="10" t="str">
        <f t="shared" si="9"/>
        <v>Hiker Female</v>
      </c>
    </row>
    <row r="314" spans="1:10" x14ac:dyDescent="0.25">
      <c r="A314" s="6" t="s">
        <v>559</v>
      </c>
      <c r="B314" s="6" t="str">
        <f t="shared" si="10"/>
        <v>a_m_y_hiker_01</v>
      </c>
      <c r="C314" s="6" t="s">
        <v>558</v>
      </c>
      <c r="D314" s="7" t="str">
        <f>PROPER(C314)</f>
        <v>Hiker</v>
      </c>
      <c r="E314" s="4" t="s">
        <v>1165</v>
      </c>
      <c r="F314" s="9"/>
      <c r="G314" s="16" t="str">
        <f>IF(regexMatch(A314,"[A-Za-z]*_f_.*")," Female", (IF(regexMatch(A314,"[A-Za-z]*_m_.*"), " Male", "")))</f>
        <v xml:space="preserve"> Male</v>
      </c>
      <c r="H314" s="16" t="str">
        <f>IF(regexMatch(A314,".*_([0-9]+$)"), CONCATENATE(" ",VALUE(TRIM(CLEAN(RegexFindGroup(A314,".*_([0-9]*)"))))), "")</f>
        <v xml:space="preserve"> 1</v>
      </c>
      <c r="I314" s="16" t="str">
        <f>IF(regexMatch(A314,"cs_.*")," (CS)", (IF(regexMatch(A314,"ig_.*"), " (IG)", "")))</f>
        <v/>
      </c>
      <c r="J314" s="10" t="str">
        <f t="shared" si="9"/>
        <v>Hiker Male</v>
      </c>
    </row>
    <row r="315" spans="1:10" x14ac:dyDescent="0.25">
      <c r="A315" s="6" t="s">
        <v>560</v>
      </c>
      <c r="B315" s="6" t="str">
        <f t="shared" si="10"/>
        <v>a_m_m_hillbilly_01</v>
      </c>
      <c r="C315" s="6" t="s">
        <v>561</v>
      </c>
      <c r="D315" s="7" t="str">
        <f>PROPER(C315)</f>
        <v>Hillbilly</v>
      </c>
      <c r="E315" s="4" t="s">
        <v>1166</v>
      </c>
      <c r="F315" s="9" t="str">
        <f>IF(regexMatch(A315,"[A-Za-z]*_y_.*")," Young",(IF(regexMatch(A315,"[A-Za-z]*_o_.*")," Old", "")))</f>
        <v/>
      </c>
      <c r="G315" s="16" t="str">
        <f>IF(regexMatch(A315,"[A-Za-z]*_f_.*")," Female", (IF(regexMatch(A315,"[A-Za-z]*_m_.*"), " Male", "")))</f>
        <v xml:space="preserve"> Male</v>
      </c>
      <c r="H315" s="16" t="str">
        <f>IF(regexMatch(A315,".*_([0-9]+$)"), CONCATENATE(" ",VALUE(TRIM(CLEAN(RegexFindGroup(A315,".*_([0-9]*)"))))), "")</f>
        <v xml:space="preserve"> 1</v>
      </c>
      <c r="I315" s="16" t="str">
        <f>IF(regexMatch(A315,"cs_.*")," (CS)", (IF(regexMatch(A315,"ig_.*"), " (IG)", "")))</f>
        <v/>
      </c>
      <c r="J315" s="10" t="str">
        <f t="shared" si="9"/>
        <v>Hillbilly Male</v>
      </c>
    </row>
    <row r="316" spans="1:10" x14ac:dyDescent="0.25">
      <c r="A316" s="6" t="s">
        <v>562</v>
      </c>
      <c r="B316" s="6" t="str">
        <f t="shared" si="10"/>
        <v>a_m_m_hillbilly_02</v>
      </c>
      <c r="C316" s="6" t="s">
        <v>561</v>
      </c>
      <c r="D316" s="7" t="str">
        <f>PROPER(C316)</f>
        <v>Hillbilly</v>
      </c>
      <c r="E316" s="4" t="s">
        <v>1166</v>
      </c>
      <c r="F316" s="9" t="str">
        <f>IF(regexMatch(A316,"[A-Za-z]*_y_.*")," Young",(IF(regexMatch(A316,"[A-Za-z]*_o_.*")," Old", "")))</f>
        <v/>
      </c>
      <c r="G316" s="16" t="str">
        <f>IF(regexMatch(A316,"[A-Za-z]*_f_.*")," Female", (IF(regexMatch(A316,"[A-Za-z]*_m_.*"), " Male", "")))</f>
        <v xml:space="preserve"> Male</v>
      </c>
      <c r="H316" s="16" t="str">
        <f>IF(regexMatch(A316,".*_([0-9]+$)"), CONCATENATE(" ",VALUE(TRIM(CLEAN(RegexFindGroup(A316,".*_([0-9]*)"))))), "")</f>
        <v xml:space="preserve"> 2</v>
      </c>
      <c r="I316" s="16" t="str">
        <f>IF(regexMatch(A316,"cs_.*")," (CS)", (IF(regexMatch(A316,"ig_.*"), " (IG)", "")))</f>
        <v/>
      </c>
      <c r="J316" s="10" t="str">
        <f t="shared" si="9"/>
        <v>Hillbilly Male 2</v>
      </c>
    </row>
    <row r="317" spans="1:10" x14ac:dyDescent="0.25">
      <c r="A317" s="6" t="s">
        <v>563</v>
      </c>
      <c r="B317" s="6" t="str">
        <f t="shared" si="10"/>
        <v>a_f_y_hippie_01</v>
      </c>
      <c r="C317" s="6" t="s">
        <v>564</v>
      </c>
      <c r="D317" s="7" t="str">
        <f>PROPER(C317)</f>
        <v>Hippie</v>
      </c>
      <c r="E317" s="4" t="s">
        <v>1167</v>
      </c>
      <c r="F317" s="9"/>
      <c r="G317" s="16" t="str">
        <f>IF(regexMatch(A317,"[A-Za-z]*_f_.*")," Female", (IF(regexMatch(A317,"[A-Za-z]*_m_.*"), " Male", "")))</f>
        <v xml:space="preserve"> Female</v>
      </c>
      <c r="H317" s="16" t="str">
        <f>IF(regexMatch(A317,".*_([0-9]+$)"), CONCATENATE(" ",VALUE(TRIM(CLEAN(RegexFindGroup(A317,".*_([0-9]*)"))))), "")</f>
        <v xml:space="preserve"> 1</v>
      </c>
      <c r="I317" s="16" t="str">
        <f>IF(regexMatch(A317,"cs_.*")," (CS)", (IF(regexMatch(A317,"ig_.*"), " (IG)", "")))</f>
        <v/>
      </c>
      <c r="J317" s="10" t="str">
        <f t="shared" si="9"/>
        <v>Hippie Female</v>
      </c>
    </row>
    <row r="318" spans="1:10" x14ac:dyDescent="0.25">
      <c r="A318" s="6" t="s">
        <v>565</v>
      </c>
      <c r="B318" s="6" t="str">
        <f t="shared" si="10"/>
        <v>u_m_y_hippie_01</v>
      </c>
      <c r="C318" s="6" t="s">
        <v>564</v>
      </c>
      <c r="D318" s="7" t="str">
        <f>PROPER(C318)</f>
        <v>Hippie</v>
      </c>
      <c r="E318" s="4" t="s">
        <v>1167</v>
      </c>
      <c r="F318" s="9"/>
      <c r="G318" s="16" t="str">
        <f>IF(regexMatch(A318,"[A-Za-z]*_f_.*")," Female", (IF(regexMatch(A318,"[A-Za-z]*_m_.*"), " Male", "")))</f>
        <v xml:space="preserve"> Male</v>
      </c>
      <c r="H318" s="16" t="str">
        <f>IF(regexMatch(A318,".*_([0-9]+$)"), CONCATENATE(" ",VALUE(TRIM(CLEAN(RegexFindGroup(A318,".*_([0-9]*)"))))), "")</f>
        <v xml:space="preserve"> 1</v>
      </c>
      <c r="I318" s="16" t="str">
        <f>IF(regexMatch(A318,"cs_.*")," (CS)", (IF(regexMatch(A318,"ig_.*"), " (IG)", "")))</f>
        <v/>
      </c>
      <c r="J318" s="10" t="str">
        <f t="shared" si="9"/>
        <v>Hippie Male</v>
      </c>
    </row>
    <row r="319" spans="1:10" x14ac:dyDescent="0.25">
      <c r="A319" s="6" t="s">
        <v>566</v>
      </c>
      <c r="B319" s="6" t="str">
        <f t="shared" si="10"/>
        <v>a_m_y_hippy_01</v>
      </c>
      <c r="C319" s="6" t="s">
        <v>567</v>
      </c>
      <c r="D319" s="7" t="str">
        <f>PROPER(C319)</f>
        <v>Hippy</v>
      </c>
      <c r="E319" s="4" t="s">
        <v>1167</v>
      </c>
      <c r="F319" s="9"/>
      <c r="G319" s="16" t="str">
        <f>IF(regexMatch(A319,"[A-Za-z]*_f_.*")," Female", (IF(regexMatch(A319,"[A-Za-z]*_m_.*"), " Male", "")))</f>
        <v xml:space="preserve"> Male</v>
      </c>
      <c r="H319" s="16" t="str">
        <f>IF(regexMatch(A319,".*_([0-9]+$)"), CONCATENATE(" ",VALUE(TRIM(CLEAN(RegexFindGroup(A319,".*_([0-9]*)"))))), "")</f>
        <v xml:space="preserve"> 1</v>
      </c>
      <c r="I319" s="16" t="str">
        <f>IF(regexMatch(A319,"cs_.*")," (CS)", (IF(regexMatch(A319,"ig_.*"), " (IG)", "")))</f>
        <v/>
      </c>
      <c r="J319" s="10" t="str">
        <f t="shared" si="9"/>
        <v>Hippie Male</v>
      </c>
    </row>
    <row r="320" spans="1:10" x14ac:dyDescent="0.25">
      <c r="A320" s="6" t="s">
        <v>575</v>
      </c>
      <c r="B320" s="6" t="str">
        <f t="shared" si="10"/>
        <v>csb_ramp_hipster</v>
      </c>
      <c r="C320" s="6" t="s">
        <v>569</v>
      </c>
      <c r="D320" s="7" t="str">
        <f>PROPER(C320)</f>
        <v>Hipster</v>
      </c>
      <c r="E320" s="4" t="s">
        <v>1168</v>
      </c>
      <c r="F320" s="9" t="str">
        <f>IF(regexMatch(A320,"[A-Za-z]*_y_.*")," Young",(IF(regexMatch(A320,"[A-Za-z]*_o_.*")," Old", "")))</f>
        <v/>
      </c>
      <c r="G320" s="16" t="str">
        <f>IF(regexMatch(A320,"[A-Za-z]*_f_.*")," Female", (IF(regexMatch(A320,"[A-Za-z]*_m_.*"), " Male", "")))</f>
        <v/>
      </c>
      <c r="H320" s="16" t="str">
        <f>IF(regexMatch(A320,".*_([0-9]+$)"), CONCATENATE(" ",VALUE(TRIM(CLEAN(RegexFindGroup(A320,".*_([0-9]*)"))))), "")</f>
        <v/>
      </c>
      <c r="I320" s="16" t="str">
        <f>IF(regexMatch(A320,"cs_.*")," (CS)", (IF(regexMatch(A320,"ig_.*"), " (IG)", "")))</f>
        <v/>
      </c>
      <c r="J320" s="10" t="str">
        <f t="shared" si="9"/>
        <v>Hipster</v>
      </c>
    </row>
    <row r="321" spans="1:10" x14ac:dyDescent="0.25">
      <c r="A321" s="6" t="s">
        <v>576</v>
      </c>
      <c r="B321" s="6" t="str">
        <f t="shared" si="10"/>
        <v>ig_ramp_hipster</v>
      </c>
      <c r="C321" s="6" t="s">
        <v>569</v>
      </c>
      <c r="D321" s="7" t="str">
        <f>PROPER(C321)</f>
        <v>Hipster</v>
      </c>
      <c r="E321" s="4" t="s">
        <v>1168</v>
      </c>
      <c r="F321" s="9" t="str">
        <f>IF(regexMatch(A321,"[A-Za-z]*_y_.*")," Young",(IF(regexMatch(A321,"[A-Za-z]*_o_.*")," Old", "")))</f>
        <v/>
      </c>
      <c r="G321" s="16" t="str">
        <f>IF(regexMatch(A321,"[A-Za-z]*_f_.*")," Female", (IF(regexMatch(A321,"[A-Za-z]*_m_.*"), " Male", "")))</f>
        <v/>
      </c>
      <c r="H321" s="16" t="str">
        <f>IF(regexMatch(A321,".*_([0-9]+$)"), CONCATENATE(" ",VALUE(TRIM(CLEAN(RegexFindGroup(A321,".*_([0-9]*)"))))), "")</f>
        <v/>
      </c>
      <c r="I321" s="16" t="str">
        <f>IF(regexMatch(A321,"cs_.*")," (CS)", (IF(regexMatch(A321,"ig_.*"), " (IG)", "")))</f>
        <v xml:space="preserve"> (IG)</v>
      </c>
      <c r="J321" s="10" t="str">
        <f t="shared" si="9"/>
        <v>Hipster (IG)</v>
      </c>
    </row>
    <row r="322" spans="1:10" x14ac:dyDescent="0.25">
      <c r="A322" s="6" t="s">
        <v>568</v>
      </c>
      <c r="B322" s="6" t="str">
        <f t="shared" si="10"/>
        <v>a_f_y_hipster_01</v>
      </c>
      <c r="C322" s="6" t="s">
        <v>569</v>
      </c>
      <c r="D322" s="7" t="str">
        <f>PROPER(C322)</f>
        <v>Hipster</v>
      </c>
      <c r="E322" s="4" t="s">
        <v>1168</v>
      </c>
      <c r="F322" s="9"/>
      <c r="G322" s="16" t="str">
        <f>IF(regexMatch(A322,"[A-Za-z]*_f_.*")," Female", (IF(regexMatch(A322,"[A-Za-z]*_m_.*"), " Male", "")))</f>
        <v xml:space="preserve"> Female</v>
      </c>
      <c r="H322" s="16" t="str">
        <f>IF(regexMatch(A322,".*_([0-9]+$)"), CONCATENATE(" ",VALUE(TRIM(CLEAN(RegexFindGroup(A322,".*_([0-9]*)"))))), "")</f>
        <v xml:space="preserve"> 1</v>
      </c>
      <c r="I322" s="16" t="str">
        <f>IF(regexMatch(A322,"cs_.*")," (CS)", (IF(regexMatch(A322,"ig_.*"), " (IG)", "")))</f>
        <v/>
      </c>
      <c r="J322" s="10" t="str">
        <f t="shared" si="9"/>
        <v>Hipster Female</v>
      </c>
    </row>
    <row r="323" spans="1:10" x14ac:dyDescent="0.25">
      <c r="A323" s="6" t="s">
        <v>570</v>
      </c>
      <c r="B323" s="6" t="str">
        <f t="shared" si="10"/>
        <v>a_f_y_hipster_02</v>
      </c>
      <c r="C323" s="6" t="s">
        <v>569</v>
      </c>
      <c r="D323" s="7" t="str">
        <f>PROPER(C323)</f>
        <v>Hipster</v>
      </c>
      <c r="E323" s="4" t="s">
        <v>1168</v>
      </c>
      <c r="F323" s="9"/>
      <c r="G323" s="16" t="str">
        <f>IF(regexMatch(A323,"[A-Za-z]*_f_.*")," Female", (IF(regexMatch(A323,"[A-Za-z]*_m_.*"), " Male", "")))</f>
        <v xml:space="preserve"> Female</v>
      </c>
      <c r="H323" s="16" t="str">
        <f>IF(regexMatch(A323,".*_([0-9]+$)"), CONCATENATE(" ",VALUE(TRIM(CLEAN(RegexFindGroup(A323,".*_([0-9]*)"))))), "")</f>
        <v xml:space="preserve"> 2</v>
      </c>
      <c r="I323" s="16" t="str">
        <f>IF(regexMatch(A323,"cs_.*")," (CS)", (IF(regexMatch(A323,"ig_.*"), " (IG)", "")))</f>
        <v/>
      </c>
      <c r="J323" s="10" t="str">
        <f t="shared" ref="J323:J386" si="11">TRIM(CONCATENATE(E323,F323,G323,IF(H323=" 1","",H323),I323))</f>
        <v>Hipster Female 2</v>
      </c>
    </row>
    <row r="324" spans="1:10" x14ac:dyDescent="0.25">
      <c r="A324" s="6" t="s">
        <v>571</v>
      </c>
      <c r="B324" s="6" t="str">
        <f t="shared" ref="B324:B387" si="12">TRIM(A324)</f>
        <v>a_f_y_hipster_03</v>
      </c>
      <c r="C324" s="6" t="s">
        <v>569</v>
      </c>
      <c r="D324" s="7" t="str">
        <f>PROPER(C324)</f>
        <v>Hipster</v>
      </c>
      <c r="E324" s="4" t="s">
        <v>1168</v>
      </c>
      <c r="F324" s="9"/>
      <c r="G324" s="16" t="str">
        <f>IF(regexMatch(A324,"[A-Za-z]*_f_.*")," Female", (IF(regexMatch(A324,"[A-Za-z]*_m_.*"), " Male", "")))</f>
        <v xml:space="preserve"> Female</v>
      </c>
      <c r="H324" s="16" t="str">
        <f>IF(regexMatch(A324,".*_([0-9]+$)"), CONCATENATE(" ",VALUE(TRIM(CLEAN(RegexFindGroup(A324,".*_([0-9]*)"))))), "")</f>
        <v xml:space="preserve"> 3</v>
      </c>
      <c r="I324" s="16" t="str">
        <f>IF(regexMatch(A324,"cs_.*")," (CS)", (IF(regexMatch(A324,"ig_.*"), " (IG)", "")))</f>
        <v/>
      </c>
      <c r="J324" s="10" t="str">
        <f t="shared" si="11"/>
        <v>Hipster Female 3</v>
      </c>
    </row>
    <row r="325" spans="1:10" x14ac:dyDescent="0.25">
      <c r="A325" s="6" t="s">
        <v>58</v>
      </c>
      <c r="B325" s="6" t="str">
        <f t="shared" si="12"/>
        <v xml:space="preserve">	a_f_y_hipster_04</v>
      </c>
      <c r="C325" s="6" t="s">
        <v>57</v>
      </c>
      <c r="D325" s="7" t="str">
        <f>PROPER(C325)</f>
        <v xml:space="preserve">	Hipster</v>
      </c>
      <c r="E325" s="4" t="s">
        <v>1168</v>
      </c>
      <c r="F325" s="9"/>
      <c r="G325" s="16" t="str">
        <f>IF(regexMatch(A325,"[A-Za-z]*_f_.*")," Female", (IF(regexMatch(A325,"[A-Za-z]*_m_.*"), " Male", "")))</f>
        <v xml:space="preserve"> Female</v>
      </c>
      <c r="H325" s="16" t="str">
        <f>IF(regexMatch(A325,".*_([0-9]+$)"), CONCATENATE(" ",VALUE(TRIM(CLEAN(RegexFindGroup(A325,".*_([0-9]*)"))))), "")</f>
        <v xml:space="preserve"> 4</v>
      </c>
      <c r="I325" s="16" t="str">
        <f>IF(regexMatch(A325,"cs_.*")," (CS)", (IF(regexMatch(A325,"ig_.*"), " (IG)", "")))</f>
        <v/>
      </c>
      <c r="J325" s="10" t="str">
        <f t="shared" si="11"/>
        <v>Hipster Female 4</v>
      </c>
    </row>
    <row r="326" spans="1:10" x14ac:dyDescent="0.25">
      <c r="A326" s="6" t="s">
        <v>572</v>
      </c>
      <c r="B326" s="6" t="str">
        <f t="shared" si="12"/>
        <v>a_m_y_hipster_01</v>
      </c>
      <c r="C326" s="6" t="s">
        <v>569</v>
      </c>
      <c r="D326" s="7" t="str">
        <f>PROPER(C326)</f>
        <v>Hipster</v>
      </c>
      <c r="E326" s="4" t="s">
        <v>1168</v>
      </c>
      <c r="F326" s="9"/>
      <c r="G326" s="16" t="str">
        <f>IF(regexMatch(A326,"[A-Za-z]*_f_.*")," Female", (IF(regexMatch(A326,"[A-Za-z]*_m_.*"), " Male", "")))</f>
        <v xml:space="preserve"> Male</v>
      </c>
      <c r="H326" s="16" t="str">
        <f>IF(regexMatch(A326,".*_([0-9]+$)"), CONCATENATE(" ",VALUE(TRIM(CLEAN(RegexFindGroup(A326,".*_([0-9]*)"))))), "")</f>
        <v xml:space="preserve"> 1</v>
      </c>
      <c r="I326" s="16" t="str">
        <f>IF(regexMatch(A326,"cs_.*")," (CS)", (IF(regexMatch(A326,"ig_.*"), " (IG)", "")))</f>
        <v/>
      </c>
      <c r="J326" s="10" t="str">
        <f t="shared" si="11"/>
        <v>Hipster Male</v>
      </c>
    </row>
    <row r="327" spans="1:10" x14ac:dyDescent="0.25">
      <c r="A327" s="6" t="s">
        <v>573</v>
      </c>
      <c r="B327" s="6" t="str">
        <f t="shared" si="12"/>
        <v>a_m_y_hipster_02</v>
      </c>
      <c r="C327" s="6" t="s">
        <v>569</v>
      </c>
      <c r="D327" s="7" t="str">
        <f>PROPER(C327)</f>
        <v>Hipster</v>
      </c>
      <c r="E327" s="4" t="s">
        <v>1168</v>
      </c>
      <c r="F327" s="9"/>
      <c r="G327" s="16" t="str">
        <f>IF(regexMatch(A327,"[A-Za-z]*_f_.*")," Female", (IF(regexMatch(A327,"[A-Za-z]*_m_.*"), " Male", "")))</f>
        <v xml:space="preserve"> Male</v>
      </c>
      <c r="H327" s="16" t="str">
        <f>IF(regexMatch(A327,".*_([0-9]+$)"), CONCATENATE(" ",VALUE(TRIM(CLEAN(RegexFindGroup(A327,".*_([0-9]*)"))))), "")</f>
        <v xml:space="preserve"> 2</v>
      </c>
      <c r="I327" s="16" t="str">
        <f>IF(regexMatch(A327,"cs_.*")," (CS)", (IF(regexMatch(A327,"ig_.*"), " (IG)", "")))</f>
        <v/>
      </c>
      <c r="J327" s="10" t="str">
        <f t="shared" si="11"/>
        <v>Hipster Male 2</v>
      </c>
    </row>
    <row r="328" spans="1:10" x14ac:dyDescent="0.25">
      <c r="A328" s="6" t="s">
        <v>574</v>
      </c>
      <c r="B328" s="6" t="str">
        <f t="shared" si="12"/>
        <v>a_m_y_hipster_03</v>
      </c>
      <c r="C328" s="6" t="s">
        <v>569</v>
      </c>
      <c r="D328" s="7" t="str">
        <f>PROPER(C328)</f>
        <v>Hipster</v>
      </c>
      <c r="E328" s="4" t="s">
        <v>1168</v>
      </c>
      <c r="F328" s="9"/>
      <c r="G328" s="16" t="str">
        <f>IF(regexMatch(A328,"[A-Za-z]*_f_.*")," Female", (IF(regexMatch(A328,"[A-Za-z]*_m_.*"), " Male", "")))</f>
        <v xml:space="preserve"> Male</v>
      </c>
      <c r="H328" s="16" t="str">
        <f>IF(regexMatch(A328,".*_([0-9]+$)"), CONCATENATE(" ",VALUE(TRIM(CLEAN(RegexFindGroup(A328,".*_([0-9]*)"))))), "")</f>
        <v xml:space="preserve"> 3</v>
      </c>
      <c r="I328" s="16" t="str">
        <f>IF(regexMatch(A328,"cs_.*")," (CS)", (IF(regexMatch(A328,"ig_.*"), " (IG)", "")))</f>
        <v/>
      </c>
      <c r="J328" s="10" t="str">
        <f t="shared" si="11"/>
        <v>Hipster Male 3</v>
      </c>
    </row>
    <row r="329" spans="1:10" x14ac:dyDescent="0.25">
      <c r="A329" s="6" t="s">
        <v>60</v>
      </c>
      <c r="B329" s="6" t="str">
        <f t="shared" si="12"/>
        <v xml:space="preserve">	s_f_y_hooker_01</v>
      </c>
      <c r="C329" s="6" t="s">
        <v>59</v>
      </c>
      <c r="D329" s="7" t="str">
        <f>PROPER(C329)</f>
        <v xml:space="preserve">	Hooker</v>
      </c>
      <c r="E329" s="4" t="s">
        <v>1169</v>
      </c>
      <c r="F329" s="9"/>
      <c r="G329" s="16"/>
      <c r="H329" s="16" t="str">
        <f>IF(regexMatch(A329,".*_([0-9]+$)"), CONCATENATE(" ",VALUE(TRIM(CLEAN(RegexFindGroup(A329,".*_([0-9]*)"))))), "")</f>
        <v xml:space="preserve"> 1</v>
      </c>
      <c r="I329" s="16" t="str">
        <f>IF(regexMatch(A329,"cs_.*")," (CS)", (IF(regexMatch(A329,"ig_.*"), " (IG)", "")))</f>
        <v/>
      </c>
      <c r="J329" s="10" t="str">
        <f t="shared" si="11"/>
        <v>Hooker</v>
      </c>
    </row>
    <row r="330" spans="1:10" x14ac:dyDescent="0.25">
      <c r="A330" s="6" t="s">
        <v>577</v>
      </c>
      <c r="B330" s="6" t="str">
        <f t="shared" si="12"/>
        <v>s_f_y_hooker_02</v>
      </c>
      <c r="C330" s="6" t="s">
        <v>578</v>
      </c>
      <c r="D330" s="7" t="str">
        <f>PROPER(C330)</f>
        <v>Hooker</v>
      </c>
      <c r="E330" s="4" t="s">
        <v>1169</v>
      </c>
      <c r="F330" s="9"/>
      <c r="G330" s="16"/>
      <c r="H330" s="16" t="str">
        <f>IF(regexMatch(A330,".*_([0-9]+$)"), CONCATENATE(" ",VALUE(TRIM(CLEAN(RegexFindGroup(A330,".*_([0-9]*)"))))), "")</f>
        <v xml:space="preserve"> 2</v>
      </c>
      <c r="I330" s="16" t="str">
        <f>IF(regexMatch(A330,"cs_.*")," (CS)", (IF(regexMatch(A330,"ig_.*"), " (IG)", "")))</f>
        <v/>
      </c>
      <c r="J330" s="10" t="str">
        <f t="shared" si="11"/>
        <v>Hooker 2</v>
      </c>
    </row>
    <row r="331" spans="1:10" x14ac:dyDescent="0.25">
      <c r="A331" s="6" t="s">
        <v>579</v>
      </c>
      <c r="B331" s="6" t="str">
        <f t="shared" si="12"/>
        <v>s_f_y_hooker_03</v>
      </c>
      <c r="C331" s="6" t="s">
        <v>578</v>
      </c>
      <c r="D331" s="7" t="str">
        <f>PROPER(C331)</f>
        <v>Hooker</v>
      </c>
      <c r="E331" s="4" t="s">
        <v>1169</v>
      </c>
      <c r="F331" s="9"/>
      <c r="G331" s="16"/>
      <c r="H331" s="16" t="str">
        <f>IF(regexMatch(A331,".*_([0-9]+$)"), CONCATENATE(" ",VALUE(TRIM(CLEAN(RegexFindGroup(A331,".*_([0-9]*)"))))), "")</f>
        <v xml:space="preserve"> 3</v>
      </c>
      <c r="I331" s="16" t="str">
        <f>IF(regexMatch(A331,"cs_.*")," (CS)", (IF(regexMatch(A331,"ig_.*"), " (IG)", "")))</f>
        <v/>
      </c>
      <c r="J331" s="10" t="str">
        <f t="shared" si="11"/>
        <v>Hooker 3</v>
      </c>
    </row>
    <row r="332" spans="1:10" x14ac:dyDescent="0.25">
      <c r="A332" s="6" t="s">
        <v>911</v>
      </c>
      <c r="B332" s="6" t="str">
        <f t="shared" si="12"/>
        <v>s_f_y_scrubs_01</v>
      </c>
      <c r="C332" s="6" t="s">
        <v>912</v>
      </c>
      <c r="D332" s="7" t="str">
        <f>PROPER(C332)</f>
        <v>Scrubs</v>
      </c>
      <c r="E332" s="4" t="s">
        <v>1406</v>
      </c>
      <c r="F332" s="9"/>
      <c r="G332" s="16" t="str">
        <f>IF(regexMatch(A332,"[A-Za-z]*_f_.*")," Female", (IF(regexMatch(A332,"[A-Za-z]*_m_.*"), " Male", "")))</f>
        <v xml:space="preserve"> Female</v>
      </c>
      <c r="H332" s="16" t="str">
        <f>IF(regexMatch(A332,".*_([0-9]+$)"), CONCATENATE(" ",VALUE(TRIM(CLEAN(RegexFindGroup(A332,".*_([0-9]*)"))))), "")</f>
        <v xml:space="preserve"> 1</v>
      </c>
      <c r="I332" s="16" t="str">
        <f>IF(regexMatch(A332,"cs_.*")," (CS)", (IF(regexMatch(A332,"ig_.*"), " (IG)", "")))</f>
        <v/>
      </c>
      <c r="J332" s="10" t="str">
        <f t="shared" si="11"/>
        <v>Hospital Scrubs Female</v>
      </c>
    </row>
    <row r="333" spans="1:10" x14ac:dyDescent="0.25">
      <c r="A333" s="6" t="s">
        <v>580</v>
      </c>
      <c r="B333" s="6" t="str">
        <f t="shared" si="12"/>
        <v>u_f_y_hotposh_01</v>
      </c>
      <c r="C333" s="6" t="s">
        <v>581</v>
      </c>
      <c r="D333" s="7" t="str">
        <f>PROPER(C333)</f>
        <v>Hotposh</v>
      </c>
      <c r="E333" s="4" t="s">
        <v>1297</v>
      </c>
      <c r="F333" s="9"/>
      <c r="G333" s="16" t="str">
        <f>IF(regexMatch(A333,"[A-Za-z]*_f_.*")," Female", (IF(regexMatch(A333,"[A-Za-z]*_m_.*"), " Male", "")))</f>
        <v xml:space="preserve"> Female</v>
      </c>
      <c r="H333" s="16" t="str">
        <f>IF(regexMatch(A333,".*_([0-9]+$)"), CONCATENATE(" ",VALUE(TRIM(CLEAN(RegexFindGroup(A333,".*_([0-9]*)"))))), "")</f>
        <v xml:space="preserve"> 1</v>
      </c>
      <c r="I333" s="16" t="str">
        <f>IF(regexMatch(A333,"cs_.*")," (CS)", (IF(regexMatch(A333,"ig_.*"), " (IG)", "")))</f>
        <v/>
      </c>
      <c r="J333" s="10" t="str">
        <f t="shared" si="11"/>
        <v>Hot Posh Female</v>
      </c>
    </row>
    <row r="334" spans="1:10" x14ac:dyDescent="0.25">
      <c r="A334" s="6" t="s">
        <v>582</v>
      </c>
      <c r="B334" s="6" t="str">
        <f t="shared" si="12"/>
        <v>csb_hugh</v>
      </c>
      <c r="C334" s="6" t="s">
        <v>583</v>
      </c>
      <c r="D334" s="7" t="str">
        <f>PROPER(C334)</f>
        <v>Hugh</v>
      </c>
      <c r="E334" s="4" t="s">
        <v>1366</v>
      </c>
      <c r="F334" s="9" t="str">
        <f>IF(regexMatch(A334,"[A-Za-z]*_y_.*")," Young",(IF(regexMatch(A334,"[A-Za-z]*_o_.*")," Old", "")))</f>
        <v/>
      </c>
      <c r="G334" s="16" t="str">
        <f>IF(regexMatch(A334,"[A-Za-z]*_f_.*")," Female", (IF(regexMatch(A334,"[A-Za-z]*_m_.*"), " Male", "")))</f>
        <v/>
      </c>
      <c r="H334" s="16" t="str">
        <f>IF(regexMatch(A334,".*_([0-9]+$)"), CONCATENATE(" ",VALUE(TRIM(CLEAN(RegexFindGroup(A334,".*_([0-9]*)"))))), "")</f>
        <v/>
      </c>
      <c r="I334" s="16" t="str">
        <f>IF(regexMatch(A334,"cs_.*")," (CS)", (IF(regexMatch(A334,"ig_.*"), " (IG)", "")))</f>
        <v/>
      </c>
      <c r="J334" s="10" t="str">
        <f t="shared" si="11"/>
        <v>Hugh Welsh</v>
      </c>
    </row>
    <row r="335" spans="1:10" x14ac:dyDescent="0.25">
      <c r="A335" s="6" t="s">
        <v>584</v>
      </c>
      <c r="B335" s="6" t="str">
        <f t="shared" si="12"/>
        <v>cs_hunter</v>
      </c>
      <c r="C335" s="6" t="s">
        <v>585</v>
      </c>
      <c r="D335" s="7" t="str">
        <f>PROPER(C335)</f>
        <v>Hunter</v>
      </c>
      <c r="E335" s="4" t="s">
        <v>1170</v>
      </c>
      <c r="F335" s="9" t="str">
        <f>IF(regexMatch(A335,"[A-Za-z]*_y_.*")," Young",(IF(regexMatch(A335,"[A-Za-z]*_o_.*")," Old", "")))</f>
        <v/>
      </c>
      <c r="G335" s="16" t="str">
        <f>IF(regexMatch(A335,"[A-Za-z]*_f_.*")," Female", (IF(regexMatch(A335,"[A-Za-z]*_m_.*"), " Male", "")))</f>
        <v/>
      </c>
      <c r="H335" s="16" t="str">
        <f>IF(regexMatch(A335,".*_([0-9]+$)"), CONCATENATE(" ",VALUE(TRIM(CLEAN(RegexFindGroup(A335,".*_([0-9]*)"))))), "")</f>
        <v/>
      </c>
      <c r="I335" s="16" t="str">
        <f>IF(regexMatch(A335,"cs_.*")," (CS)", (IF(regexMatch(A335,"ig_.*"), " (IG)", "")))</f>
        <v xml:space="preserve"> (CS)</v>
      </c>
      <c r="J335" s="10" t="str">
        <f t="shared" si="11"/>
        <v>Hunter (CS)</v>
      </c>
    </row>
    <row r="336" spans="1:10" x14ac:dyDescent="0.25">
      <c r="A336" s="6" t="s">
        <v>586</v>
      </c>
      <c r="B336" s="6" t="str">
        <f t="shared" si="12"/>
        <v>ig_hunter</v>
      </c>
      <c r="C336" s="6" t="s">
        <v>585</v>
      </c>
      <c r="D336" s="7" t="str">
        <f>PROPER(C336)</f>
        <v>Hunter</v>
      </c>
      <c r="E336" s="4" t="s">
        <v>1170</v>
      </c>
      <c r="F336" s="9" t="str">
        <f>IF(regexMatch(A336,"[A-Za-z]*_y_.*")," Young",(IF(regexMatch(A336,"[A-Za-z]*_o_.*")," Old", "")))</f>
        <v/>
      </c>
      <c r="G336" s="16" t="str">
        <f>IF(regexMatch(A336,"[A-Za-z]*_f_.*")," Female", (IF(regexMatch(A336,"[A-Za-z]*_m_.*"), " Male", "")))</f>
        <v/>
      </c>
      <c r="H336" s="16" t="str">
        <f>IF(regexMatch(A336,".*_([0-9]+$)"), CONCATENATE(" ",VALUE(TRIM(CLEAN(RegexFindGroup(A336,".*_([0-9]*)"))))), "")</f>
        <v/>
      </c>
      <c r="I336" s="16" t="str">
        <f>IF(regexMatch(A336,"cs_.*")," (CS)", (IF(regexMatch(A336,"ig_.*"), " (IG)", "")))</f>
        <v xml:space="preserve"> (IG)</v>
      </c>
      <c r="J336" s="10" t="str">
        <f t="shared" si="11"/>
        <v>Hunter (IG)</v>
      </c>
    </row>
    <row r="337" spans="1:10" x14ac:dyDescent="0.25">
      <c r="A337" s="6" t="s">
        <v>354</v>
      </c>
      <c r="B337" s="6" t="str">
        <f t="shared" si="12"/>
        <v>s_m_m_ciasec_01</v>
      </c>
      <c r="C337" s="6" t="s">
        <v>355</v>
      </c>
      <c r="D337" s="7" t="str">
        <f>PROPER(C337)</f>
        <v>Ciasec</v>
      </c>
      <c r="E337" s="4" t="s">
        <v>1427</v>
      </c>
      <c r="F337" s="9"/>
      <c r="G337" s="16"/>
      <c r="H337" s="16" t="str">
        <f>IF(regexMatch(A337,".*_([0-9]+$)"), CONCATENATE(" ",VALUE(TRIM(CLEAN(RegexFindGroup(A337,".*_([0-9]*)"))))), "")</f>
        <v xml:space="preserve"> 1</v>
      </c>
      <c r="I337" s="16" t="str">
        <f>IF(regexMatch(A337,"cs_.*")," (CS)", (IF(regexMatch(A337,"ig_.*"), " (IG)", "")))</f>
        <v/>
      </c>
      <c r="J337" s="10" t="str">
        <f t="shared" si="11"/>
        <v>IAA Security</v>
      </c>
    </row>
    <row r="338" spans="1:10" x14ac:dyDescent="0.25">
      <c r="A338" s="6" t="s">
        <v>589</v>
      </c>
      <c r="B338" s="6" t="str">
        <f t="shared" si="12"/>
        <v>u_m_y_imporage</v>
      </c>
      <c r="C338" s="6" t="s">
        <v>590</v>
      </c>
      <c r="D338" s="7" t="str">
        <f>PROPER(C338)</f>
        <v>Imporage</v>
      </c>
      <c r="E338" s="4" t="s">
        <v>1308</v>
      </c>
      <c r="F338" s="9"/>
      <c r="G338" s="16"/>
      <c r="H338" s="16" t="str">
        <f>IF(regexMatch(A338,".*_([0-9]+$)"), CONCATENATE(" ",VALUE(TRIM(CLEAN(RegexFindGroup(A338,".*_([0-9]*)"))))), "")</f>
        <v/>
      </c>
      <c r="I338" s="16" t="str">
        <f>IF(regexMatch(A338,"cs_.*")," (CS)", (IF(regexMatch(A338,"ig_.*"), " (IG)", "")))</f>
        <v/>
      </c>
      <c r="J338" s="10" t="str">
        <f t="shared" si="11"/>
        <v>Impotent Rage</v>
      </c>
    </row>
    <row r="339" spans="1:10" x14ac:dyDescent="0.25">
      <c r="A339" s="6" t="s">
        <v>591</v>
      </c>
      <c r="B339" s="6" t="str">
        <f t="shared" si="12"/>
        <v>csb_imran</v>
      </c>
      <c r="C339" s="6" t="s">
        <v>592</v>
      </c>
      <c r="D339" s="7" t="str">
        <f>PROPER(C339)</f>
        <v>Imran</v>
      </c>
      <c r="E339" s="4" t="s">
        <v>1343</v>
      </c>
      <c r="F339" s="9" t="str">
        <f>IF(regexMatch(A339,"[A-Za-z]*_y_.*")," Young",(IF(regexMatch(A339,"[A-Za-z]*_o_.*")," Old", "")))</f>
        <v/>
      </c>
      <c r="G339" s="16" t="str">
        <f>IF(regexMatch(A339,"[A-Za-z]*_f_.*")," Female", (IF(regexMatch(A339,"[A-Za-z]*_m_.*"), " Male", "")))</f>
        <v/>
      </c>
      <c r="H339" s="16" t="str">
        <f>IF(regexMatch(A339,".*_([0-9]+$)"), CONCATENATE(" ",VALUE(TRIM(CLEAN(RegexFindGroup(A339,".*_([0-9]*)"))))), "")</f>
        <v/>
      </c>
      <c r="I339" s="16" t="str">
        <f>IF(regexMatch(A339,"cs_.*")," (CS)", (IF(regexMatch(A339,"ig_.*"), " (IG)", "")))</f>
        <v/>
      </c>
      <c r="J339" s="10" t="str">
        <f t="shared" si="11"/>
        <v>Imran Shinowa</v>
      </c>
    </row>
    <row r="340" spans="1:10" x14ac:dyDescent="0.25">
      <c r="A340" s="6" t="s">
        <v>596</v>
      </c>
      <c r="B340" s="6" t="str">
        <f t="shared" si="12"/>
        <v>a_m_m_indian_01</v>
      </c>
      <c r="C340" s="6" t="s">
        <v>594</v>
      </c>
      <c r="D340" s="7" t="str">
        <f>PROPER(C340)</f>
        <v>Indian</v>
      </c>
      <c r="E340" s="4" t="s">
        <v>1171</v>
      </c>
      <c r="F340" s="9" t="str">
        <f>IF(regexMatch(A340,"[A-Za-z]*_y_.*")," Young",(IF(regexMatch(A340,"[A-Za-z]*_o_.*")," Old", "")))</f>
        <v/>
      </c>
      <c r="G340" s="16" t="str">
        <f>IF(regexMatch(A340,"[A-Za-z]*_f_.*")," Female", (IF(regexMatch(A340,"[A-Za-z]*_m_.*"), " Male", "")))</f>
        <v xml:space="preserve"> Male</v>
      </c>
      <c r="H340" s="16" t="str">
        <f>IF(regexMatch(A340,".*_([0-9]+$)"), CONCATENATE(" ",VALUE(TRIM(CLEAN(RegexFindGroup(A340,".*_([0-9]*)"))))), "")</f>
        <v xml:space="preserve"> 1</v>
      </c>
      <c r="I340" s="16" t="str">
        <f>IF(regexMatch(A340,"cs_.*")," (CS)", (IF(regexMatch(A340,"ig_.*"), " (IG)", "")))</f>
        <v/>
      </c>
      <c r="J340" s="10" t="str">
        <f t="shared" si="11"/>
        <v>Indian Male</v>
      </c>
    </row>
    <row r="341" spans="1:10" x14ac:dyDescent="0.25">
      <c r="A341" s="6" t="s">
        <v>593</v>
      </c>
      <c r="B341" s="6" t="str">
        <f t="shared" si="12"/>
        <v>a_f_o_indian_01</v>
      </c>
      <c r="C341" s="6" t="s">
        <v>594</v>
      </c>
      <c r="D341" s="7" t="str">
        <f>PROPER(C341)</f>
        <v>Indian</v>
      </c>
      <c r="E341" s="4" t="s">
        <v>1171</v>
      </c>
      <c r="F341" s="9" t="str">
        <f>IF(regexMatch(A341,"[A-Za-z]*_y_.*")," Young",(IF(regexMatch(A341,"[A-Za-z]*_o_.*")," Old", "")))</f>
        <v xml:space="preserve"> Old</v>
      </c>
      <c r="G341" s="16" t="str">
        <f>IF(regexMatch(A341,"[A-Za-z]*_f_.*")," Female", (IF(regexMatch(A341,"[A-Za-z]*_m_.*"), " Male", "")))</f>
        <v xml:space="preserve"> Female</v>
      </c>
      <c r="H341" s="16" t="str">
        <f>IF(regexMatch(A341,".*_([0-9]+$)"), CONCATENATE(" ",VALUE(TRIM(CLEAN(RegexFindGroup(A341,".*_([0-9]*)"))))), "")</f>
        <v xml:space="preserve"> 1</v>
      </c>
      <c r="I341" s="16" t="str">
        <f>IF(regexMatch(A341,"cs_.*")," (CS)", (IF(regexMatch(A341,"ig_.*"), " (IG)", "")))</f>
        <v/>
      </c>
      <c r="J341" s="10" t="str">
        <f t="shared" si="11"/>
        <v>Indian Old Female</v>
      </c>
    </row>
    <row r="342" spans="1:10" x14ac:dyDescent="0.25">
      <c r="A342" s="6" t="s">
        <v>595</v>
      </c>
      <c r="B342" s="6" t="str">
        <f t="shared" si="12"/>
        <v>a_f_y_indian_01</v>
      </c>
      <c r="C342" s="6" t="s">
        <v>594</v>
      </c>
      <c r="D342" s="7" t="str">
        <f>PROPER(C342)</f>
        <v>Indian</v>
      </c>
      <c r="E342" s="4" t="s">
        <v>1171</v>
      </c>
      <c r="F342" s="9" t="str">
        <f>IF(regexMatch(A342,"[A-Za-z]*_y_.*")," Young",(IF(regexMatch(A342,"[A-Za-z]*_o_.*")," Old", "")))</f>
        <v xml:space="preserve"> Young</v>
      </c>
      <c r="G342" s="16" t="str">
        <f>IF(regexMatch(A342,"[A-Za-z]*_f_.*")," Female", (IF(regexMatch(A342,"[A-Za-z]*_m_.*"), " Male", "")))</f>
        <v xml:space="preserve"> Female</v>
      </c>
      <c r="H342" s="16" t="str">
        <f>IF(regexMatch(A342,".*_([0-9]+$)"), CONCATENATE(" ",VALUE(TRIM(CLEAN(RegexFindGroup(A342,".*_([0-9]*)"))))), "")</f>
        <v xml:space="preserve"> 1</v>
      </c>
      <c r="I342" s="16" t="str">
        <f>IF(regexMatch(A342,"cs_.*")," (CS)", (IF(regexMatch(A342,"ig_.*"), " (IG)", "")))</f>
        <v/>
      </c>
      <c r="J342" s="10" t="str">
        <f t="shared" si="11"/>
        <v>Indian Young Female</v>
      </c>
    </row>
    <row r="343" spans="1:10" x14ac:dyDescent="0.25">
      <c r="A343" s="6" t="s">
        <v>597</v>
      </c>
      <c r="B343" s="6" t="str">
        <f t="shared" si="12"/>
        <v>a_m_y_indian_01</v>
      </c>
      <c r="C343" s="6" t="s">
        <v>594</v>
      </c>
      <c r="D343" s="7" t="str">
        <f>PROPER(C343)</f>
        <v>Indian</v>
      </c>
      <c r="E343" s="4" t="s">
        <v>1171</v>
      </c>
      <c r="F343" s="9" t="str">
        <f>IF(regexMatch(A343,"[A-Za-z]*_y_.*")," Young",(IF(regexMatch(A343,"[A-Za-z]*_o_.*")," Old", "")))</f>
        <v xml:space="preserve"> Young</v>
      </c>
      <c r="G343" s="16" t="str">
        <f>IF(regexMatch(A343,"[A-Za-z]*_f_.*")," Female", (IF(regexMatch(A343,"[A-Za-z]*_m_.*"), " Male", "")))</f>
        <v xml:space="preserve"> Male</v>
      </c>
      <c r="H343" s="16" t="str">
        <f>IF(regexMatch(A343,".*_([0-9]+$)"), CONCATENATE(" ",VALUE(TRIM(CLEAN(RegexFindGroup(A343,".*_([0-9]*)"))))), "")</f>
        <v xml:space="preserve"> 1</v>
      </c>
      <c r="I343" s="16" t="str">
        <f>IF(regexMatch(A343,"cs_.*")," (CS)", (IF(regexMatch(A343,"ig_.*"), " (IG)", "")))</f>
        <v/>
      </c>
      <c r="J343" s="10" t="str">
        <f t="shared" si="11"/>
        <v>Indian Young Male</v>
      </c>
    </row>
    <row r="344" spans="1:10" x14ac:dyDescent="0.25">
      <c r="A344" s="6" t="s">
        <v>370</v>
      </c>
      <c r="B344" s="6" t="str">
        <f t="shared" si="12"/>
        <v>u_f_y_comjane</v>
      </c>
      <c r="C344" s="6" t="s">
        <v>371</v>
      </c>
      <c r="D344" s="7" t="str">
        <f>PROPER(C344)</f>
        <v>Comjane</v>
      </c>
      <c r="E344" s="4" t="s">
        <v>1424</v>
      </c>
      <c r="F344" s="9"/>
      <c r="G344" s="16"/>
      <c r="H344" s="16" t="str">
        <f>IF(regexMatch(A344,".*_([0-9]+$)"), CONCATENATE(" ",VALUE(TRIM(CLEAN(RegexFindGroup(A344,".*_([0-9]*)"))))), "")</f>
        <v/>
      </c>
      <c r="I344" s="16" t="str">
        <f>IF(regexMatch(A344,"cs_.*")," (CS)", (IF(regexMatch(A344,"ig_.*"), " (IG)", "")))</f>
        <v/>
      </c>
      <c r="J344" s="10" t="str">
        <f t="shared" si="11"/>
        <v>Jane</v>
      </c>
    </row>
    <row r="345" spans="1:10" x14ac:dyDescent="0.25">
      <c r="A345" s="6" t="s">
        <v>598</v>
      </c>
      <c r="B345" s="6" t="str">
        <f t="shared" si="12"/>
        <v>cs_janet</v>
      </c>
      <c r="C345" s="6" t="s">
        <v>599</v>
      </c>
      <c r="D345" s="7" t="str">
        <f>PROPER(C345)</f>
        <v>Janet</v>
      </c>
      <c r="E345" s="4" t="s">
        <v>1172</v>
      </c>
      <c r="F345" s="9" t="str">
        <f>IF(regexMatch(A345,"[A-Za-z]*_y_.*")," Young",(IF(regexMatch(A345,"[A-Za-z]*_o_.*")," Old", "")))</f>
        <v/>
      </c>
      <c r="G345" s="16" t="str">
        <f>IF(regexMatch(A345,"[A-Za-z]*_f_.*")," Female", (IF(regexMatch(A345,"[A-Za-z]*_m_.*"), " Male", "")))</f>
        <v/>
      </c>
      <c r="H345" s="16" t="str">
        <f>IF(regexMatch(A345,".*_([0-9]+$)"), CONCATENATE(" ",VALUE(TRIM(CLEAN(RegexFindGroup(A345,".*_([0-9]*)"))))), "")</f>
        <v/>
      </c>
      <c r="I345" s="16" t="str">
        <f>IF(regexMatch(A345,"cs_.*")," (CS)", (IF(regexMatch(A345,"ig_.*"), " (IG)", "")))</f>
        <v xml:space="preserve"> (CS)</v>
      </c>
      <c r="J345" s="10" t="str">
        <f t="shared" si="11"/>
        <v>Janet (CS)</v>
      </c>
    </row>
    <row r="346" spans="1:10" x14ac:dyDescent="0.25">
      <c r="A346" s="6" t="s">
        <v>600</v>
      </c>
      <c r="B346" s="6" t="str">
        <f t="shared" si="12"/>
        <v>ig_janet</v>
      </c>
      <c r="C346" s="6" t="s">
        <v>599</v>
      </c>
      <c r="D346" s="7" t="str">
        <f>PROPER(C346)</f>
        <v>Janet</v>
      </c>
      <c r="E346" s="4" t="s">
        <v>1172</v>
      </c>
      <c r="F346" s="9" t="str">
        <f>IF(regexMatch(A346,"[A-Za-z]*_y_.*")," Young",(IF(regexMatch(A346,"[A-Za-z]*_o_.*")," Old", "")))</f>
        <v/>
      </c>
      <c r="G346" s="16" t="str">
        <f>IF(regexMatch(A346,"[A-Za-z]*_f_.*")," Female", (IF(regexMatch(A346,"[A-Za-z]*_m_.*"), " Male", "")))</f>
        <v/>
      </c>
      <c r="H346" s="16" t="str">
        <f>IF(regexMatch(A346,".*_([0-9]+$)"), CONCATENATE(" ",VALUE(TRIM(CLEAN(RegexFindGroup(A346,".*_([0-9]*)"))))), "")</f>
        <v/>
      </c>
      <c r="I346" s="16" t="str">
        <f>IF(regexMatch(A346,"cs_.*")," (CS)", (IF(regexMatch(A346,"ig_.*"), " (IG)", "")))</f>
        <v xml:space="preserve"> (IG)</v>
      </c>
      <c r="J346" s="10" t="str">
        <f t="shared" si="11"/>
        <v>Janet (IG)</v>
      </c>
    </row>
    <row r="347" spans="1:10" x14ac:dyDescent="0.25">
      <c r="A347" s="6" t="s">
        <v>601</v>
      </c>
      <c r="B347" s="6" t="str">
        <f t="shared" si="12"/>
        <v>csb_janitor</v>
      </c>
      <c r="C347" s="6" t="s">
        <v>602</v>
      </c>
      <c r="D347" s="7" t="str">
        <f>PROPER(C347)</f>
        <v>Janitor</v>
      </c>
      <c r="E347" s="4" t="s">
        <v>1173</v>
      </c>
      <c r="F347" s="9" t="str">
        <f>IF(regexMatch(A347,"[A-Za-z]*_y_.*")," Young",(IF(regexMatch(A347,"[A-Za-z]*_o_.*")," Old", "")))</f>
        <v/>
      </c>
      <c r="G347" s="16" t="str">
        <f>IF(regexMatch(A347,"[A-Za-z]*_f_.*")," Female", (IF(regexMatch(A347,"[A-Za-z]*_m_.*"), " Male", "")))</f>
        <v/>
      </c>
      <c r="H347" s="16" t="str">
        <f>IF(regexMatch(A347,".*_([0-9]+$)"), CONCATENATE(" ",VALUE(TRIM(CLEAN(RegexFindGroup(A347,".*_([0-9]*)"))))), "")</f>
        <v/>
      </c>
      <c r="I347" s="16" t="str">
        <f>IF(regexMatch(A347,"cs_.*")," (CS)", (IF(regexMatch(A347,"ig_.*"), " (IG)", "")))</f>
        <v/>
      </c>
      <c r="J347" s="10" t="str">
        <f t="shared" si="11"/>
        <v>Janitor</v>
      </c>
    </row>
    <row r="348" spans="1:10" x14ac:dyDescent="0.25">
      <c r="A348" s="6" t="s">
        <v>603</v>
      </c>
      <c r="B348" s="6" t="str">
        <f t="shared" si="12"/>
        <v>s_m_m_janitor</v>
      </c>
      <c r="C348" s="6" t="s">
        <v>602</v>
      </c>
      <c r="D348" s="7" t="str">
        <f>PROPER(C348)</f>
        <v>Janitor</v>
      </c>
      <c r="E348" s="4" t="s">
        <v>1173</v>
      </c>
      <c r="F348" s="9" t="str">
        <f>IF(regexMatch(A348,"[A-Za-z]*_y_.*")," Young",(IF(regexMatch(A348,"[A-Za-z]*_o_.*")," Old", "")))</f>
        <v/>
      </c>
      <c r="G348" s="16"/>
      <c r="H348" s="16" t="str">
        <f>IF(regexMatch(A348,".*_([0-9]+$)"), CONCATENATE(" ",VALUE(TRIM(CLEAN(RegexFindGroup(A348,".*_([0-9]*)"))))), "")</f>
        <v/>
      </c>
      <c r="I348" s="16" t="str">
        <f>IF(regexMatch(A348,"cs_.*")," (CS)", (IF(regexMatch(A348,"ig_.*"), " (IG)", "")))</f>
        <v/>
      </c>
      <c r="J348" s="10" t="str">
        <f t="shared" si="11"/>
        <v>Janitor</v>
      </c>
    </row>
    <row r="349" spans="1:10" x14ac:dyDescent="0.25">
      <c r="A349" s="6" t="s">
        <v>604</v>
      </c>
      <c r="B349" s="6" t="str">
        <f t="shared" si="12"/>
        <v>ig_jay_norris</v>
      </c>
      <c r="C349" s="6" t="s">
        <v>605</v>
      </c>
      <c r="D349" s="7" t="str">
        <f>PROPER(C349)</f>
        <v>Jay_Norris</v>
      </c>
      <c r="E349" s="4" t="s">
        <v>1295</v>
      </c>
      <c r="F349" s="9" t="str">
        <f>IF(regexMatch(A349,"[A-Za-z]*_y_.*")," Young",(IF(regexMatch(A349,"[A-Za-z]*_o_.*")," Old", "")))</f>
        <v/>
      </c>
      <c r="G349" s="16" t="str">
        <f>IF(regexMatch(A349,"[A-Za-z]*_f_.*")," Female", (IF(regexMatch(A349,"[A-Za-z]*_m_.*"), " Male", "")))</f>
        <v/>
      </c>
      <c r="H349" s="16" t="str">
        <f>IF(regexMatch(A349,".*_([0-9]+$)"), CONCATENATE(" ",VALUE(TRIM(CLEAN(RegexFindGroup(A349,".*_([0-9]*)"))))), "")</f>
        <v/>
      </c>
      <c r="I349" s="16" t="str">
        <f>IF(regexMatch(A349,"cs_.*")," (CS)", (IF(regexMatch(A349,"ig_.*"), " (IG)", "")))</f>
        <v xml:space="preserve"> (IG)</v>
      </c>
      <c r="J349" s="10" t="str">
        <f t="shared" si="11"/>
        <v>Jay Norris (IG)</v>
      </c>
    </row>
    <row r="350" spans="1:10" x14ac:dyDescent="0.25">
      <c r="A350" s="6" t="s">
        <v>1018</v>
      </c>
      <c r="B350" s="6" t="str">
        <f t="shared" si="12"/>
        <v>u_m_o_taphillbilly</v>
      </c>
      <c r="C350" s="6" t="s">
        <v>1019</v>
      </c>
      <c r="D350" s="7" t="str">
        <f>PROPER(C350)</f>
        <v>Taphillbilly</v>
      </c>
      <c r="E350" s="4" t="s">
        <v>1432</v>
      </c>
      <c r="F350" s="9"/>
      <c r="G350" s="16"/>
      <c r="H350" s="16" t="str">
        <f>IF(regexMatch(A350,".*_([0-9]+$)"), CONCATENATE(" ",VALUE(TRIM(CLEAN(RegexFindGroup(A350,".*_([0-9]*)"))))), "")</f>
        <v/>
      </c>
      <c r="I350" s="16" t="str">
        <f>IF(regexMatch(A350,"cs_.*")," (CS)", (IF(regexMatch(A350,"ig_.*"), " (IG)", "")))</f>
        <v/>
      </c>
      <c r="J350" s="10" t="str">
        <f t="shared" si="11"/>
        <v>Jesco White (Tapdancing Hillbilly)</v>
      </c>
    </row>
    <row r="351" spans="1:10" x14ac:dyDescent="0.25">
      <c r="A351" s="6" t="s">
        <v>606</v>
      </c>
      <c r="B351" s="6" t="str">
        <f t="shared" si="12"/>
        <v>u_m_m_jesus_01</v>
      </c>
      <c r="C351" s="6" t="s">
        <v>607</v>
      </c>
      <c r="D351" s="7" t="str">
        <f>PROPER(C351)</f>
        <v>Jesus</v>
      </c>
      <c r="E351" s="4" t="s">
        <v>1174</v>
      </c>
      <c r="F351" s="9"/>
      <c r="G351" s="16"/>
      <c r="H351" s="16" t="str">
        <f>IF(regexMatch(A351,".*_([0-9]+$)"), CONCATENATE(" ",VALUE(TRIM(CLEAN(RegexFindGroup(A351,".*_([0-9]*)"))))), "")</f>
        <v xml:space="preserve"> 1</v>
      </c>
      <c r="I351" s="16" t="str">
        <f>IF(regexMatch(A351,"cs_.*")," (CS)", (IF(regexMatch(A351,"ig_.*"), " (IG)", "")))</f>
        <v/>
      </c>
      <c r="J351" s="10" t="str">
        <f t="shared" si="11"/>
        <v>Jesus</v>
      </c>
    </row>
    <row r="352" spans="1:10" x14ac:dyDescent="0.25">
      <c r="A352" s="6" t="s">
        <v>608</v>
      </c>
      <c r="B352" s="6" t="str">
        <f t="shared" si="12"/>
        <v>a_m_y_jetski_01</v>
      </c>
      <c r="C352" s="6" t="s">
        <v>609</v>
      </c>
      <c r="D352" s="7" t="str">
        <f>PROPER(C352)</f>
        <v>Jetski</v>
      </c>
      <c r="E352" s="4" t="s">
        <v>1294</v>
      </c>
      <c r="F352" s="9"/>
      <c r="G352" s="16"/>
      <c r="H352" s="16" t="str">
        <f>IF(regexMatch(A352,".*_([0-9]+$)"), CONCATENATE(" ",VALUE(TRIM(CLEAN(RegexFindGroup(A352,".*_([0-9]*)"))))), "")</f>
        <v xml:space="preserve"> 1</v>
      </c>
      <c r="I352" s="16" t="str">
        <f>IF(regexMatch(A352,"cs_.*")," (CS)", (IF(regexMatch(A352,"ig_.*"), " (IG)", "")))</f>
        <v/>
      </c>
      <c r="J352" s="10" t="str">
        <f t="shared" si="11"/>
        <v>Jetskier</v>
      </c>
    </row>
    <row r="353" spans="1:10" x14ac:dyDescent="0.25">
      <c r="A353" s="6" t="s">
        <v>547</v>
      </c>
      <c r="B353" s="6" t="str">
        <f t="shared" si="12"/>
        <v>hc_driver</v>
      </c>
      <c r="C353" s="6" t="s">
        <v>548</v>
      </c>
      <c r="D353" s="7" t="str">
        <f>PROPER(C353)</f>
        <v>Hc_Driver</v>
      </c>
      <c r="E353" s="4" t="s">
        <v>1369</v>
      </c>
      <c r="F353" s="9" t="str">
        <f>IF(regexMatch(A353,"[A-Za-z]*_y_.*")," Young",(IF(regexMatch(A353,"[A-Za-z]*_o_.*")," Old", "")))</f>
        <v/>
      </c>
      <c r="G353" s="16" t="str">
        <f>IF(regexMatch(A353,"[A-Za-z]*_f_.*")," Female", (IF(regexMatch(A353,"[A-Za-z]*_m_.*"), " Male", "")))</f>
        <v/>
      </c>
      <c r="H353" s="16" t="str">
        <f>IF(regexMatch(A353,".*_([0-9]+$)"), CONCATENATE(" ",VALUE(TRIM(CLEAN(RegexFindGroup(A353,".*_([0-9]*)"))))), "")</f>
        <v/>
      </c>
      <c r="I353" s="16" t="str">
        <f>IF(regexMatch(A353,"cs_.*")," (CS)", (IF(regexMatch(A353,"ig_.*"), " (IG)", "")))</f>
        <v/>
      </c>
      <c r="J353" s="10" t="str">
        <f t="shared" si="11"/>
        <v>Jewel Heist Driver</v>
      </c>
    </row>
    <row r="354" spans="1:10" x14ac:dyDescent="0.25">
      <c r="A354" s="6" t="s">
        <v>56</v>
      </c>
      <c r="B354" s="6" t="str">
        <f t="shared" si="12"/>
        <v xml:space="preserve">	hc_gunman</v>
      </c>
      <c r="C354" s="6" t="s">
        <v>55</v>
      </c>
      <c r="D354" s="7" t="str">
        <f>PROPER(C354)</f>
        <v xml:space="preserve">	Hc_Gunman</v>
      </c>
      <c r="E354" s="4" t="s">
        <v>1382</v>
      </c>
      <c r="F354" s="9" t="str">
        <f>IF(regexMatch(A354,"[A-Za-z]*_y_.*")," Young",(IF(regexMatch(A354,"[A-Za-z]*_o_.*")," Old", "")))</f>
        <v/>
      </c>
      <c r="G354" s="16" t="str">
        <f>IF(regexMatch(A354,"[A-Za-z]*_f_.*")," Female", (IF(regexMatch(A354,"[A-Za-z]*_m_.*"), " Male", "")))</f>
        <v/>
      </c>
      <c r="H354" s="16" t="str">
        <f>IF(regexMatch(A354,".*_([0-9]+$)"), CONCATENATE(" ",VALUE(TRIM(CLEAN(RegexFindGroup(A354,".*_([0-9]*)"))))), "")</f>
        <v/>
      </c>
      <c r="I354" s="16" t="str">
        <f>IF(regexMatch(A354,"cs_.*")," (CS)", (IF(regexMatch(A354,"ig_.*"), " (IG)", "")))</f>
        <v/>
      </c>
      <c r="J354" s="10" t="str">
        <f t="shared" si="11"/>
        <v>Jewel Heist Gunman</v>
      </c>
    </row>
    <row r="355" spans="1:10" x14ac:dyDescent="0.25">
      <c r="A355" s="6" t="s">
        <v>549</v>
      </c>
      <c r="B355" s="6" t="str">
        <f t="shared" si="12"/>
        <v>hc_hacker</v>
      </c>
      <c r="C355" s="6" t="s">
        <v>550</v>
      </c>
      <c r="D355" s="7" t="str">
        <f>PROPER(C355)</f>
        <v>Hc_Hacker</v>
      </c>
      <c r="E355" s="4" t="s">
        <v>1370</v>
      </c>
      <c r="F355" s="9" t="str">
        <f>IF(regexMatch(A355,"[A-Za-z]*_y_.*")," Young",(IF(regexMatch(A355,"[A-Za-z]*_o_.*")," Old", "")))</f>
        <v/>
      </c>
      <c r="G355" s="16" t="str">
        <f>IF(regexMatch(A355,"[A-Za-z]*_f_.*")," Female", (IF(regexMatch(A355,"[A-Za-z]*_m_.*"), " Male", "")))</f>
        <v/>
      </c>
      <c r="H355" s="16" t="str">
        <f>IF(regexMatch(A355,".*_([0-9]+$)"), CONCATENATE(" ",VALUE(TRIM(CLEAN(RegexFindGroup(A355,".*_([0-9]*)"))))), "")</f>
        <v/>
      </c>
      <c r="I355" s="16" t="str">
        <f>IF(regexMatch(A355,"cs_.*")," (CS)", (IF(regexMatch(A355,"ig_.*"), " (IG)", "")))</f>
        <v/>
      </c>
      <c r="J355" s="10" t="str">
        <f t="shared" si="11"/>
        <v>Jewel Heist Hacker</v>
      </c>
    </row>
    <row r="356" spans="1:10" x14ac:dyDescent="0.25">
      <c r="A356" s="6" t="s">
        <v>62</v>
      </c>
      <c r="B356" s="6" t="str">
        <f t="shared" si="12"/>
        <v xml:space="preserve">	u_m_m_jewelthief</v>
      </c>
      <c r="C356" s="6" t="s">
        <v>61</v>
      </c>
      <c r="D356" s="7" t="str">
        <f>PROPER(C356)</f>
        <v xml:space="preserve">	Jewelthief</v>
      </c>
      <c r="E356" s="4" t="s">
        <v>1250</v>
      </c>
      <c r="F356" s="9" t="str">
        <f>IF(regexMatch(A356,"[A-Za-z]*_y_.*")," Young",(IF(regexMatch(A356,"[A-Za-z]*_o_.*")," Old", "")))</f>
        <v/>
      </c>
      <c r="G356" s="16"/>
      <c r="H356" s="16" t="str">
        <f>IF(regexMatch(A356,".*_([0-9]+$)"), CONCATENATE(" ",VALUE(TRIM(CLEAN(RegexFindGroup(A356,".*_([0-9]*)"))))), "")</f>
        <v/>
      </c>
      <c r="I356" s="16" t="str">
        <f>IF(regexMatch(A356,"cs_.*")," (CS)", (IF(regexMatch(A356,"ig_.*"), " (IG)", "")))</f>
        <v/>
      </c>
      <c r="J356" s="10" t="str">
        <f t="shared" si="11"/>
        <v>Jewel Thief</v>
      </c>
    </row>
    <row r="357" spans="1:10" x14ac:dyDescent="0.25">
      <c r="A357" s="6" t="s">
        <v>613</v>
      </c>
      <c r="B357" s="6" t="str">
        <f t="shared" si="12"/>
        <v>u_f_y_jewelass_01</v>
      </c>
      <c r="C357" s="6" t="s">
        <v>611</v>
      </c>
      <c r="D357" s="7" t="str">
        <f>PROPER(C357)</f>
        <v>Jewelass</v>
      </c>
      <c r="E357" s="4" t="s">
        <v>1293</v>
      </c>
      <c r="F357" s="9"/>
      <c r="G357" s="16"/>
      <c r="H357" s="16" t="str">
        <f>IF(regexMatch(A357,".*_([0-9]+$)"), CONCATENATE(" ",VALUE(TRIM(CLEAN(RegexFindGroup(A357,".*_([0-9]*)"))))), "")</f>
        <v xml:space="preserve"> 1</v>
      </c>
      <c r="I357" s="16" t="str">
        <f>IF(regexMatch(A357,"cs_.*")," (CS)", (IF(regexMatch(A357,"ig_.*"), " (IG)", "")))</f>
        <v/>
      </c>
      <c r="J357" s="10" t="str">
        <f t="shared" si="11"/>
        <v>Jeweller Assistant</v>
      </c>
    </row>
    <row r="358" spans="1:10" x14ac:dyDescent="0.25">
      <c r="A358" s="6" t="s">
        <v>610</v>
      </c>
      <c r="B358" s="6" t="str">
        <f t="shared" si="12"/>
        <v>cs_jewelass</v>
      </c>
      <c r="C358" s="6" t="s">
        <v>611</v>
      </c>
      <c r="D358" s="7" t="str">
        <f>PROPER(C358)</f>
        <v>Jewelass</v>
      </c>
      <c r="E358" s="4" t="s">
        <v>1293</v>
      </c>
      <c r="F358" s="9" t="str">
        <f>IF(regexMatch(A358,"[A-Za-z]*_y_.*")," Young",(IF(regexMatch(A358,"[A-Za-z]*_o_.*")," Old", "")))</f>
        <v/>
      </c>
      <c r="G358" s="16" t="str">
        <f>IF(regexMatch(A358,"[A-Za-z]*_f_.*")," Female", (IF(regexMatch(A358,"[A-Za-z]*_m_.*"), " Male", "")))</f>
        <v/>
      </c>
      <c r="H358" s="16" t="str">
        <f>IF(regexMatch(A358,".*_([0-9]+$)"), CONCATENATE(" ",VALUE(TRIM(CLEAN(RegexFindGroup(A358,".*_([0-9]*)"))))), "")</f>
        <v/>
      </c>
      <c r="I358" s="16" t="str">
        <f>IF(regexMatch(A358,"cs_.*")," (CS)", (IF(regexMatch(A358,"ig_.*"), " (IG)", "")))</f>
        <v xml:space="preserve"> (CS)</v>
      </c>
      <c r="J358" s="10" t="str">
        <f t="shared" si="11"/>
        <v>Jeweller Assistant (CS)</v>
      </c>
    </row>
    <row r="359" spans="1:10" x14ac:dyDescent="0.25">
      <c r="A359" s="6" t="s">
        <v>612</v>
      </c>
      <c r="B359" s="6" t="str">
        <f t="shared" si="12"/>
        <v>ig_jewelass</v>
      </c>
      <c r="C359" s="6" t="s">
        <v>611</v>
      </c>
      <c r="D359" s="7" t="str">
        <f>PROPER(C359)</f>
        <v>Jewelass</v>
      </c>
      <c r="E359" s="4" t="s">
        <v>1293</v>
      </c>
      <c r="F359" s="9" t="str">
        <f>IF(regexMatch(A359,"[A-Za-z]*_y_.*")," Young",(IF(regexMatch(A359,"[A-Za-z]*_o_.*")," Old", "")))</f>
        <v/>
      </c>
      <c r="G359" s="16" t="str">
        <f>IF(regexMatch(A359,"[A-Za-z]*_f_.*")," Female", (IF(regexMatch(A359,"[A-Za-z]*_m_.*"), " Male", "")))</f>
        <v/>
      </c>
      <c r="H359" s="16" t="str">
        <f>IF(regexMatch(A359,".*_([0-9]+$)"), CONCATENATE(" ",VALUE(TRIM(CLEAN(RegexFindGroup(A359,".*_([0-9]*)"))))), "")</f>
        <v/>
      </c>
      <c r="I359" s="16" t="str">
        <f>IF(regexMatch(A359,"cs_.*")," (CS)", (IF(regexMatch(A359,"ig_.*"), " (IG)", "")))</f>
        <v xml:space="preserve"> (IG)</v>
      </c>
      <c r="J359" s="10" t="str">
        <f t="shared" si="11"/>
        <v>Jeweller Assistant (IG)</v>
      </c>
    </row>
    <row r="360" spans="1:10" x14ac:dyDescent="0.25">
      <c r="A360" s="6" t="s">
        <v>614</v>
      </c>
      <c r="B360" s="6" t="str">
        <f t="shared" si="12"/>
        <v>u_m_m_jewelsec_01</v>
      </c>
      <c r="C360" s="6" t="s">
        <v>615</v>
      </c>
      <c r="D360" s="7" t="str">
        <f>PROPER(C360)</f>
        <v>Jewelsec</v>
      </c>
      <c r="E360" s="4" t="s">
        <v>1292</v>
      </c>
      <c r="F360" s="9" t="str">
        <f>IF(regexMatch(A360,"[A-Za-z]*_y_.*")," Young",(IF(regexMatch(A360,"[A-Za-z]*_o_.*")," Old", "")))</f>
        <v/>
      </c>
      <c r="G360" s="16"/>
      <c r="H360" s="16" t="str">
        <f>IF(regexMatch(A360,".*_([0-9]+$)"), CONCATENATE(" ",VALUE(TRIM(CLEAN(RegexFindGroup(A360,".*_([0-9]*)"))))), "")</f>
        <v xml:space="preserve"> 1</v>
      </c>
      <c r="I360" s="16" t="str">
        <f>IF(regexMatch(A360,"cs_.*")," (CS)", (IF(regexMatch(A360,"ig_.*"), " (IG)", "")))</f>
        <v/>
      </c>
      <c r="J360" s="10" t="str">
        <f t="shared" si="11"/>
        <v>Jeweller Security</v>
      </c>
    </row>
    <row r="361" spans="1:10" x14ac:dyDescent="0.25">
      <c r="A361" s="6" t="s">
        <v>64</v>
      </c>
      <c r="B361" s="6" t="str">
        <f t="shared" si="12"/>
        <v xml:space="preserve">	cs_jimmyboston</v>
      </c>
      <c r="C361" s="6" t="s">
        <v>63</v>
      </c>
      <c r="D361" s="7" t="str">
        <f>PROPER(C361)</f>
        <v xml:space="preserve">	Jimmyboston</v>
      </c>
      <c r="E361" s="4" t="s">
        <v>1381</v>
      </c>
      <c r="F361" s="9" t="str">
        <f>IF(regexMatch(A361,"[A-Za-z]*_y_.*")," Young",(IF(regexMatch(A361,"[A-Za-z]*_o_.*")," Old", "")))</f>
        <v/>
      </c>
      <c r="G361" s="16" t="str">
        <f>IF(regexMatch(A361,"[A-Za-z]*_f_.*")," Female", (IF(regexMatch(A361,"[A-Za-z]*_m_.*"), " Male", "")))</f>
        <v/>
      </c>
      <c r="H361" s="16" t="str">
        <f>IF(regexMatch(A361,".*_([0-9]+$)"), CONCATENATE(" ",VALUE(TRIM(CLEAN(RegexFindGroup(A361,".*_([0-9]*)"))))), "")</f>
        <v/>
      </c>
      <c r="I361" s="16" t="str">
        <f>IF(regexMatch(A361,"cs_.*")," (CS)", (IF(regexMatch(A361,"ig_.*"), " (IG)", "")))</f>
        <v xml:space="preserve"> (CS)</v>
      </c>
      <c r="J361" s="10" t="str">
        <f t="shared" si="11"/>
        <v>Jimmy Boston (CS)</v>
      </c>
    </row>
    <row r="362" spans="1:10" x14ac:dyDescent="0.25">
      <c r="A362" s="6" t="s">
        <v>65</v>
      </c>
      <c r="B362" s="6" t="str">
        <f t="shared" si="12"/>
        <v xml:space="preserve">	ig_jimmyboston</v>
      </c>
      <c r="C362" s="6" t="s">
        <v>63</v>
      </c>
      <c r="D362" s="7" t="str">
        <f>PROPER(C362)</f>
        <v xml:space="preserve">	Jimmyboston</v>
      </c>
      <c r="E362" s="4" t="s">
        <v>1381</v>
      </c>
      <c r="F362" s="9" t="str">
        <f>IF(regexMatch(A362,"[A-Za-z]*_y_.*")," Young",(IF(regexMatch(A362,"[A-Za-z]*_o_.*")," Old", "")))</f>
        <v/>
      </c>
      <c r="G362" s="16" t="str">
        <f>IF(regexMatch(A362,"[A-Za-z]*_f_.*")," Female", (IF(regexMatch(A362,"[A-Za-z]*_m_.*"), " Male", "")))</f>
        <v/>
      </c>
      <c r="H362" s="16" t="str">
        <f>IF(regexMatch(A362,".*_([0-9]+$)"), CONCATENATE(" ",VALUE(TRIM(CLEAN(RegexFindGroup(A362,".*_([0-9]*)"))))), "")</f>
        <v/>
      </c>
      <c r="I362" s="16" t="str">
        <f>IF(regexMatch(A362,"cs_.*")," (CS)", (IF(regexMatch(A362,"ig_.*"), " (IG)", "")))</f>
        <v xml:space="preserve"> (IG)</v>
      </c>
      <c r="J362" s="10" t="str">
        <f t="shared" si="11"/>
        <v>Jimmy Boston (IG)</v>
      </c>
    </row>
    <row r="363" spans="1:10" x14ac:dyDescent="0.25">
      <c r="A363" s="6" t="s">
        <v>616</v>
      </c>
      <c r="B363" s="6" t="str">
        <f t="shared" si="12"/>
        <v>cs_jimmydisanto</v>
      </c>
      <c r="C363" s="6" t="s">
        <v>617</v>
      </c>
      <c r="D363" s="7" t="str">
        <f>PROPER(C363)</f>
        <v>Jimmydisanto</v>
      </c>
      <c r="E363" s="4" t="s">
        <v>1555</v>
      </c>
      <c r="F363" s="9" t="str">
        <f>IF(regexMatch(A363,"[A-Za-z]*_y_.*")," Young",(IF(regexMatch(A363,"[A-Za-z]*_o_.*")," Old", "")))</f>
        <v/>
      </c>
      <c r="G363" s="16" t="str">
        <f>IF(regexMatch(A363,"[A-Za-z]*_f_.*")," Female", (IF(regexMatch(A363,"[A-Za-z]*_m_.*"), " Male", "")))</f>
        <v/>
      </c>
      <c r="H363" s="16" t="str">
        <f>IF(regexMatch(A363,".*_([0-9]+$)"), CONCATENATE(" ",VALUE(TRIM(CLEAN(RegexFindGroup(A363,".*_([0-9]*)"))))), "")</f>
        <v/>
      </c>
      <c r="I363" s="16" t="str">
        <f>IF(regexMatch(A363,"cs_.*")," (CS)", (IF(regexMatch(A363,"ig_.*"), " (IG)", "")))</f>
        <v xml:space="preserve"> (CS)</v>
      </c>
      <c r="J363" s="10" t="str">
        <f t="shared" si="11"/>
        <v>Jimmy De Santa (CS)</v>
      </c>
    </row>
    <row r="364" spans="1:10" x14ac:dyDescent="0.25">
      <c r="A364" s="6" t="s">
        <v>618</v>
      </c>
      <c r="B364" s="6" t="str">
        <f t="shared" si="12"/>
        <v>ig_jimmydisanto</v>
      </c>
      <c r="C364" s="6" t="s">
        <v>617</v>
      </c>
      <c r="D364" s="7" t="str">
        <f>PROPER(C364)</f>
        <v>Jimmydisanto</v>
      </c>
      <c r="E364" s="4" t="s">
        <v>1555</v>
      </c>
      <c r="F364" s="9" t="str">
        <f>IF(regexMatch(A364,"[A-Za-z]*_y_.*")," Young",(IF(regexMatch(A364,"[A-Za-z]*_o_.*")," Old", "")))</f>
        <v/>
      </c>
      <c r="G364" s="16" t="str">
        <f>IF(regexMatch(A364,"[A-Za-z]*_f_.*")," Female", (IF(regexMatch(A364,"[A-Za-z]*_m_.*"), " Male", "")))</f>
        <v/>
      </c>
      <c r="H364" s="16" t="str">
        <f>IF(regexMatch(A364,".*_([0-9]+$)"), CONCATENATE(" ",VALUE(TRIM(CLEAN(RegexFindGroup(A364,".*_([0-9]*)"))))), "")</f>
        <v/>
      </c>
      <c r="I364" s="16" t="str">
        <f>IF(regexMatch(A364,"cs_.*")," (CS)", (IF(regexMatch(A364,"ig_.*"), " (IG)", "")))</f>
        <v xml:space="preserve"> (IG)</v>
      </c>
      <c r="J364" s="10" t="str">
        <f t="shared" si="11"/>
        <v>Jimmy De Santa (IG)</v>
      </c>
    </row>
    <row r="365" spans="1:10" x14ac:dyDescent="0.25">
      <c r="A365" s="6" t="s">
        <v>878</v>
      </c>
      <c r="B365" s="6" t="str">
        <f t="shared" si="12"/>
        <v>a_f_y_runner_01</v>
      </c>
      <c r="C365" s="6" t="s">
        <v>879</v>
      </c>
      <c r="D365" s="7" t="str">
        <f>PROPER(C365)</f>
        <v>Runner</v>
      </c>
      <c r="E365" s="4" t="s">
        <v>1478</v>
      </c>
      <c r="F365" s="9"/>
      <c r="G365" s="16" t="str">
        <f>IF(regexMatch(A365,"[A-Za-z]*_f_.*")," Female", (IF(regexMatch(A365,"[A-Za-z]*_m_.*"), " Male", "")))</f>
        <v xml:space="preserve"> Female</v>
      </c>
      <c r="H365" s="16" t="str">
        <f>IF(regexMatch(A365,".*_([0-9]+$)"), CONCATENATE(" ",VALUE(TRIM(CLEAN(RegexFindGroup(A365,".*_([0-9]*)"))))), "")</f>
        <v xml:space="preserve"> 1</v>
      </c>
      <c r="I365" s="16" t="str">
        <f>IF(regexMatch(A365,"cs_.*")," (CS)", (IF(regexMatch(A365,"ig_.*"), " (IG)", "")))</f>
        <v/>
      </c>
      <c r="J365" s="10" t="str">
        <f t="shared" si="11"/>
        <v>Jogger Female</v>
      </c>
    </row>
    <row r="366" spans="1:10" x14ac:dyDescent="0.25">
      <c r="A366" s="6" t="s">
        <v>99</v>
      </c>
      <c r="B366" s="6" t="str">
        <f t="shared" si="12"/>
        <v xml:space="preserve">	a_m_y_runner_01</v>
      </c>
      <c r="C366" s="6" t="s">
        <v>98</v>
      </c>
      <c r="D366" s="7" t="str">
        <f>PROPER(C366)</f>
        <v xml:space="preserve">	Runner</v>
      </c>
      <c r="E366" s="4" t="s">
        <v>1478</v>
      </c>
      <c r="F366" s="9"/>
      <c r="G366" s="16" t="str">
        <f>IF(regexMatch(A366,"[A-Za-z]*_f_.*")," Female", (IF(regexMatch(A366,"[A-Za-z]*_m_.*"), " Male", "")))</f>
        <v xml:space="preserve"> Male</v>
      </c>
      <c r="H366" s="16" t="str">
        <f>IF(regexMatch(A366,".*_([0-9]+$)"), CONCATENATE(" ",VALUE(TRIM(CLEAN(RegexFindGroup(A366,".*_([0-9]*)"))))), "")</f>
        <v xml:space="preserve"> 1</v>
      </c>
      <c r="I366" s="16" t="str">
        <f>IF(regexMatch(A366,"cs_.*")," (CS)", (IF(regexMatch(A366,"ig_.*"), " (IG)", "")))</f>
        <v/>
      </c>
      <c r="J366" s="10" t="str">
        <f t="shared" si="11"/>
        <v>Jogger Male</v>
      </c>
    </row>
    <row r="367" spans="1:10" x14ac:dyDescent="0.25">
      <c r="A367" s="6" t="s">
        <v>880</v>
      </c>
      <c r="B367" s="6" t="str">
        <f t="shared" si="12"/>
        <v>a_m_y_runner_02</v>
      </c>
      <c r="C367" s="6" t="s">
        <v>879</v>
      </c>
      <c r="D367" s="7" t="str">
        <f>PROPER(C367)</f>
        <v>Runner</v>
      </c>
      <c r="E367" s="4" t="s">
        <v>1478</v>
      </c>
      <c r="F367" s="9"/>
      <c r="G367" s="16" t="str">
        <f>IF(regexMatch(A367,"[A-Za-z]*_f_.*")," Female", (IF(regexMatch(A367,"[A-Za-z]*_m_.*"), " Male", "")))</f>
        <v xml:space="preserve"> Male</v>
      </c>
      <c r="H367" s="16" t="str">
        <f>IF(regexMatch(A367,".*_([0-9]+$)"), CONCATENATE(" ",VALUE(TRIM(CLEAN(RegexFindGroup(A367,".*_([0-9]*)"))))), "")</f>
        <v xml:space="preserve"> 2</v>
      </c>
      <c r="I367" s="16" t="str">
        <f>IF(regexMatch(A367,"cs_.*")," (CS)", (IF(regexMatch(A367,"ig_.*"), " (IG)", "")))</f>
        <v/>
      </c>
      <c r="J367" s="10" t="str">
        <f t="shared" si="11"/>
        <v>Jogger Male 2</v>
      </c>
    </row>
    <row r="368" spans="1:10" x14ac:dyDescent="0.25">
      <c r="A368" s="6" t="s">
        <v>700</v>
      </c>
      <c r="B368" s="6" t="str">
        <f t="shared" si="12"/>
        <v>mp_m_marston_01</v>
      </c>
      <c r="C368" s="6" t="s">
        <v>701</v>
      </c>
      <c r="D368" s="7" t="str">
        <f>PROPER(C368)</f>
        <v>Marston</v>
      </c>
      <c r="E368" s="4" t="s">
        <v>1368</v>
      </c>
      <c r="F368" s="9" t="str">
        <f>IF(regexMatch(A368,"[A-Za-z]*_y_.*")," Young",(IF(regexMatch(A368,"[A-Za-z]*_o_.*")," Old", "")))</f>
        <v/>
      </c>
      <c r="G368" s="16"/>
      <c r="H368" s="16" t="str">
        <f>IF(regexMatch(A368,".*_([0-9]+$)"), CONCATENATE(" ",VALUE(TRIM(CLEAN(RegexFindGroup(A368,".*_([0-9]*)"))))), "")</f>
        <v xml:space="preserve"> 1</v>
      </c>
      <c r="I368" s="16" t="str">
        <f>IF(regexMatch(A368,"cs_.*")," (CS)", (IF(regexMatch(A368,"ig_.*"), " (IG)", "")))</f>
        <v/>
      </c>
      <c r="J368" s="10" t="str">
        <f t="shared" si="11"/>
        <v>John Marston</v>
      </c>
    </row>
    <row r="369" spans="1:10" x14ac:dyDescent="0.25">
      <c r="A369" s="6" t="s">
        <v>622</v>
      </c>
      <c r="B369" s="6" t="str">
        <f t="shared" si="12"/>
        <v>cs_johnnyklebitz</v>
      </c>
      <c r="C369" s="6" t="s">
        <v>623</v>
      </c>
      <c r="D369" s="7" t="str">
        <f>PROPER(C369)</f>
        <v>Johnnyklebitz</v>
      </c>
      <c r="E369" s="4" t="s">
        <v>1305</v>
      </c>
      <c r="F369" s="9" t="str">
        <f>IF(regexMatch(A369,"[A-Za-z]*_y_.*")," Young",(IF(regexMatch(A369,"[A-Za-z]*_o_.*")," Old", "")))</f>
        <v/>
      </c>
      <c r="G369" s="16" t="str">
        <f>IF(regexMatch(A369,"[A-Za-z]*_f_.*")," Female", (IF(regexMatch(A369,"[A-Za-z]*_m_.*"), " Male", "")))</f>
        <v/>
      </c>
      <c r="H369" s="16" t="str">
        <f>IF(regexMatch(A369,".*_([0-9]+$)"), CONCATENATE(" ",VALUE(TRIM(CLEAN(RegexFindGroup(A369,".*_([0-9]*)"))))), "")</f>
        <v/>
      </c>
      <c r="I369" s="16" t="str">
        <f>IF(regexMatch(A369,"cs_.*")," (CS)", (IF(regexMatch(A369,"ig_.*"), " (IG)", "")))</f>
        <v xml:space="preserve"> (CS)</v>
      </c>
      <c r="J369" s="10" t="str">
        <f t="shared" si="11"/>
        <v>Johnny Klebitz (CS)</v>
      </c>
    </row>
    <row r="370" spans="1:10" x14ac:dyDescent="0.25">
      <c r="A370" s="6" t="s">
        <v>624</v>
      </c>
      <c r="B370" s="6" t="str">
        <f t="shared" si="12"/>
        <v>ig_johnnyklebitz</v>
      </c>
      <c r="C370" s="6" t="s">
        <v>623</v>
      </c>
      <c r="D370" s="7" t="str">
        <f>PROPER(C370)</f>
        <v>Johnnyklebitz</v>
      </c>
      <c r="E370" s="4" t="s">
        <v>1305</v>
      </c>
      <c r="F370" s="9" t="str">
        <f>IF(regexMatch(A370,"[A-Za-z]*_y_.*")," Young",(IF(regexMatch(A370,"[A-Za-z]*_o_.*")," Old", "")))</f>
        <v/>
      </c>
      <c r="G370" s="16" t="str">
        <f>IF(regexMatch(A370,"[A-Za-z]*_f_.*")," Female", (IF(regexMatch(A370,"[A-Za-z]*_m_.*"), " Male", "")))</f>
        <v/>
      </c>
      <c r="H370" s="16" t="str">
        <f>IF(regexMatch(A370,".*_([0-9]+$)"), CONCATENATE(" ",VALUE(TRIM(CLEAN(RegexFindGroup(A370,".*_([0-9]*)"))))), "")</f>
        <v/>
      </c>
      <c r="I370" s="16" t="str">
        <f>IF(regexMatch(A370,"cs_.*")," (CS)", (IF(regexMatch(A370,"ig_.*"), " (IG)", "")))</f>
        <v xml:space="preserve"> (IG)</v>
      </c>
      <c r="J370" s="10" t="str">
        <f t="shared" si="11"/>
        <v>Johnny Klebitz (IG)</v>
      </c>
    </row>
    <row r="371" spans="1:10" x14ac:dyDescent="0.25">
      <c r="A371" s="6" t="s">
        <v>625</v>
      </c>
      <c r="B371" s="6" t="str">
        <f t="shared" si="12"/>
        <v>cs_josef</v>
      </c>
      <c r="C371" s="6" t="s">
        <v>626</v>
      </c>
      <c r="D371" s="7" t="str">
        <f>PROPER(C371)</f>
        <v>Josef</v>
      </c>
      <c r="E371" s="4" t="s">
        <v>1175</v>
      </c>
      <c r="F371" s="9" t="str">
        <f>IF(regexMatch(A371,"[A-Za-z]*_y_.*")," Young",(IF(regexMatch(A371,"[A-Za-z]*_o_.*")," Old", "")))</f>
        <v/>
      </c>
      <c r="G371" s="16" t="str">
        <f>IF(regexMatch(A371,"[A-Za-z]*_f_.*")," Female", (IF(regexMatch(A371,"[A-Za-z]*_m_.*"), " Male", "")))</f>
        <v/>
      </c>
      <c r="H371" s="16" t="str">
        <f>IF(regexMatch(A371,".*_([0-9]+$)"), CONCATENATE(" ",VALUE(TRIM(CLEAN(RegexFindGroup(A371,".*_([0-9]*)"))))), "")</f>
        <v/>
      </c>
      <c r="I371" s="16" t="str">
        <f>IF(regexMatch(A371,"cs_.*")," (CS)", (IF(regexMatch(A371,"ig_.*"), " (IG)", "")))</f>
        <v xml:space="preserve"> (CS)</v>
      </c>
      <c r="J371" s="10" t="str">
        <f t="shared" si="11"/>
        <v>Josef (CS)</v>
      </c>
    </row>
    <row r="372" spans="1:10" x14ac:dyDescent="0.25">
      <c r="A372" s="6" t="s">
        <v>627</v>
      </c>
      <c r="B372" s="6" t="str">
        <f t="shared" si="12"/>
        <v>ig_josef</v>
      </c>
      <c r="C372" s="6" t="s">
        <v>626</v>
      </c>
      <c r="D372" s="7" t="str">
        <f>PROPER(C372)</f>
        <v>Josef</v>
      </c>
      <c r="E372" s="4" t="s">
        <v>1175</v>
      </c>
      <c r="F372" s="9" t="str">
        <f>IF(regexMatch(A372,"[A-Za-z]*_y_.*")," Young",(IF(regexMatch(A372,"[A-Za-z]*_o_.*")," Old", "")))</f>
        <v/>
      </c>
      <c r="G372" s="16" t="str">
        <f>IF(regexMatch(A372,"[A-Za-z]*_f_.*")," Female", (IF(regexMatch(A372,"[A-Za-z]*_m_.*"), " Male", "")))</f>
        <v/>
      </c>
      <c r="H372" s="16" t="str">
        <f>IF(regexMatch(A372,".*_([0-9]+$)"), CONCATENATE(" ",VALUE(TRIM(CLEAN(RegexFindGroup(A372,".*_([0-9]*)"))))), "")</f>
        <v/>
      </c>
      <c r="I372" s="16" t="str">
        <f>IF(regexMatch(A372,"cs_.*")," (CS)", (IF(regexMatch(A372,"ig_.*"), " (IG)", "")))</f>
        <v xml:space="preserve"> (IG)</v>
      </c>
      <c r="J372" s="10" t="str">
        <f t="shared" si="11"/>
        <v>Josef (IG)</v>
      </c>
    </row>
    <row r="373" spans="1:10" x14ac:dyDescent="0.25">
      <c r="A373" s="6" t="s">
        <v>628</v>
      </c>
      <c r="B373" s="6" t="str">
        <f t="shared" si="12"/>
        <v>cs_josh</v>
      </c>
      <c r="C373" s="6" t="s">
        <v>629</v>
      </c>
      <c r="D373" s="7" t="str">
        <f>PROPER(C373)</f>
        <v>Josh</v>
      </c>
      <c r="E373" s="4" t="s">
        <v>1176</v>
      </c>
      <c r="F373" s="9" t="str">
        <f>IF(regexMatch(A373,"[A-Za-z]*_y_.*")," Young",(IF(regexMatch(A373,"[A-Za-z]*_o_.*")," Old", "")))</f>
        <v/>
      </c>
      <c r="G373" s="16" t="str">
        <f>IF(regexMatch(A373,"[A-Za-z]*_f_.*")," Female", (IF(regexMatch(A373,"[A-Za-z]*_m_.*"), " Male", "")))</f>
        <v/>
      </c>
      <c r="H373" s="16" t="str">
        <f>IF(regexMatch(A373,".*_([0-9]+$)"), CONCATENATE(" ",VALUE(TRIM(CLEAN(RegexFindGroup(A373,".*_([0-9]*)"))))), "")</f>
        <v/>
      </c>
      <c r="I373" s="16" t="str">
        <f>IF(regexMatch(A373,"cs_.*")," (CS)", (IF(regexMatch(A373,"ig_.*"), " (IG)", "")))</f>
        <v xml:space="preserve"> (CS)</v>
      </c>
      <c r="J373" s="10" t="str">
        <f t="shared" si="11"/>
        <v>Josh (CS)</v>
      </c>
    </row>
    <row r="374" spans="1:10" x14ac:dyDescent="0.25">
      <c r="A374" s="6" t="s">
        <v>630</v>
      </c>
      <c r="B374" s="6" t="str">
        <f t="shared" si="12"/>
        <v>ig_josh</v>
      </c>
      <c r="C374" s="6" t="s">
        <v>629</v>
      </c>
      <c r="D374" s="7" t="str">
        <f>PROPER(C374)</f>
        <v>Josh</v>
      </c>
      <c r="E374" s="4" t="s">
        <v>1176</v>
      </c>
      <c r="F374" s="9" t="str">
        <f>IF(regexMatch(A374,"[A-Za-z]*_y_.*")," Young",(IF(regexMatch(A374,"[A-Za-z]*_o_.*")," Old", "")))</f>
        <v/>
      </c>
      <c r="G374" s="16" t="str">
        <f>IF(regexMatch(A374,"[A-Za-z]*_f_.*")," Female", (IF(regexMatch(A374,"[A-Za-z]*_m_.*"), " Male", "")))</f>
        <v/>
      </c>
      <c r="H374" s="16" t="str">
        <f>IF(regexMatch(A374,".*_([0-9]+$)"), CONCATENATE(" ",VALUE(TRIM(CLEAN(RegexFindGroup(A374,".*_([0-9]*)"))))), "")</f>
        <v/>
      </c>
      <c r="I374" s="16" t="str">
        <f>IF(regexMatch(A374,"cs_.*")," (CS)", (IF(regexMatch(A374,"ig_.*"), " (IG)", "")))</f>
        <v xml:space="preserve"> (IG)</v>
      </c>
      <c r="J374" s="10" t="str">
        <f t="shared" si="11"/>
        <v>Josh (IG)</v>
      </c>
    </row>
    <row r="375" spans="1:10" x14ac:dyDescent="0.25">
      <c r="A375" s="6" t="s">
        <v>631</v>
      </c>
      <c r="B375" s="6" t="str">
        <f t="shared" si="12"/>
        <v>a_f_y_juggalo_01</v>
      </c>
      <c r="C375" s="6" t="s">
        <v>632</v>
      </c>
      <c r="D375" s="7" t="str">
        <f>PROPER(C375)</f>
        <v>Juggalo</v>
      </c>
      <c r="E375" s="4" t="s">
        <v>1177</v>
      </c>
      <c r="F375" s="9"/>
      <c r="G375" s="16" t="str">
        <f>IF(regexMatch(A375,"[A-Za-z]*_f_.*")," Female", (IF(regexMatch(A375,"[A-Za-z]*_m_.*"), " Male", "")))</f>
        <v xml:space="preserve"> Female</v>
      </c>
      <c r="H375" s="16" t="str">
        <f>IF(regexMatch(A375,".*_([0-9]+$)"), CONCATENATE(" ",VALUE(TRIM(CLEAN(RegexFindGroup(A375,".*_([0-9]*)"))))), "")</f>
        <v xml:space="preserve"> 1</v>
      </c>
      <c r="I375" s="16" t="str">
        <f>IF(regexMatch(A375,"cs_.*")," (CS)", (IF(regexMatch(A375,"ig_.*"), " (IG)", "")))</f>
        <v/>
      </c>
      <c r="J375" s="10" t="str">
        <f t="shared" si="11"/>
        <v>Juggalo Female</v>
      </c>
    </row>
    <row r="376" spans="1:10" x14ac:dyDescent="0.25">
      <c r="A376" s="6" t="s">
        <v>633</v>
      </c>
      <c r="B376" s="6" t="str">
        <f t="shared" si="12"/>
        <v>a_m_y_juggalo_01</v>
      </c>
      <c r="C376" s="6" t="s">
        <v>632</v>
      </c>
      <c r="D376" s="7" t="str">
        <f>PROPER(C376)</f>
        <v>Juggalo</v>
      </c>
      <c r="E376" s="4" t="s">
        <v>1177</v>
      </c>
      <c r="F376" s="9"/>
      <c r="G376" s="16" t="str">
        <f>IF(regexMatch(A376,"[A-Za-z]*_f_.*")," Female", (IF(regexMatch(A376,"[A-Za-z]*_m_.*"), " Male", "")))</f>
        <v xml:space="preserve"> Male</v>
      </c>
      <c r="H376" s="16" t="str">
        <f>IF(regexMatch(A376,".*_([0-9]+$)"), CONCATENATE(" ",VALUE(TRIM(CLEAN(RegexFindGroup(A376,".*_([0-9]*)"))))), "")</f>
        <v xml:space="preserve"> 1</v>
      </c>
      <c r="I376" s="16" t="str">
        <f>IF(regexMatch(A376,"cs_.*")," (CS)", (IF(regexMatch(A376,"ig_.*"), " (IG)", "")))</f>
        <v/>
      </c>
      <c r="J376" s="10" t="str">
        <f t="shared" si="11"/>
        <v>Juggalo Male</v>
      </c>
    </row>
    <row r="377" spans="1:10" x14ac:dyDescent="0.25">
      <c r="A377" s="6" t="s">
        <v>634</v>
      </c>
      <c r="B377" s="6" t="str">
        <f t="shared" si="12"/>
        <v>u_m_y_justin</v>
      </c>
      <c r="C377" s="6" t="s">
        <v>635</v>
      </c>
      <c r="D377" s="7" t="str">
        <f>PROPER(C377)</f>
        <v>Justin</v>
      </c>
      <c r="E377" s="4" t="s">
        <v>1178</v>
      </c>
      <c r="F377" s="9"/>
      <c r="G377" s="16"/>
      <c r="H377" s="16" t="str">
        <f>IF(regexMatch(A377,".*_([0-9]+$)"), CONCATENATE(" ",VALUE(TRIM(CLEAN(RegexFindGroup(A377,".*_([0-9]*)"))))), "")</f>
        <v/>
      </c>
      <c r="I377" s="16" t="str">
        <f>IF(regexMatch(A377,"cs_.*")," (CS)", (IF(regexMatch(A377,"ig_.*"), " (IG)", "")))</f>
        <v/>
      </c>
      <c r="J377" s="10" t="str">
        <f t="shared" si="11"/>
        <v>Justin</v>
      </c>
    </row>
    <row r="378" spans="1:10" x14ac:dyDescent="0.25">
      <c r="A378" s="1" t="s">
        <v>1525</v>
      </c>
      <c r="B378" s="6" t="str">
        <f t="shared" si="12"/>
        <v>cs_karen_daniels</v>
      </c>
      <c r="E378" s="2" t="s">
        <v>1538</v>
      </c>
      <c r="H378" s="16" t="str">
        <f>IF(regexMatch(A378,".*_([0-9]+$)"), CONCATENATE(" ",VALUE(TRIM(CLEAN(RegexFindGroup(A378,".*_([0-9]*)"))))), "")</f>
        <v/>
      </c>
      <c r="J378" s="10" t="str">
        <f t="shared" si="11"/>
        <v>Karen Daniels (CS)</v>
      </c>
    </row>
    <row r="379" spans="1:10" x14ac:dyDescent="0.25">
      <c r="A379" s="1" t="s">
        <v>1528</v>
      </c>
      <c r="B379" s="6" t="str">
        <f t="shared" si="12"/>
        <v>ig_karen_daniels</v>
      </c>
      <c r="E379" s="2" t="s">
        <v>1539</v>
      </c>
      <c r="H379" s="16" t="str">
        <f>IF(regexMatch(A379,".*_([0-9]+$)"), CONCATENATE(" ",VALUE(TRIM(CLEAN(RegexFindGroup(A379,".*_([0-9]*)"))))), "")</f>
        <v/>
      </c>
      <c r="J379" s="10" t="str">
        <f t="shared" si="11"/>
        <v>Karen Daniels (IG)</v>
      </c>
    </row>
    <row r="380" spans="1:10" x14ac:dyDescent="0.25">
      <c r="A380" s="6" t="s">
        <v>636</v>
      </c>
      <c r="B380" s="6" t="str">
        <f t="shared" si="12"/>
        <v>ig_kerrymcintosh</v>
      </c>
      <c r="C380" s="6" t="s">
        <v>637</v>
      </c>
      <c r="D380" s="7" t="str">
        <f>PROPER(C380)</f>
        <v>Kerrymcintosh</v>
      </c>
      <c r="E380" s="4" t="s">
        <v>1320</v>
      </c>
      <c r="F380" s="9" t="str">
        <f>IF(regexMatch(A380,"[A-Za-z]*_y_.*")," Young",(IF(regexMatch(A380,"[A-Za-z]*_o_.*")," Old", "")))</f>
        <v/>
      </c>
      <c r="G380" s="16" t="str">
        <f>IF(regexMatch(A380,"[A-Za-z]*_f_.*")," Female", (IF(regexMatch(A380,"[A-Za-z]*_m_.*"), " Male", "")))</f>
        <v/>
      </c>
      <c r="H380" s="16" t="str">
        <f>IF(regexMatch(A380,".*_([0-9]+$)"), CONCATENATE(" ",VALUE(TRIM(CLEAN(RegexFindGroup(A380,".*_([0-9]*)"))))), "")</f>
        <v/>
      </c>
      <c r="I380" s="16" t="str">
        <f>IF(regexMatch(A380,"cs_.*")," (CS)", (IF(regexMatch(A380,"ig_.*"), " (IG)", "")))</f>
        <v xml:space="preserve"> (IG)</v>
      </c>
      <c r="J380" s="10" t="str">
        <f t="shared" si="11"/>
        <v>Kerry McIntosh (IG)</v>
      </c>
    </row>
    <row r="381" spans="1:10" x14ac:dyDescent="0.25">
      <c r="A381" s="6" t="s">
        <v>257</v>
      </c>
      <c r="B381" s="6" t="str">
        <f t="shared" si="12"/>
        <v>u_m_y_baygor</v>
      </c>
      <c r="C381" s="6" t="s">
        <v>258</v>
      </c>
      <c r="D381" s="7" t="str">
        <f>PROPER(C381)</f>
        <v>Baygor</v>
      </c>
      <c r="E381" s="4" t="s">
        <v>1435</v>
      </c>
      <c r="F381" s="9"/>
      <c r="G381" s="16"/>
      <c r="H381" s="16" t="str">
        <f>IF(regexMatch(A381,".*_([0-9]+$)"), CONCATENATE(" ",VALUE(TRIM(CLEAN(RegexFindGroup(A381,".*_([0-9]*)"))))), "")</f>
        <v/>
      </c>
      <c r="I381" s="16" t="str">
        <f>IF(regexMatch(A381,"cs_.*")," (CS)", (IF(regexMatch(A381,"ig_.*"), " (IG)", "")))</f>
        <v/>
      </c>
      <c r="J381" s="10" t="str">
        <f t="shared" si="11"/>
        <v>Kifflom Guy</v>
      </c>
    </row>
    <row r="382" spans="1:10" x14ac:dyDescent="0.25">
      <c r="A382" s="6" t="s">
        <v>638</v>
      </c>
      <c r="B382" s="6" t="str">
        <f t="shared" si="12"/>
        <v>g_m_m_korboss_01</v>
      </c>
      <c r="C382" s="6" t="s">
        <v>639</v>
      </c>
      <c r="D382" s="7" t="str">
        <f>PROPER(C382)</f>
        <v>Korboss</v>
      </c>
      <c r="E382" s="4" t="s">
        <v>1306</v>
      </c>
      <c r="F382" s="9" t="str">
        <f>IF(regexMatch(A382,"[A-Za-z]*_y_.*")," Young",(IF(regexMatch(A382,"[A-Za-z]*_o_.*")," Old", "")))</f>
        <v/>
      </c>
      <c r="G382" s="16"/>
      <c r="H382" s="16" t="str">
        <f>IF(regexMatch(A382,".*_([0-9]+$)"), CONCATENATE(" ",VALUE(TRIM(CLEAN(RegexFindGroup(A382,".*_([0-9]*)"))))), "")</f>
        <v xml:space="preserve"> 1</v>
      </c>
      <c r="I382" s="16" t="str">
        <f>IF(regexMatch(A382,"cs_.*")," (CS)", (IF(regexMatch(A382,"ig_.*"), " (IG)", "")))</f>
        <v/>
      </c>
      <c r="J382" s="10" t="str">
        <f t="shared" si="11"/>
        <v>Korean Boss</v>
      </c>
    </row>
    <row r="383" spans="1:10" x14ac:dyDescent="0.25">
      <c r="A383" s="6" t="s">
        <v>645</v>
      </c>
      <c r="B383" s="6" t="str">
        <f t="shared" si="12"/>
        <v>a_f_m_ktown_01</v>
      </c>
      <c r="C383" s="6" t="s">
        <v>646</v>
      </c>
      <c r="D383" s="7" t="str">
        <f>PROPER(C383)</f>
        <v>Ktown</v>
      </c>
      <c r="E383" s="4" t="s">
        <v>1179</v>
      </c>
      <c r="F383" s="9" t="str">
        <f>IF(regexMatch(A383,"[A-Za-z]*_y_.*")," Young",(IF(regexMatch(A383,"[A-Za-z]*_o_.*")," Old", "")))</f>
        <v/>
      </c>
      <c r="G383" s="16" t="str">
        <f>IF(regexMatch(A383,"[A-Za-z]*_f_.*")," Female", (IF(regexMatch(A383,"[A-Za-z]*_m_.*"), " Male", "")))</f>
        <v xml:space="preserve"> Female</v>
      </c>
      <c r="H383" s="16" t="str">
        <f>IF(regexMatch(A383,".*_([0-9]+$)"), CONCATENATE(" ",VALUE(TRIM(CLEAN(RegexFindGroup(A383,".*_([0-9]*)"))))), "")</f>
        <v xml:space="preserve"> 1</v>
      </c>
      <c r="I383" s="16" t="str">
        <f>IF(regexMatch(A383,"cs_.*")," (CS)", (IF(regexMatch(A383,"ig_.*"), " (IG)", "")))</f>
        <v/>
      </c>
      <c r="J383" s="10" t="str">
        <f t="shared" si="11"/>
        <v>Korean Female</v>
      </c>
    </row>
    <row r="384" spans="1:10" x14ac:dyDescent="0.25">
      <c r="A384" s="6" t="s">
        <v>647</v>
      </c>
      <c r="B384" s="6" t="str">
        <f t="shared" si="12"/>
        <v>a_f_m_ktown_02</v>
      </c>
      <c r="C384" s="6" t="s">
        <v>646</v>
      </c>
      <c r="D384" s="7" t="str">
        <f>PROPER(C384)</f>
        <v>Ktown</v>
      </c>
      <c r="E384" s="4" t="s">
        <v>1179</v>
      </c>
      <c r="F384" s="9" t="str">
        <f>IF(regexMatch(A384,"[A-Za-z]*_y_.*")," Young",(IF(regexMatch(A384,"[A-Za-z]*_o_.*")," Old", "")))</f>
        <v/>
      </c>
      <c r="G384" s="16" t="str">
        <f>IF(regexMatch(A384,"[A-Za-z]*_f_.*")," Female", (IF(regexMatch(A384,"[A-Za-z]*_m_.*"), " Male", "")))</f>
        <v xml:space="preserve"> Female</v>
      </c>
      <c r="H384" s="16" t="str">
        <f>IF(regexMatch(A384,".*_([0-9]+$)"), CONCATENATE(" ",VALUE(TRIM(CLEAN(RegexFindGroup(A384,".*_([0-9]*)"))))), "")</f>
        <v xml:space="preserve"> 2</v>
      </c>
      <c r="I384" s="16" t="str">
        <f>IF(regexMatch(A384,"cs_.*")," (CS)", (IF(regexMatch(A384,"ig_.*"), " (IG)", "")))</f>
        <v/>
      </c>
      <c r="J384" s="10" t="str">
        <f t="shared" si="11"/>
        <v>Korean Female 2</v>
      </c>
    </row>
    <row r="385" spans="1:10" x14ac:dyDescent="0.25">
      <c r="A385" s="6" t="s">
        <v>643</v>
      </c>
      <c r="B385" s="6" t="str">
        <f t="shared" si="12"/>
        <v>g_m_y_korlieut_01</v>
      </c>
      <c r="C385" s="6" t="s">
        <v>644</v>
      </c>
      <c r="D385" s="7" t="str">
        <f>PROPER(C385)</f>
        <v>Korlieut</v>
      </c>
      <c r="E385" s="4" t="s">
        <v>1307</v>
      </c>
      <c r="F385" s="9"/>
      <c r="G385" s="16"/>
      <c r="H385" s="16" t="str">
        <f>IF(regexMatch(A385,".*_([0-9]+$)"), CONCATENATE(" ",VALUE(TRIM(CLEAN(RegexFindGroup(A385,".*_([0-9]*)"))))), "")</f>
        <v xml:space="preserve"> 1</v>
      </c>
      <c r="I385" s="16" t="str">
        <f>IF(regexMatch(A385,"cs_.*")," (CS)", (IF(regexMatch(A385,"ig_.*"), " (IG)", "")))</f>
        <v/>
      </c>
      <c r="J385" s="10" t="str">
        <f t="shared" si="11"/>
        <v>Korean Lieutenant</v>
      </c>
    </row>
    <row r="386" spans="1:10" x14ac:dyDescent="0.25">
      <c r="A386" s="6" t="s">
        <v>649</v>
      </c>
      <c r="B386" s="6" t="str">
        <f t="shared" si="12"/>
        <v>a_m_m_ktown_01</v>
      </c>
      <c r="C386" s="6" t="s">
        <v>646</v>
      </c>
      <c r="D386" s="7" t="str">
        <f>PROPER(C386)</f>
        <v>Ktown</v>
      </c>
      <c r="E386" s="4" t="s">
        <v>1179</v>
      </c>
      <c r="F386" s="9" t="str">
        <f>IF(regexMatch(A386,"[A-Za-z]*_y_.*")," Young",(IF(regexMatch(A386,"[A-Za-z]*_o_.*")," Old", "")))</f>
        <v/>
      </c>
      <c r="G386" s="16" t="str">
        <f>IF(regexMatch(A386,"[A-Za-z]*_f_.*")," Female", (IF(regexMatch(A386,"[A-Za-z]*_m_.*"), " Male", "")))</f>
        <v xml:space="preserve"> Male</v>
      </c>
      <c r="H386" s="16" t="str">
        <f>IF(regexMatch(A386,".*_([0-9]+$)"), CONCATENATE(" ",VALUE(TRIM(CLEAN(RegexFindGroup(A386,".*_([0-9]*)"))))), "")</f>
        <v xml:space="preserve"> 1</v>
      </c>
      <c r="I386" s="16" t="str">
        <f>IF(regexMatch(A386,"cs_.*")," (CS)", (IF(regexMatch(A386,"ig_.*"), " (IG)", "")))</f>
        <v/>
      </c>
      <c r="J386" s="10" t="str">
        <f t="shared" si="11"/>
        <v>Korean Male</v>
      </c>
    </row>
    <row r="387" spans="1:10" x14ac:dyDescent="0.25">
      <c r="A387" s="6" t="s">
        <v>648</v>
      </c>
      <c r="B387" s="6" t="str">
        <f t="shared" si="12"/>
        <v>a_f_o_ktown_01</v>
      </c>
      <c r="C387" s="6" t="s">
        <v>646</v>
      </c>
      <c r="D387" s="7" t="str">
        <f>PROPER(C387)</f>
        <v>Ktown</v>
      </c>
      <c r="E387" s="4" t="s">
        <v>1179</v>
      </c>
      <c r="F387" s="9" t="str">
        <f>IF(regexMatch(A387,"[A-Za-z]*_y_.*")," Young",(IF(regexMatch(A387,"[A-Za-z]*_o_.*")," Old", "")))</f>
        <v xml:space="preserve"> Old</v>
      </c>
      <c r="G387" s="16" t="str">
        <f>IF(regexMatch(A387,"[A-Za-z]*_f_.*")," Female", (IF(regexMatch(A387,"[A-Za-z]*_m_.*"), " Male", "")))</f>
        <v xml:space="preserve"> Female</v>
      </c>
      <c r="H387" s="16" t="str">
        <f>IF(regexMatch(A387,".*_([0-9]+$)"), CONCATENATE(" ",VALUE(TRIM(CLEAN(RegexFindGroup(A387,".*_([0-9]*)"))))), "")</f>
        <v xml:space="preserve"> 1</v>
      </c>
      <c r="I387" s="16" t="str">
        <f>IF(regexMatch(A387,"cs_.*")," (CS)", (IF(regexMatch(A387,"ig_.*"), " (IG)", "")))</f>
        <v/>
      </c>
      <c r="J387" s="10" t="str">
        <f t="shared" ref="J387:J450" si="13">TRIM(CONCATENATE(E387,F387,G387,IF(H387=" 1","",H387),I387))</f>
        <v>Korean Old Female</v>
      </c>
    </row>
    <row r="388" spans="1:10" x14ac:dyDescent="0.25">
      <c r="A388" s="6" t="s">
        <v>650</v>
      </c>
      <c r="B388" s="6" t="str">
        <f t="shared" ref="B388:B451" si="14">TRIM(A388)</f>
        <v>a_m_o_ktown_01</v>
      </c>
      <c r="C388" s="6" t="s">
        <v>646</v>
      </c>
      <c r="D388" s="7" t="str">
        <f>PROPER(C388)</f>
        <v>Ktown</v>
      </c>
      <c r="E388" s="4" t="s">
        <v>1179</v>
      </c>
      <c r="F388" s="9" t="str">
        <f>IF(regexMatch(A388,"[A-Za-z]*_y_.*")," Young",(IF(regexMatch(A388,"[A-Za-z]*_o_.*")," Old", "")))</f>
        <v xml:space="preserve"> Old</v>
      </c>
      <c r="G388" s="16" t="str">
        <f>IF(regexMatch(A388,"[A-Za-z]*_f_.*")," Female", (IF(regexMatch(A388,"[A-Za-z]*_m_.*"), " Male", "")))</f>
        <v xml:space="preserve"> Male</v>
      </c>
      <c r="H388" s="16" t="str">
        <f>IF(regexMatch(A388,".*_([0-9]+$)"), CONCATENATE(" ",VALUE(TRIM(CLEAN(RegexFindGroup(A388,".*_([0-9]*)"))))), "")</f>
        <v xml:space="preserve"> 1</v>
      </c>
      <c r="I388" s="16" t="str">
        <f>IF(regexMatch(A388,"cs_.*")," (CS)", (IF(regexMatch(A388,"ig_.*"), " (IG)", "")))</f>
        <v/>
      </c>
      <c r="J388" s="10" t="str">
        <f t="shared" si="13"/>
        <v>Korean Old Male</v>
      </c>
    </row>
    <row r="389" spans="1:10" x14ac:dyDescent="0.25">
      <c r="A389" s="6" t="s">
        <v>640</v>
      </c>
      <c r="B389" s="6" t="str">
        <f t="shared" si="14"/>
        <v>g_m_y_korean_01</v>
      </c>
      <c r="C389" s="6" t="s">
        <v>641</v>
      </c>
      <c r="D389" s="7" t="str">
        <f>PROPER(C389)</f>
        <v>Korean</v>
      </c>
      <c r="E389" s="4" t="s">
        <v>1179</v>
      </c>
      <c r="F389" s="9" t="str">
        <f>IF(regexMatch(A389,"[A-Za-z]*_y_.*")," Young",(IF(regexMatch(A389,"[A-Za-z]*_o_.*")," Old", "")))</f>
        <v xml:space="preserve"> Young</v>
      </c>
      <c r="G389" s="16" t="str">
        <f>IF(regexMatch(A389,"[A-Za-z]*_f_.*")," Female", (IF(regexMatch(A389,"[A-Za-z]*_m_.*"), " Male", "")))</f>
        <v xml:space="preserve"> Male</v>
      </c>
      <c r="H389" s="16" t="str">
        <f>IF(regexMatch(A389,".*_([0-9]+$)"), CONCATENATE(" ",VALUE(TRIM(CLEAN(RegexFindGroup(A389,".*_([0-9]*)"))))), "")</f>
        <v xml:space="preserve"> 1</v>
      </c>
      <c r="I389" s="16" t="str">
        <f>IF(regexMatch(A389,"cs_.*")," (CS)", (IF(regexMatch(A389,"ig_.*"), " (IG)", "")))</f>
        <v/>
      </c>
      <c r="J389" s="10" t="str">
        <f t="shared" si="13"/>
        <v>Korean Young Male</v>
      </c>
    </row>
    <row r="390" spans="1:10" x14ac:dyDescent="0.25">
      <c r="A390" s="6" t="s">
        <v>651</v>
      </c>
      <c r="B390" s="6" t="str">
        <f t="shared" si="14"/>
        <v>a_m_y_ktown_01</v>
      </c>
      <c r="C390" s="6" t="s">
        <v>646</v>
      </c>
      <c r="D390" s="7" t="str">
        <f>PROPER(C390)</f>
        <v>Ktown</v>
      </c>
      <c r="E390" s="4" t="s">
        <v>1179</v>
      </c>
      <c r="F390" s="9" t="str">
        <f>IF(regexMatch(A390,"[A-Za-z]*_y_.*")," Young",(IF(regexMatch(A390,"[A-Za-z]*_o_.*")," Old", "")))</f>
        <v xml:space="preserve"> Young</v>
      </c>
      <c r="G390" s="16" t="str">
        <f>IF(regexMatch(A390,"[A-Za-z]*_f_.*")," Female", (IF(regexMatch(A390,"[A-Za-z]*_m_.*"), " Male", "")))</f>
        <v xml:space="preserve"> Male</v>
      </c>
      <c r="H390" s="16" t="str">
        <f>IF(regexMatch(A390,".*_([0-9]+$)"), CONCATENATE(" ",VALUE(TRIM(CLEAN(RegexFindGroup(A390,".*_([0-9]*)"))))), "")</f>
        <v xml:space="preserve"> 1</v>
      </c>
      <c r="I390" s="16" t="str">
        <f>IF(regexMatch(A390,"cs_.*")," (CS)", (IF(regexMatch(A390,"ig_.*"), " (IG)", "")))</f>
        <v/>
      </c>
      <c r="J390" s="10" t="str">
        <f t="shared" si="13"/>
        <v>Korean Young Male</v>
      </c>
    </row>
    <row r="391" spans="1:10" x14ac:dyDescent="0.25">
      <c r="A391" s="6" t="s">
        <v>642</v>
      </c>
      <c r="B391" s="6" t="str">
        <f t="shared" si="14"/>
        <v>g_m_y_korean_02</v>
      </c>
      <c r="C391" s="6" t="s">
        <v>641</v>
      </c>
      <c r="D391" s="7" t="str">
        <f>PROPER(C391)</f>
        <v>Korean</v>
      </c>
      <c r="E391" s="4" t="s">
        <v>1179</v>
      </c>
      <c r="F391" s="9" t="str">
        <f>IF(regexMatch(A391,"[A-Za-z]*_y_.*")," Young",(IF(regexMatch(A391,"[A-Za-z]*_o_.*")," Old", "")))</f>
        <v xml:space="preserve"> Young</v>
      </c>
      <c r="G391" s="16" t="str">
        <f>IF(regexMatch(A391,"[A-Za-z]*_f_.*")," Female", (IF(regexMatch(A391,"[A-Za-z]*_m_.*"), " Male", "")))</f>
        <v xml:space="preserve"> Male</v>
      </c>
      <c r="H391" s="16" t="str">
        <f>IF(regexMatch(A391,".*_([0-9]+$)"), CONCATENATE(" ",VALUE(TRIM(CLEAN(RegexFindGroup(A391,".*_([0-9]*)"))))), "")</f>
        <v xml:space="preserve"> 2</v>
      </c>
      <c r="I391" s="16" t="str">
        <f>IF(regexMatch(A391,"cs_.*")," (CS)", (IF(regexMatch(A391,"ig_.*"), " (IG)", "")))</f>
        <v/>
      </c>
      <c r="J391" s="10" t="str">
        <f t="shared" si="13"/>
        <v>Korean Young Male 2</v>
      </c>
    </row>
    <row r="392" spans="1:10" x14ac:dyDescent="0.25">
      <c r="A392" s="6" t="s">
        <v>67</v>
      </c>
      <c r="B392" s="6" t="str">
        <f t="shared" si="14"/>
        <v xml:space="preserve">	a_m_y_ktown_02</v>
      </c>
      <c r="C392" s="6" t="s">
        <v>66</v>
      </c>
      <c r="D392" s="7" t="str">
        <f>PROPER(C392)</f>
        <v xml:space="preserve">	Ktown</v>
      </c>
      <c r="E392" s="4" t="s">
        <v>1179</v>
      </c>
      <c r="F392" s="9" t="str">
        <f>IF(regexMatch(A392,"[A-Za-z]*_y_.*")," Young",(IF(regexMatch(A392,"[A-Za-z]*_o_.*")," Old", "")))</f>
        <v xml:space="preserve"> Young</v>
      </c>
      <c r="G392" s="16" t="str">
        <f>IF(regexMatch(A392,"[A-Za-z]*_f_.*")," Female", (IF(regexMatch(A392,"[A-Za-z]*_m_.*"), " Male", "")))</f>
        <v xml:space="preserve"> Male</v>
      </c>
      <c r="H392" s="16" t="str">
        <f>IF(regexMatch(A392,".*_([0-9]+$)"), CONCATENATE(" ",VALUE(TRIM(CLEAN(RegexFindGroup(A392,".*_([0-9]*)"))))), "")</f>
        <v xml:space="preserve"> 2</v>
      </c>
      <c r="I392" s="16" t="str">
        <f>IF(regexMatch(A392,"cs_.*")," (CS)", (IF(regexMatch(A392,"ig_.*"), " (IG)", "")))</f>
        <v/>
      </c>
      <c r="J392" s="10" t="str">
        <f t="shared" si="13"/>
        <v>Korean Young Male 2</v>
      </c>
    </row>
    <row r="393" spans="1:10" x14ac:dyDescent="0.25">
      <c r="A393" s="6" t="s">
        <v>652</v>
      </c>
      <c r="B393" s="6" t="str">
        <f t="shared" si="14"/>
        <v>cs_lamardavis</v>
      </c>
      <c r="C393" s="6" t="s">
        <v>653</v>
      </c>
      <c r="D393" s="7" t="str">
        <f>PROPER(C393)</f>
        <v>Lamardavis</v>
      </c>
      <c r="E393" s="4" t="s">
        <v>1309</v>
      </c>
      <c r="F393" s="9" t="str">
        <f>IF(regexMatch(A393,"[A-Za-z]*_y_.*")," Young",(IF(regexMatch(A393,"[A-Za-z]*_o_.*")," Old", "")))</f>
        <v/>
      </c>
      <c r="G393" s="16" t="str">
        <f>IF(regexMatch(A393,"[A-Za-z]*_f_.*")," Female", (IF(regexMatch(A393,"[A-Za-z]*_m_.*"), " Male", "")))</f>
        <v/>
      </c>
      <c r="H393" s="16" t="str">
        <f>IF(regexMatch(A393,".*_([0-9]+$)"), CONCATENATE(" ",VALUE(TRIM(CLEAN(RegexFindGroup(A393,".*_([0-9]*)"))))), "")</f>
        <v/>
      </c>
      <c r="I393" s="16" t="str">
        <f>IF(regexMatch(A393,"cs_.*")," (CS)", (IF(regexMatch(A393,"ig_.*"), " (IG)", "")))</f>
        <v xml:space="preserve"> (CS)</v>
      </c>
      <c r="J393" s="10" t="str">
        <f t="shared" si="13"/>
        <v>Lamar Davis (CS)</v>
      </c>
    </row>
    <row r="394" spans="1:10" x14ac:dyDescent="0.25">
      <c r="A394" s="6" t="s">
        <v>654</v>
      </c>
      <c r="B394" s="6" t="str">
        <f t="shared" si="14"/>
        <v>ig_lamardavis</v>
      </c>
      <c r="C394" s="6" t="s">
        <v>653</v>
      </c>
      <c r="D394" s="7" t="str">
        <f>PROPER(C394)</f>
        <v>Lamardavis</v>
      </c>
      <c r="E394" s="4" t="s">
        <v>1309</v>
      </c>
      <c r="F394" s="9" t="str">
        <f>IF(regexMatch(A394,"[A-Za-z]*_y_.*")," Young",(IF(regexMatch(A394,"[A-Za-z]*_o_.*")," Old", "")))</f>
        <v/>
      </c>
      <c r="G394" s="16" t="str">
        <f>IF(regexMatch(A394,"[A-Za-z]*_f_.*")," Female", (IF(regexMatch(A394,"[A-Za-z]*_m_.*"), " Male", "")))</f>
        <v/>
      </c>
      <c r="H394" s="16" t="str">
        <f>IF(regexMatch(A394,".*_([0-9]+$)"), CONCATENATE(" ",VALUE(TRIM(CLEAN(RegexFindGroup(A394,".*_([0-9]*)"))))), "")</f>
        <v/>
      </c>
      <c r="I394" s="16" t="str">
        <f>IF(regexMatch(A394,"cs_.*")," (CS)", (IF(regexMatch(A394,"ig_.*"), " (IG)", "")))</f>
        <v xml:space="preserve"> (IG)</v>
      </c>
      <c r="J394" s="10" t="str">
        <f t="shared" si="13"/>
        <v>Lamar Davis (IG)</v>
      </c>
    </row>
    <row r="395" spans="1:10" x14ac:dyDescent="0.25">
      <c r="A395" s="6" t="s">
        <v>655</v>
      </c>
      <c r="B395" s="6" t="str">
        <f t="shared" si="14"/>
        <v>s_m_m_lathandy_01</v>
      </c>
      <c r="C395" s="6" t="s">
        <v>656</v>
      </c>
      <c r="D395" s="7" t="str">
        <f>PROPER(C395)</f>
        <v>Lathandy</v>
      </c>
      <c r="E395" s="4" t="s">
        <v>1342</v>
      </c>
      <c r="F395" s="9" t="str">
        <f>IF(regexMatch(A395,"[A-Za-z]*_y_.*")," Young",(IF(regexMatch(A395,"[A-Za-z]*_o_.*")," Old", "")))</f>
        <v/>
      </c>
      <c r="G395" s="16" t="str">
        <f>IF(regexMatch(A395,"[A-Za-z]*_f_.*")," Female", (IF(regexMatch(A395,"[A-Za-z]*_m_.*"), " Male", "")))</f>
        <v xml:space="preserve"> Male</v>
      </c>
      <c r="H395" s="16" t="str">
        <f>IF(regexMatch(A395,".*_([0-9]+$)"), CONCATENATE(" ",VALUE(TRIM(CLEAN(RegexFindGroup(A395,".*_([0-9]*)"))))), "")</f>
        <v xml:space="preserve"> 1</v>
      </c>
      <c r="I395" s="16" t="str">
        <f>IF(regexMatch(A395,"cs_.*")," (CS)", (IF(regexMatch(A395,"ig_.*"), " (IG)", "")))</f>
        <v/>
      </c>
      <c r="J395" s="10" t="str">
        <f t="shared" si="13"/>
        <v>Latino Handyman Male</v>
      </c>
    </row>
    <row r="396" spans="1:10" x14ac:dyDescent="0.25">
      <c r="A396" s="6" t="s">
        <v>974</v>
      </c>
      <c r="B396" s="6" t="str">
        <f t="shared" si="14"/>
        <v>a_m_m_stlat_02</v>
      </c>
      <c r="C396" s="6" t="s">
        <v>975</v>
      </c>
      <c r="D396" s="7" t="str">
        <f>PROPER(C396)</f>
        <v>Stlat</v>
      </c>
      <c r="E396" s="4" t="s">
        <v>1354</v>
      </c>
      <c r="F396" s="9" t="str">
        <f>IF(regexMatch(A396,"[A-Za-z]*_y_.*")," Young",(IF(regexMatch(A396,"[A-Za-z]*_o_.*")," Old", "")))</f>
        <v/>
      </c>
      <c r="G396" s="16" t="str">
        <f>IF(regexMatch(A396,"[A-Za-z]*_f_.*")," Female", (IF(regexMatch(A396,"[A-Za-z]*_m_.*"), " Male", "")))</f>
        <v xml:space="preserve"> Male</v>
      </c>
      <c r="H396" s="16" t="str">
        <f>IF(regexMatch(A396,".*_([0-9]+$)"), CONCATENATE(" ",VALUE(TRIM(CLEAN(RegexFindGroup(A396,".*_([0-9]*)"))))), "")</f>
        <v xml:space="preserve"> 2</v>
      </c>
      <c r="I396" s="16" t="str">
        <f>IF(regexMatch(A396,"cs_.*")," (CS)", (IF(regexMatch(A396,"ig_.*"), " (IG)", "")))</f>
        <v/>
      </c>
      <c r="J396" s="10" t="str">
        <f t="shared" si="13"/>
        <v>Latino Street Male 2</v>
      </c>
    </row>
    <row r="397" spans="1:10" x14ac:dyDescent="0.25">
      <c r="A397" s="6" t="s">
        <v>976</v>
      </c>
      <c r="B397" s="6" t="str">
        <f t="shared" si="14"/>
        <v>a_m_y_stlat_01</v>
      </c>
      <c r="C397" s="6" t="s">
        <v>975</v>
      </c>
      <c r="D397" s="7" t="str">
        <f>PROPER(C397)</f>
        <v>Stlat</v>
      </c>
      <c r="E397" s="4" t="s">
        <v>1354</v>
      </c>
      <c r="F397" s="9" t="str">
        <f>IF(regexMatch(A397,"[A-Za-z]*_y_.*")," Young",(IF(regexMatch(A397,"[A-Za-z]*_o_.*")," Old", "")))</f>
        <v xml:space="preserve"> Young</v>
      </c>
      <c r="G397" s="16" t="str">
        <f>IF(regexMatch(A397,"[A-Za-z]*_f_.*")," Female", (IF(regexMatch(A397,"[A-Za-z]*_m_.*"), " Male", "")))</f>
        <v xml:space="preserve"> Male</v>
      </c>
      <c r="H397" s="16" t="str">
        <f>IF(regexMatch(A397,".*_([0-9]+$)"), CONCATENATE(" ",VALUE(TRIM(CLEAN(RegexFindGroup(A397,".*_([0-9]*)"))))), "")</f>
        <v xml:space="preserve"> 1</v>
      </c>
      <c r="I397" s="16" t="str">
        <f>IF(regexMatch(A397,"cs_.*")," (CS)", (IF(regexMatch(A397,"ig_.*"), " (IG)", "")))</f>
        <v/>
      </c>
      <c r="J397" s="10" t="str">
        <f t="shared" si="13"/>
        <v>Latino Street Young Male</v>
      </c>
    </row>
    <row r="398" spans="1:10" x14ac:dyDescent="0.25">
      <c r="A398" s="6" t="s">
        <v>657</v>
      </c>
      <c r="B398" s="6" t="str">
        <f t="shared" si="14"/>
        <v>a_m_y_latino_01</v>
      </c>
      <c r="C398" s="6" t="s">
        <v>658</v>
      </c>
      <c r="D398" s="7" t="str">
        <f>PROPER(C398)</f>
        <v>Latino</v>
      </c>
      <c r="E398" s="4" t="s">
        <v>1180</v>
      </c>
      <c r="F398" s="9" t="str">
        <f>IF(regexMatch(A398,"[A-Za-z]*_y_.*")," Young",(IF(regexMatch(A398,"[A-Za-z]*_o_.*")," Old", "")))</f>
        <v xml:space="preserve"> Young</v>
      </c>
      <c r="G398" s="16" t="str">
        <f>IF(regexMatch(A398,"[A-Za-z]*_f_.*")," Female", (IF(regexMatch(A398,"[A-Za-z]*_m_.*"), " Male", "")))</f>
        <v xml:space="preserve"> Male</v>
      </c>
      <c r="H398" s="16" t="str">
        <f>IF(regexMatch(A398,".*_([0-9]+$)"), CONCATENATE(" ",VALUE(TRIM(CLEAN(RegexFindGroup(A398,".*_([0-9]*)"))))), "")</f>
        <v xml:space="preserve"> 1</v>
      </c>
      <c r="I398" s="16" t="str">
        <f>IF(regexMatch(A398,"cs_.*")," (CS)", (IF(regexMatch(A398,"ig_.*"), " (IG)", "")))</f>
        <v/>
      </c>
      <c r="J398" s="10" t="str">
        <f t="shared" si="13"/>
        <v>Latino Young Male</v>
      </c>
    </row>
    <row r="399" spans="1:10" x14ac:dyDescent="0.25">
      <c r="A399" s="6" t="s">
        <v>659</v>
      </c>
      <c r="B399" s="6" t="str">
        <f t="shared" si="14"/>
        <v>cs_lazlow</v>
      </c>
      <c r="C399" s="6" t="s">
        <v>660</v>
      </c>
      <c r="D399" s="7" t="str">
        <f>PROPER(C399)</f>
        <v>Lazlow</v>
      </c>
      <c r="E399" s="4" t="s">
        <v>1181</v>
      </c>
      <c r="F399" s="9" t="str">
        <f>IF(regexMatch(A399,"[A-Za-z]*_y_.*")," Young",(IF(regexMatch(A399,"[A-Za-z]*_o_.*")," Old", "")))</f>
        <v/>
      </c>
      <c r="G399" s="16" t="str">
        <f>IF(regexMatch(A399,"[A-Za-z]*_f_.*")," Female", (IF(regexMatch(A399,"[A-Za-z]*_m_.*"), " Male", "")))</f>
        <v/>
      </c>
      <c r="H399" s="16" t="str">
        <f>IF(regexMatch(A399,".*_([0-9]+$)"), CONCATENATE(" ",VALUE(TRIM(CLEAN(RegexFindGroup(A399,".*_([0-9]*)"))))), "")</f>
        <v/>
      </c>
      <c r="I399" s="16" t="str">
        <f>IF(regexMatch(A399,"cs_.*")," (CS)", (IF(regexMatch(A399,"ig_.*"), " (IG)", "")))</f>
        <v xml:space="preserve"> (CS)</v>
      </c>
      <c r="J399" s="10" t="str">
        <f t="shared" si="13"/>
        <v>Lazlow (CS)</v>
      </c>
    </row>
    <row r="400" spans="1:10" x14ac:dyDescent="0.25">
      <c r="A400" s="6" t="s">
        <v>661</v>
      </c>
      <c r="B400" s="6" t="str">
        <f t="shared" si="14"/>
        <v>ig_lazlow</v>
      </c>
      <c r="C400" s="6" t="s">
        <v>660</v>
      </c>
      <c r="D400" s="7" t="str">
        <f>PROPER(C400)</f>
        <v>Lazlow</v>
      </c>
      <c r="E400" s="4" t="s">
        <v>1181</v>
      </c>
      <c r="F400" s="9" t="str">
        <f>IF(regexMatch(A400,"[A-Za-z]*_y_.*")," Young",(IF(regexMatch(A400,"[A-Za-z]*_o_.*")," Old", "")))</f>
        <v/>
      </c>
      <c r="G400" s="16" t="str">
        <f>IF(regexMatch(A400,"[A-Za-z]*_f_.*")," Female", (IF(regexMatch(A400,"[A-Za-z]*_m_.*"), " Male", "")))</f>
        <v/>
      </c>
      <c r="H400" s="16" t="str">
        <f>IF(regexMatch(A400,".*_([0-9]+$)"), CONCATENATE(" ",VALUE(TRIM(CLEAN(RegexFindGroup(A400,".*_([0-9]*)"))))), "")</f>
        <v/>
      </c>
      <c r="I400" s="16" t="str">
        <f>IF(regexMatch(A400,"cs_.*")," (CS)", (IF(regexMatch(A400,"ig_.*"), " (IG)", "")))</f>
        <v xml:space="preserve"> (IG)</v>
      </c>
      <c r="J400" s="10" t="str">
        <f t="shared" si="13"/>
        <v>Lazlow (IG)</v>
      </c>
    </row>
    <row r="401" spans="1:10" x14ac:dyDescent="0.25">
      <c r="A401" s="6" t="s">
        <v>662</v>
      </c>
      <c r="B401" s="6" t="str">
        <f t="shared" si="14"/>
        <v>cs_lestercrest</v>
      </c>
      <c r="C401" s="6" t="s">
        <v>663</v>
      </c>
      <c r="D401" s="7" t="str">
        <f>PROPER(C401)</f>
        <v>Lestercrest</v>
      </c>
      <c r="E401" s="4" t="s">
        <v>1341</v>
      </c>
      <c r="F401" s="9" t="str">
        <f>IF(regexMatch(A401,"[A-Za-z]*_y_.*")," Young",(IF(regexMatch(A401,"[A-Za-z]*_o_.*")," Old", "")))</f>
        <v/>
      </c>
      <c r="G401" s="16" t="str">
        <f>IF(regexMatch(A401,"[A-Za-z]*_f_.*")," Female", (IF(regexMatch(A401,"[A-Za-z]*_m_.*"), " Male", "")))</f>
        <v/>
      </c>
      <c r="H401" s="16" t="str">
        <f>IF(regexMatch(A401,".*_([0-9]+$)"), CONCATENATE(" ",VALUE(TRIM(CLEAN(RegexFindGroup(A401,".*_([0-9]*)"))))), "")</f>
        <v/>
      </c>
      <c r="I401" s="16" t="str">
        <f>IF(regexMatch(A401,"cs_.*")," (CS)", (IF(regexMatch(A401,"ig_.*"), " (IG)", "")))</f>
        <v xml:space="preserve"> (CS)</v>
      </c>
      <c r="J401" s="10" t="str">
        <f t="shared" si="13"/>
        <v>Lester Crest (CS)</v>
      </c>
    </row>
    <row r="402" spans="1:10" x14ac:dyDescent="0.25">
      <c r="A402" s="6" t="s">
        <v>664</v>
      </c>
      <c r="B402" s="6" t="str">
        <f t="shared" si="14"/>
        <v>ig_lestercrest</v>
      </c>
      <c r="C402" s="6" t="s">
        <v>663</v>
      </c>
      <c r="D402" s="7" t="str">
        <f>PROPER(C402)</f>
        <v>Lestercrest</v>
      </c>
      <c r="E402" s="4" t="s">
        <v>1341</v>
      </c>
      <c r="F402" s="9" t="str">
        <f>IF(regexMatch(A402,"[A-Za-z]*_y_.*")," Young",(IF(regexMatch(A402,"[A-Za-z]*_o_.*")," Old", "")))</f>
        <v/>
      </c>
      <c r="G402" s="16" t="str">
        <f>IF(regexMatch(A402,"[A-Za-z]*_f_.*")," Female", (IF(regexMatch(A402,"[A-Za-z]*_m_.*"), " Male", "")))</f>
        <v/>
      </c>
      <c r="H402" s="16" t="str">
        <f>IF(regexMatch(A402,".*_([0-9]+$)"), CONCATENATE(" ",VALUE(TRIM(CLEAN(RegexFindGroup(A402,".*_([0-9]*)"))))), "")</f>
        <v/>
      </c>
      <c r="I402" s="16" t="str">
        <f>IF(regexMatch(A402,"cs_.*")," (CS)", (IF(regexMatch(A402,"ig_.*"), " (IG)", "")))</f>
        <v xml:space="preserve"> (IG)</v>
      </c>
      <c r="J402" s="10" t="str">
        <f t="shared" si="13"/>
        <v>Lester Crest (IG)</v>
      </c>
    </row>
    <row r="403" spans="1:10" x14ac:dyDescent="0.25">
      <c r="A403" s="6" t="s">
        <v>665</v>
      </c>
      <c r="B403" s="6" t="str">
        <f t="shared" si="14"/>
        <v>cs_lifeinvad_01</v>
      </c>
      <c r="C403" s="6" t="s">
        <v>666</v>
      </c>
      <c r="D403" s="7" t="str">
        <f>PROPER(C403)</f>
        <v>Lifeinvad</v>
      </c>
      <c r="E403" s="4" t="s">
        <v>1251</v>
      </c>
      <c r="F403" s="9" t="str">
        <f>IF(regexMatch(A403,"[A-Za-z]*_y_.*")," Young",(IF(regexMatch(A403,"[A-Za-z]*_o_.*")," Old", "")))</f>
        <v/>
      </c>
      <c r="G403" s="16" t="str">
        <f>IF(regexMatch(A403,"[A-Za-z]*_f_.*")," Female", (IF(regexMatch(A403,"[A-Za-z]*_m_.*"), " Male", "")))</f>
        <v/>
      </c>
      <c r="H403" s="16" t="str">
        <f>IF(regexMatch(A403,".*_([0-9]+$)"), CONCATENATE(" ",VALUE(TRIM(CLEAN(RegexFindGroup(A403,".*_([0-9]*)"))))), "")</f>
        <v xml:space="preserve"> 1</v>
      </c>
      <c r="I403" s="16" t="str">
        <f>IF(regexMatch(A403,"cs_.*")," (CS)", (IF(regexMatch(A403,"ig_.*"), " (IG)", "")))</f>
        <v xml:space="preserve"> (CS)</v>
      </c>
      <c r="J403" s="10" t="str">
        <f t="shared" si="13"/>
        <v>Life Invader (CS)</v>
      </c>
    </row>
    <row r="404" spans="1:10" x14ac:dyDescent="0.25">
      <c r="A404" s="6" t="s">
        <v>69</v>
      </c>
      <c r="B404" s="6" t="str">
        <f t="shared" si="14"/>
        <v xml:space="preserve">	ig_lifeinvad_01</v>
      </c>
      <c r="C404" s="6" t="s">
        <v>68</v>
      </c>
      <c r="D404" s="7" t="str">
        <f>PROPER(C404)</f>
        <v xml:space="preserve">	Lifeinvad</v>
      </c>
      <c r="E404" s="4" t="s">
        <v>1251</v>
      </c>
      <c r="F404" s="9" t="str">
        <f>IF(regexMatch(A404,"[A-Za-z]*_y_.*")," Young",(IF(regexMatch(A404,"[A-Za-z]*_o_.*")," Old", "")))</f>
        <v/>
      </c>
      <c r="G404" s="16" t="str">
        <f>IF(regexMatch(A404,"[A-Za-z]*_f_.*")," Female", (IF(regexMatch(A404,"[A-Za-z]*_m_.*"), " Male", "")))</f>
        <v/>
      </c>
      <c r="H404" s="16" t="str">
        <f>IF(regexMatch(A404,".*_([0-9]+$)"), CONCATENATE(" ",VALUE(TRIM(CLEAN(RegexFindGroup(A404,".*_([0-9]*)"))))), "")</f>
        <v xml:space="preserve"> 1</v>
      </c>
      <c r="I404" s="16" t="str">
        <f>IF(regexMatch(A404,"cs_.*")," (CS)", (IF(regexMatch(A404,"ig_.*"), " (IG)", "")))</f>
        <v xml:space="preserve"> (IG)</v>
      </c>
      <c r="J404" s="10" t="str">
        <f t="shared" si="13"/>
        <v>Life Invader (IG)</v>
      </c>
    </row>
    <row r="405" spans="1:10" x14ac:dyDescent="0.25">
      <c r="A405" s="6" t="s">
        <v>667</v>
      </c>
      <c r="B405" s="6" t="str">
        <f t="shared" si="14"/>
        <v>ig_lifeinvad_02</v>
      </c>
      <c r="C405" s="6" t="s">
        <v>666</v>
      </c>
      <c r="D405" s="7" t="str">
        <f>PROPER(C405)</f>
        <v>Lifeinvad</v>
      </c>
      <c r="E405" s="4" t="s">
        <v>1251</v>
      </c>
      <c r="F405" s="9" t="str">
        <f>IF(regexMatch(A405,"[A-Za-z]*_y_.*")," Young",(IF(regexMatch(A405,"[A-Za-z]*_o_.*")," Old", "")))</f>
        <v/>
      </c>
      <c r="G405" s="16" t="str">
        <f>IF(regexMatch(A405,"[A-Za-z]*_f_.*")," Female", (IF(regexMatch(A405,"[A-Za-z]*_m_.*"), " Male", "")))</f>
        <v/>
      </c>
      <c r="H405" s="16" t="str">
        <f>IF(regexMatch(A405,".*_([0-9]+$)"), CONCATENATE(" ",VALUE(TRIM(CLEAN(RegexFindGroup(A405,".*_([0-9]*)"))))), "")</f>
        <v xml:space="preserve"> 2</v>
      </c>
      <c r="I405" s="16" t="str">
        <f>IF(regexMatch(A405,"cs_.*")," (CS)", (IF(regexMatch(A405,"ig_.*"), " (IG)", "")))</f>
        <v xml:space="preserve"> (IG)</v>
      </c>
      <c r="J405" s="10" t="str">
        <f t="shared" si="13"/>
        <v>Life Invader 2 (IG)</v>
      </c>
    </row>
    <row r="406" spans="1:10" x14ac:dyDescent="0.25">
      <c r="A406" s="6" t="s">
        <v>668</v>
      </c>
      <c r="B406" s="6" t="str">
        <f t="shared" si="14"/>
        <v>s_m_m_lifeinvad_01</v>
      </c>
      <c r="C406" s="6" t="s">
        <v>666</v>
      </c>
      <c r="D406" s="7" t="str">
        <f>PROPER(C406)</f>
        <v>Lifeinvad</v>
      </c>
      <c r="E406" s="4" t="s">
        <v>1251</v>
      </c>
      <c r="F406" s="9" t="str">
        <f>IF(regexMatch(A406,"[A-Za-z]*_y_.*")," Young",(IF(regexMatch(A406,"[A-Za-z]*_o_.*")," Old", "")))</f>
        <v/>
      </c>
      <c r="G406" s="16" t="str">
        <f>IF(regexMatch(A406,"[A-Za-z]*_f_.*")," Female", (IF(regexMatch(A406,"[A-Za-z]*_m_.*"), " Male", "")))</f>
        <v xml:space="preserve"> Male</v>
      </c>
      <c r="H406" s="16" t="str">
        <f>IF(regexMatch(A406,".*_([0-9]+$)"), CONCATENATE(" ",VALUE(TRIM(CLEAN(RegexFindGroup(A406,".*_([0-9]*)"))))), "")</f>
        <v xml:space="preserve"> 1</v>
      </c>
      <c r="I406" s="16" t="str">
        <f>IF(regexMatch(A406,"cs_.*")," (CS)", (IF(regexMatch(A406,"ig_.*"), " (IG)", "")))</f>
        <v/>
      </c>
      <c r="J406" s="10" t="str">
        <f t="shared" si="13"/>
        <v>Life Invader Male</v>
      </c>
    </row>
    <row r="407" spans="1:10" x14ac:dyDescent="0.25">
      <c r="A407" s="6" t="s">
        <v>669</v>
      </c>
      <c r="B407" s="6" t="str">
        <f t="shared" si="14"/>
        <v>s_m_m_linecook</v>
      </c>
      <c r="C407" s="6" t="s">
        <v>670</v>
      </c>
      <c r="D407" s="7" t="str">
        <f>PROPER(C407)</f>
        <v>Linecook</v>
      </c>
      <c r="E407" s="4" t="s">
        <v>1403</v>
      </c>
      <c r="F407" s="9" t="str">
        <f>IF(regexMatch(A407,"[A-Za-z]*_y_.*")," Young",(IF(regexMatch(A407,"[A-Za-z]*_o_.*")," Old", "")))</f>
        <v/>
      </c>
      <c r="G407" s="16"/>
      <c r="H407" s="16" t="str">
        <f>IF(regexMatch(A407,".*_([0-9]+$)"), CONCATENATE(" ",VALUE(TRIM(CLEAN(RegexFindGroup(A407,".*_([0-9]*)"))))), "")</f>
        <v/>
      </c>
      <c r="I407" s="16" t="str">
        <f>IF(regexMatch(A407,"cs_.*")," (CS)", (IF(regexMatch(A407,"ig_.*"), " (IG)", "")))</f>
        <v/>
      </c>
      <c r="J407" s="10" t="str">
        <f t="shared" si="13"/>
        <v>Line Cook</v>
      </c>
    </row>
    <row r="408" spans="1:10" x14ac:dyDescent="0.25">
      <c r="A408" s="6" t="s">
        <v>1084</v>
      </c>
      <c r="B408" s="6" t="str">
        <f t="shared" si="14"/>
        <v>u_m_m_willyfist</v>
      </c>
      <c r="C408" s="6" t="s">
        <v>1085</v>
      </c>
      <c r="D408" s="7" t="str">
        <f>PROPER(C408)</f>
        <v>Willyfist</v>
      </c>
      <c r="E408" s="4" t="s">
        <v>1274</v>
      </c>
      <c r="F408" s="9" t="str">
        <f>IF(regexMatch(A408,"[A-Za-z]*_y_.*")," Young",(IF(regexMatch(A408,"[A-Za-z]*_o_.*")," Old", "")))</f>
        <v/>
      </c>
      <c r="G408" s="16"/>
      <c r="H408" s="16" t="str">
        <f>IF(regexMatch(A408,".*_([0-9]+$)"), CONCATENATE(" ",VALUE(TRIM(CLEAN(RegexFindGroup(A408,".*_([0-9]*)"))))), "")</f>
        <v/>
      </c>
      <c r="I408" s="16" t="str">
        <f>IF(regexMatch(A408,"cs_.*")," (CS)", (IF(regexMatch(A408,"ig_.*"), " (IG)", "")))</f>
        <v/>
      </c>
      <c r="J408" s="10" t="str">
        <f t="shared" si="13"/>
        <v>Love Fist Willy</v>
      </c>
    </row>
    <row r="409" spans="1:10" x14ac:dyDescent="0.25">
      <c r="A409" s="6" t="s">
        <v>675</v>
      </c>
      <c r="B409" s="6" t="str">
        <f t="shared" si="14"/>
        <v>s_m_m_lsmetro_01</v>
      </c>
      <c r="C409" s="6" t="s">
        <v>676</v>
      </c>
      <c r="D409" s="7" t="str">
        <f>PROPER(C409)</f>
        <v>Lsmetro</v>
      </c>
      <c r="E409" s="4" t="s">
        <v>1402</v>
      </c>
      <c r="F409" s="9" t="str">
        <f>IF(regexMatch(A409,"[A-Za-z]*_y_.*")," Young",(IF(regexMatch(A409,"[A-Za-z]*_o_.*")," Old", "")))</f>
        <v/>
      </c>
      <c r="G409" s="16" t="str">
        <f>IF(regexMatch(A409,"[A-Za-z]*_f_.*")," Female", (IF(regexMatch(A409,"[A-Za-z]*_m_.*"), " Male", "")))</f>
        <v xml:space="preserve"> Male</v>
      </c>
      <c r="H409" s="16" t="str">
        <f>IF(regexMatch(A409,".*_([0-9]+$)"), CONCATENATE(" ",VALUE(TRIM(CLEAN(RegexFindGroup(A409,".*_([0-9]*)"))))), "")</f>
        <v xml:space="preserve"> 1</v>
      </c>
      <c r="I409" s="16" t="str">
        <f>IF(regexMatch(A409,"cs_.*")," (CS)", (IF(regexMatch(A409,"ig_.*"), " (IG)", "")))</f>
        <v/>
      </c>
      <c r="J409" s="10" t="str">
        <f t="shared" si="13"/>
        <v>LS Metro Worker Male</v>
      </c>
    </row>
    <row r="410" spans="1:10" x14ac:dyDescent="0.25">
      <c r="A410" s="6" t="s">
        <v>73</v>
      </c>
      <c r="B410" s="6" t="str">
        <f t="shared" si="14"/>
        <v xml:space="preserve">	cs_magenta</v>
      </c>
      <c r="C410" s="6" t="s">
        <v>72</v>
      </c>
      <c r="D410" s="7" t="str">
        <f>PROPER(C410)</f>
        <v xml:space="preserve">	Magenta</v>
      </c>
      <c r="E410" s="4" t="s">
        <v>1182</v>
      </c>
      <c r="F410" s="9" t="str">
        <f>IF(regexMatch(A410,"[A-Za-z]*_y_.*")," Young",(IF(regexMatch(A410,"[A-Za-z]*_o_.*")," Old", "")))</f>
        <v/>
      </c>
      <c r="G410" s="16" t="str">
        <f>IF(regexMatch(A410,"[A-Za-z]*_f_.*")," Female", (IF(regexMatch(A410,"[A-Za-z]*_m_.*"), " Male", "")))</f>
        <v/>
      </c>
      <c r="H410" s="16" t="str">
        <f>IF(regexMatch(A410,".*_([0-9]+$)"), CONCATENATE(" ",VALUE(TRIM(CLEAN(RegexFindGroup(A410,".*_([0-9]*)"))))), "")</f>
        <v/>
      </c>
      <c r="I410" s="16" t="str">
        <f>IF(regexMatch(A410,"cs_.*")," (CS)", (IF(regexMatch(A410,"ig_.*"), " (IG)", "")))</f>
        <v xml:space="preserve"> (CS)</v>
      </c>
      <c r="J410" s="10" t="str">
        <f t="shared" si="13"/>
        <v>Magenta (CS)</v>
      </c>
    </row>
    <row r="411" spans="1:10" x14ac:dyDescent="0.25">
      <c r="A411" s="6" t="s">
        <v>677</v>
      </c>
      <c r="B411" s="6" t="str">
        <f t="shared" si="14"/>
        <v>ig_magenta</v>
      </c>
      <c r="C411" s="6" t="s">
        <v>678</v>
      </c>
      <c r="D411" s="7" t="str">
        <f>PROPER(C411)</f>
        <v>Magenta</v>
      </c>
      <c r="E411" s="4" t="s">
        <v>1182</v>
      </c>
      <c r="F411" s="9" t="str">
        <f>IF(regexMatch(A411,"[A-Za-z]*_y_.*")," Young",(IF(regexMatch(A411,"[A-Za-z]*_o_.*")," Old", "")))</f>
        <v/>
      </c>
      <c r="G411" s="16" t="str">
        <f>IF(regexMatch(A411,"[A-Za-z]*_f_.*")," Female", (IF(regexMatch(A411,"[A-Za-z]*_m_.*"), " Male", "")))</f>
        <v/>
      </c>
      <c r="H411" s="16" t="str">
        <f>IF(regexMatch(A411,".*_([0-9]+$)"), CONCATENATE(" ",VALUE(TRIM(CLEAN(RegexFindGroup(A411,".*_([0-9]*)"))))), "")</f>
        <v/>
      </c>
      <c r="I411" s="16" t="str">
        <f>IF(regexMatch(A411,"cs_.*")," (CS)", (IF(regexMatch(A411,"ig_.*"), " (IG)", "")))</f>
        <v xml:space="preserve"> (IG)</v>
      </c>
      <c r="J411" s="10" t="str">
        <f t="shared" si="13"/>
        <v>Magenta (IG)</v>
      </c>
    </row>
    <row r="412" spans="1:10" x14ac:dyDescent="0.25">
      <c r="A412" s="6" t="s">
        <v>679</v>
      </c>
      <c r="B412" s="6" t="str">
        <f t="shared" si="14"/>
        <v>s_f_m_maid_01</v>
      </c>
      <c r="C412" s="6" t="s">
        <v>680</v>
      </c>
      <c r="D412" s="7" t="str">
        <f>PROPER(C412)</f>
        <v>Maid</v>
      </c>
      <c r="E412" s="4" t="s">
        <v>1183</v>
      </c>
      <c r="F412" s="9" t="str">
        <f>IF(regexMatch(A412,"[A-Za-z]*_y_.*")," Young",(IF(regexMatch(A412,"[A-Za-z]*_o_.*")," Old", "")))</f>
        <v/>
      </c>
      <c r="G412" s="16"/>
      <c r="H412" s="16" t="str">
        <f>IF(regexMatch(A412,".*_([0-9]+$)"), CONCATENATE(" ",VALUE(TRIM(CLEAN(RegexFindGroup(A412,".*_([0-9]*)"))))), "")</f>
        <v xml:space="preserve"> 1</v>
      </c>
      <c r="I412" s="16" t="str">
        <f>IF(regexMatch(A412,"cs_.*")," (CS)", (IF(regexMatch(A412,"ig_.*"), " (IG)", "")))</f>
        <v/>
      </c>
      <c r="J412" s="10" t="str">
        <f t="shared" si="13"/>
        <v>Maid</v>
      </c>
    </row>
    <row r="413" spans="1:10" x14ac:dyDescent="0.25">
      <c r="A413" s="6" t="s">
        <v>681</v>
      </c>
      <c r="B413" s="6" t="str">
        <f t="shared" si="14"/>
        <v>a_m_m_malibu_01</v>
      </c>
      <c r="C413" s="6" t="s">
        <v>682</v>
      </c>
      <c r="D413" s="7" t="str">
        <f>PROPER(C413)</f>
        <v>Malibu</v>
      </c>
      <c r="E413" s="4" t="s">
        <v>1184</v>
      </c>
      <c r="F413" s="9" t="str">
        <f>IF(regexMatch(A413,"[A-Za-z]*_y_.*")," Young",(IF(regexMatch(A413,"[A-Za-z]*_o_.*")," Old", "")))</f>
        <v/>
      </c>
      <c r="G413" s="16" t="str">
        <f>IF(regexMatch(A413,"[A-Za-z]*_f_.*")," Female", (IF(regexMatch(A413,"[A-Za-z]*_m_.*"), " Male", "")))</f>
        <v xml:space="preserve"> Male</v>
      </c>
      <c r="H413" s="16" t="str">
        <f>IF(regexMatch(A413,".*_([0-9]+$)"), CONCATENATE(" ",VALUE(TRIM(CLEAN(RegexFindGroup(A413,".*_([0-9]*)"))))), "")</f>
        <v xml:space="preserve"> 1</v>
      </c>
      <c r="I413" s="16" t="str">
        <f>IF(regexMatch(A413,"cs_.*")," (CS)", (IF(regexMatch(A413,"ig_.*"), " (IG)", "")))</f>
        <v/>
      </c>
      <c r="J413" s="10" t="str">
        <f t="shared" si="13"/>
        <v>Malibu Male</v>
      </c>
    </row>
    <row r="414" spans="1:10" x14ac:dyDescent="0.25">
      <c r="A414" s="6" t="s">
        <v>683</v>
      </c>
      <c r="B414" s="6" t="str">
        <f t="shared" si="14"/>
        <v>u_m_y_mani</v>
      </c>
      <c r="C414" s="6" t="s">
        <v>684</v>
      </c>
      <c r="D414" s="7" t="str">
        <f>PROPER(C414)</f>
        <v>Mani</v>
      </c>
      <c r="E414" s="4" t="s">
        <v>1185</v>
      </c>
      <c r="F414" s="9"/>
      <c r="G414" s="16"/>
      <c r="H414" s="16" t="str">
        <f>IF(regexMatch(A414,".*_([0-9]+$)"), CONCATENATE(" ",VALUE(TRIM(CLEAN(RegexFindGroup(A414,".*_([0-9]*)"))))), "")</f>
        <v/>
      </c>
      <c r="I414" s="16" t="str">
        <f>IF(regexMatch(A414,"cs_.*")," (CS)", (IF(regexMatch(A414,"ig_.*"), " (IG)", "")))</f>
        <v/>
      </c>
      <c r="J414" s="10" t="str">
        <f t="shared" si="13"/>
        <v>Mani</v>
      </c>
    </row>
    <row r="415" spans="1:10" x14ac:dyDescent="0.25">
      <c r="A415" s="6" t="s">
        <v>685</v>
      </c>
      <c r="B415" s="6" t="str">
        <f t="shared" si="14"/>
        <v>cs_manuel</v>
      </c>
      <c r="C415" s="6" t="s">
        <v>686</v>
      </c>
      <c r="D415" s="7" t="str">
        <f>PROPER(C415)</f>
        <v>Manuel</v>
      </c>
      <c r="E415" s="4" t="s">
        <v>1186</v>
      </c>
      <c r="F415" s="9" t="str">
        <f>IF(regexMatch(A415,"[A-Za-z]*_y_.*")," Young",(IF(regexMatch(A415,"[A-Za-z]*_o_.*")," Old", "")))</f>
        <v/>
      </c>
      <c r="G415" s="16" t="str">
        <f>IF(regexMatch(A415,"[A-Za-z]*_f_.*")," Female", (IF(regexMatch(A415,"[A-Za-z]*_m_.*"), " Male", "")))</f>
        <v/>
      </c>
      <c r="H415" s="16" t="str">
        <f>IF(regexMatch(A415,".*_([0-9]+$)"), CONCATENATE(" ",VALUE(TRIM(CLEAN(RegexFindGroup(A415,".*_([0-9]*)"))))), "")</f>
        <v/>
      </c>
      <c r="I415" s="16" t="str">
        <f>IF(regexMatch(A415,"cs_.*")," (CS)", (IF(regexMatch(A415,"ig_.*"), " (IG)", "")))</f>
        <v xml:space="preserve"> (CS)</v>
      </c>
      <c r="J415" s="10" t="str">
        <f t="shared" si="13"/>
        <v>Manuel (CS)</v>
      </c>
    </row>
    <row r="416" spans="1:10" x14ac:dyDescent="0.25">
      <c r="A416" s="6" t="s">
        <v>687</v>
      </c>
      <c r="B416" s="6" t="str">
        <f t="shared" si="14"/>
        <v>ig_manuel</v>
      </c>
      <c r="C416" s="6" t="s">
        <v>686</v>
      </c>
      <c r="D416" s="7" t="str">
        <f>PROPER(C416)</f>
        <v>Manuel</v>
      </c>
      <c r="E416" s="4" t="s">
        <v>1186</v>
      </c>
      <c r="F416" s="9" t="str">
        <f>IF(regexMatch(A416,"[A-Za-z]*_y_.*")," Young",(IF(regexMatch(A416,"[A-Za-z]*_o_.*")," Old", "")))</f>
        <v/>
      </c>
      <c r="G416" s="16" t="str">
        <f>IF(regexMatch(A416,"[A-Za-z]*_f_.*")," Female", (IF(regexMatch(A416,"[A-Za-z]*_m_.*"), " Male", "")))</f>
        <v/>
      </c>
      <c r="H416" s="16" t="str">
        <f>IF(regexMatch(A416,".*_([0-9]+$)"), CONCATENATE(" ",VALUE(TRIM(CLEAN(RegexFindGroup(A416,".*_([0-9]*)"))))), "")</f>
        <v/>
      </c>
      <c r="I416" s="16" t="str">
        <f>IF(regexMatch(A416,"cs_.*")," (CS)", (IF(regexMatch(A416,"ig_.*"), " (IG)", "")))</f>
        <v xml:space="preserve"> (IG)</v>
      </c>
      <c r="J416" s="10" t="str">
        <f t="shared" si="13"/>
        <v>Manuel (IG)</v>
      </c>
    </row>
    <row r="417" spans="1:10" x14ac:dyDescent="0.25">
      <c r="A417" s="6" t="s">
        <v>688</v>
      </c>
      <c r="B417" s="6" t="str">
        <f t="shared" si="14"/>
        <v>s_m_m_mariachi_01</v>
      </c>
      <c r="C417" s="6" t="s">
        <v>689</v>
      </c>
      <c r="D417" s="7" t="str">
        <f>PROPER(C417)</f>
        <v>Mariachi</v>
      </c>
      <c r="E417" s="4" t="s">
        <v>1187</v>
      </c>
      <c r="F417" s="9" t="str">
        <f>IF(regexMatch(A417,"[A-Za-z]*_y_.*")," Young",(IF(regexMatch(A417,"[A-Za-z]*_o_.*")," Old", "")))</f>
        <v/>
      </c>
      <c r="G417" s="16"/>
      <c r="H417" s="16" t="str">
        <f>IF(regexMatch(A417,".*_([0-9]+$)"), CONCATENATE(" ",VALUE(TRIM(CLEAN(RegexFindGroup(A417,".*_([0-9]*)"))))), "")</f>
        <v xml:space="preserve"> 1</v>
      </c>
      <c r="I417" s="16" t="str">
        <f>IF(regexMatch(A417,"cs_.*")," (CS)", (IF(regexMatch(A417,"ig_.*"), " (IG)", "")))</f>
        <v/>
      </c>
      <c r="J417" s="10" t="str">
        <f t="shared" si="13"/>
        <v>Mariachi</v>
      </c>
    </row>
    <row r="418" spans="1:10" x14ac:dyDescent="0.25">
      <c r="A418" s="6" t="s">
        <v>75</v>
      </c>
      <c r="B418" s="6" t="str">
        <f t="shared" si="14"/>
        <v xml:space="preserve">	csb_ramp_marine</v>
      </c>
      <c r="C418" s="6" t="s">
        <v>74</v>
      </c>
      <c r="D418" s="7" t="str">
        <f>PROPER(C418)</f>
        <v xml:space="preserve">	Marine</v>
      </c>
      <c r="E418" s="4" t="s">
        <v>1188</v>
      </c>
      <c r="F418" s="9" t="str">
        <f>IF(regexMatch(A418,"[A-Za-z]*_y_.*")," Young",(IF(regexMatch(A418,"[A-Za-z]*_o_.*")," Old", "")))</f>
        <v/>
      </c>
      <c r="G418" s="16" t="str">
        <f>IF(regexMatch(A418,"[A-Za-z]*_f_.*")," Female", (IF(regexMatch(A418,"[A-Za-z]*_m_.*"), " Male", "")))</f>
        <v/>
      </c>
      <c r="H418" s="16" t="str">
        <f>IF(regexMatch(A418,".*_([0-9]+$)"), CONCATENATE(" ",VALUE(TRIM(CLEAN(RegexFindGroup(A418,".*_([0-9]*)"))))), "")</f>
        <v/>
      </c>
      <c r="I418" s="16" t="str">
        <f>IF(regexMatch(A418,"cs_.*")," (CS)", (IF(regexMatch(A418,"ig_.*"), " (IG)", "")))</f>
        <v/>
      </c>
      <c r="J418" s="10" t="str">
        <f t="shared" si="13"/>
        <v>Marine</v>
      </c>
    </row>
    <row r="419" spans="1:10" x14ac:dyDescent="0.25">
      <c r="A419" s="6" t="s">
        <v>690</v>
      </c>
      <c r="B419" s="6" t="str">
        <f t="shared" si="14"/>
        <v>s_m_m_marine_01</v>
      </c>
      <c r="C419" s="6" t="s">
        <v>691</v>
      </c>
      <c r="D419" s="7" t="str">
        <f>PROPER(C419)</f>
        <v>Marine</v>
      </c>
      <c r="E419" s="4" t="s">
        <v>1188</v>
      </c>
      <c r="F419" s="9"/>
      <c r="G419" s="16"/>
      <c r="H419" s="16" t="str">
        <f>IF(regexMatch(A419,".*_([0-9]+$)"), CONCATENATE(" ",VALUE(TRIM(CLEAN(RegexFindGroup(A419,".*_([0-9]*)"))))), "")</f>
        <v xml:space="preserve"> 1</v>
      </c>
      <c r="I419" s="16" t="str">
        <f>IF(regexMatch(A419,"cs_.*")," (CS)", (IF(regexMatch(A419,"ig_.*"), " (IG)", "")))</f>
        <v/>
      </c>
      <c r="J419" s="10" t="str">
        <f t="shared" si="13"/>
        <v>Marine</v>
      </c>
    </row>
    <row r="420" spans="1:10" x14ac:dyDescent="0.25">
      <c r="A420" s="6" t="s">
        <v>76</v>
      </c>
      <c r="B420" s="6" t="str">
        <f t="shared" si="14"/>
        <v xml:space="preserve">	s_m_m_marine_02</v>
      </c>
      <c r="C420" s="6" t="s">
        <v>74</v>
      </c>
      <c r="D420" s="7" t="str">
        <f>PROPER(C420)</f>
        <v xml:space="preserve">	Marine</v>
      </c>
      <c r="E420" s="4" t="s">
        <v>1188</v>
      </c>
      <c r="F420" s="9"/>
      <c r="G420" s="16"/>
      <c r="H420" s="16" t="str">
        <f>IF(regexMatch(A420,".*_([0-9]+$)"), CONCATENATE(" ",VALUE(TRIM(CLEAN(RegexFindGroup(A420,".*_([0-9]*)"))))), "")</f>
        <v xml:space="preserve"> 2</v>
      </c>
      <c r="I420" s="16" t="str">
        <f>IF(regexMatch(A420,"cs_.*")," (CS)", (IF(regexMatch(A420,"ig_.*"), " (IG)", "")))</f>
        <v/>
      </c>
      <c r="J420" s="10" t="str">
        <f t="shared" si="13"/>
        <v>Marine 2</v>
      </c>
    </row>
    <row r="421" spans="1:10" x14ac:dyDescent="0.25">
      <c r="A421" s="6" t="s">
        <v>692</v>
      </c>
      <c r="B421" s="6" t="str">
        <f t="shared" si="14"/>
        <v>s_m_y_marine_01</v>
      </c>
      <c r="C421" s="6" t="s">
        <v>691</v>
      </c>
      <c r="D421" s="7" t="str">
        <f>PROPER(C421)</f>
        <v>Marine</v>
      </c>
      <c r="E421" s="4" t="s">
        <v>1188</v>
      </c>
      <c r="F421" s="9" t="str">
        <f>IF(regexMatch(A421,"[A-Za-z]*_y_.*")," Young",(IF(regexMatch(A421,"[A-Za-z]*_o_.*")," Old", "")))</f>
        <v xml:space="preserve"> Young</v>
      </c>
      <c r="G421" s="16"/>
      <c r="H421" s="16" t="str">
        <f>IF(regexMatch(A421,".*_([0-9]+$)"), CONCATENATE(" ",VALUE(TRIM(CLEAN(RegexFindGroup(A421,".*_([0-9]*)"))))), "")</f>
        <v xml:space="preserve"> 1</v>
      </c>
      <c r="I421" s="16" t="str">
        <f>IF(regexMatch(A421,"cs_.*")," (CS)", (IF(regexMatch(A421,"ig_.*"), " (IG)", "")))</f>
        <v/>
      </c>
      <c r="J421" s="10" t="str">
        <f t="shared" si="13"/>
        <v>Marine Young</v>
      </c>
    </row>
    <row r="422" spans="1:10" x14ac:dyDescent="0.25">
      <c r="A422" s="6" t="s">
        <v>693</v>
      </c>
      <c r="B422" s="6" t="str">
        <f t="shared" si="14"/>
        <v>s_m_y_marine_02</v>
      </c>
      <c r="C422" s="6" t="s">
        <v>691</v>
      </c>
      <c r="D422" s="7" t="str">
        <f>PROPER(C422)</f>
        <v>Marine</v>
      </c>
      <c r="E422" s="4" t="s">
        <v>1188</v>
      </c>
      <c r="F422" s="9" t="str">
        <f>IF(regexMatch(A422,"[A-Za-z]*_y_.*")," Young",(IF(regexMatch(A422,"[A-Za-z]*_o_.*")," Old", "")))</f>
        <v xml:space="preserve"> Young</v>
      </c>
      <c r="G422" s="16"/>
      <c r="H422" s="16" t="str">
        <f>IF(regexMatch(A422,".*_([0-9]+$)"), CONCATENATE(" ",VALUE(TRIM(CLEAN(RegexFindGroup(A422,".*_([0-9]*)"))))), "")</f>
        <v xml:space="preserve"> 2</v>
      </c>
      <c r="I422" s="16" t="str">
        <f>IF(regexMatch(A422,"cs_.*")," (CS)", (IF(regexMatch(A422,"ig_.*"), " (IG)", "")))</f>
        <v/>
      </c>
      <c r="J422" s="10" t="str">
        <f t="shared" si="13"/>
        <v>Marine Young 2</v>
      </c>
    </row>
    <row r="423" spans="1:10" x14ac:dyDescent="0.25">
      <c r="A423" s="6" t="s">
        <v>694</v>
      </c>
      <c r="B423" s="6" t="str">
        <f t="shared" si="14"/>
        <v>s_m_y_marine_03</v>
      </c>
      <c r="C423" s="6" t="s">
        <v>691</v>
      </c>
      <c r="D423" s="7" t="str">
        <f>PROPER(C423)</f>
        <v>Marine</v>
      </c>
      <c r="E423" s="4" t="s">
        <v>1188</v>
      </c>
      <c r="F423" s="9" t="str">
        <f>IF(regexMatch(A423,"[A-Za-z]*_y_.*")," Young",(IF(regexMatch(A423,"[A-Za-z]*_o_.*")," Old", "")))</f>
        <v xml:space="preserve"> Young</v>
      </c>
      <c r="G423" s="16"/>
      <c r="H423" s="16" t="str">
        <f>IF(regexMatch(A423,".*_([0-9]+$)"), CONCATENATE(" ",VALUE(TRIM(CLEAN(RegexFindGroup(A423,".*_([0-9]*)"))))), "")</f>
        <v xml:space="preserve"> 3</v>
      </c>
      <c r="I423" s="16" t="str">
        <f>IF(regexMatch(A423,"cs_.*")," (CS)", (IF(regexMatch(A423,"ig_.*"), " (IG)", "")))</f>
        <v/>
      </c>
      <c r="J423" s="10" t="str">
        <f t="shared" si="13"/>
        <v>Marine Young 3</v>
      </c>
    </row>
    <row r="424" spans="1:10" x14ac:dyDescent="0.25">
      <c r="A424" s="6" t="s">
        <v>695</v>
      </c>
      <c r="B424" s="6" t="str">
        <f t="shared" si="14"/>
        <v>u_m_m_markfost</v>
      </c>
      <c r="C424" s="6" t="s">
        <v>696</v>
      </c>
      <c r="D424" s="7" t="str">
        <f>PROPER(C424)</f>
        <v>Markfost</v>
      </c>
      <c r="E424" s="4" t="s">
        <v>1310</v>
      </c>
      <c r="F424" s="9" t="str">
        <f>IF(regexMatch(A424,"[A-Za-z]*_y_.*")," Young",(IF(regexMatch(A424,"[A-Za-z]*_o_.*")," Old", "")))</f>
        <v/>
      </c>
      <c r="G424" s="16"/>
      <c r="H424" s="16" t="str">
        <f>IF(regexMatch(A424,".*_([0-9]+$)"), CONCATENATE(" ",VALUE(TRIM(CLEAN(RegexFindGroup(A424,".*_([0-9]*)"))))), "")</f>
        <v/>
      </c>
      <c r="I424" s="16" t="str">
        <f>IF(regexMatch(A424,"cs_.*")," (CS)", (IF(regexMatch(A424,"ig_.*"), " (IG)", "")))</f>
        <v/>
      </c>
      <c r="J424" s="10" t="str">
        <f t="shared" si="13"/>
        <v>Mark Fostenburg</v>
      </c>
    </row>
    <row r="425" spans="1:10" x14ac:dyDescent="0.25">
      <c r="A425" s="6" t="s">
        <v>697</v>
      </c>
      <c r="B425" s="6" t="str">
        <f t="shared" si="14"/>
        <v>cs_marnie</v>
      </c>
      <c r="C425" s="6" t="s">
        <v>698</v>
      </c>
      <c r="D425" s="7" t="str">
        <f>PROPER(C425)</f>
        <v>Marnie</v>
      </c>
      <c r="E425" s="4" t="s">
        <v>1367</v>
      </c>
      <c r="F425" s="9" t="str">
        <f>IF(regexMatch(A425,"[A-Za-z]*_y_.*")," Young",(IF(regexMatch(A425,"[A-Za-z]*_o_.*")," Old", "")))</f>
        <v/>
      </c>
      <c r="G425" s="16" t="str">
        <f>IF(regexMatch(A425,"[A-Za-z]*_f_.*")," Female", (IF(regexMatch(A425,"[A-Za-z]*_m_.*"), " Male", "")))</f>
        <v/>
      </c>
      <c r="H425" s="16" t="str">
        <f>IF(regexMatch(A425,".*_([0-9]+$)"), CONCATENATE(" ",VALUE(TRIM(CLEAN(RegexFindGroup(A425,".*_([0-9]*)"))))), "")</f>
        <v/>
      </c>
      <c r="I425" s="16" t="str">
        <f>IF(regexMatch(A425,"cs_.*")," (CS)", (IF(regexMatch(A425,"ig_.*"), " (IG)", "")))</f>
        <v xml:space="preserve"> (CS)</v>
      </c>
      <c r="J425" s="10" t="str">
        <f t="shared" si="13"/>
        <v>Marnie Allen (CS)</v>
      </c>
    </row>
    <row r="426" spans="1:10" x14ac:dyDescent="0.25">
      <c r="A426" s="6" t="s">
        <v>699</v>
      </c>
      <c r="B426" s="6" t="str">
        <f t="shared" si="14"/>
        <v>ig_marnie</v>
      </c>
      <c r="C426" s="6" t="s">
        <v>698</v>
      </c>
      <c r="D426" s="7" t="str">
        <f>PROPER(C426)</f>
        <v>Marnie</v>
      </c>
      <c r="E426" s="4" t="s">
        <v>1367</v>
      </c>
      <c r="F426" s="9" t="str">
        <f>IF(regexMatch(A426,"[A-Za-z]*_y_.*")," Young",(IF(regexMatch(A426,"[A-Za-z]*_o_.*")," Old", "")))</f>
        <v/>
      </c>
      <c r="G426" s="16" t="str">
        <f>IF(regexMatch(A426,"[A-Za-z]*_f_.*")," Female", (IF(regexMatch(A426,"[A-Za-z]*_m_.*"), " Male", "")))</f>
        <v/>
      </c>
      <c r="H426" s="16" t="str">
        <f>IF(regexMatch(A426,".*_([0-9]+$)"), CONCATENATE(" ",VALUE(TRIM(CLEAN(RegexFindGroup(A426,".*_([0-9]*)"))))), "")</f>
        <v/>
      </c>
      <c r="I426" s="16" t="str">
        <f>IF(regexMatch(A426,"cs_.*")," (CS)", (IF(regexMatch(A426,"ig_.*"), " (IG)", "")))</f>
        <v xml:space="preserve"> (IG)</v>
      </c>
      <c r="J426" s="10" t="str">
        <f t="shared" si="13"/>
        <v>Marnie Allen (IG)</v>
      </c>
    </row>
    <row r="427" spans="1:10" x14ac:dyDescent="0.25">
      <c r="A427" s="6" t="s">
        <v>702</v>
      </c>
      <c r="B427" s="6" t="str">
        <f t="shared" si="14"/>
        <v>cs_martinmadrazo</v>
      </c>
      <c r="C427" s="6" t="s">
        <v>703</v>
      </c>
      <c r="D427" s="7" t="str">
        <f>PROPER(C427)</f>
        <v>Martinmadrazo</v>
      </c>
      <c r="E427" s="4" t="s">
        <v>1291</v>
      </c>
      <c r="F427" s="9" t="str">
        <f>IF(regexMatch(A427,"[A-Za-z]*_y_.*")," Young",(IF(regexMatch(A427,"[A-Za-z]*_o_.*")," Old", "")))</f>
        <v/>
      </c>
      <c r="G427" s="16" t="str">
        <f>IF(regexMatch(A427,"[A-Za-z]*_f_.*")," Female", (IF(regexMatch(A427,"[A-Za-z]*_m_.*"), " Male", "")))</f>
        <v/>
      </c>
      <c r="H427" s="16" t="str">
        <f>IF(regexMatch(A427,".*_([0-9]+$)"), CONCATENATE(" ",VALUE(TRIM(CLEAN(RegexFindGroup(A427,".*_([0-9]*)"))))), "")</f>
        <v/>
      </c>
      <c r="I427" s="16" t="str">
        <f>IF(regexMatch(A427,"cs_.*")," (CS)", (IF(regexMatch(A427,"ig_.*"), " (IG)", "")))</f>
        <v xml:space="preserve"> (CS)</v>
      </c>
      <c r="J427" s="10" t="str">
        <f t="shared" si="13"/>
        <v>Martin Madrazo (CS)</v>
      </c>
    </row>
    <row r="428" spans="1:10" x14ac:dyDescent="0.25">
      <c r="A428" s="6" t="s">
        <v>704</v>
      </c>
      <c r="B428" s="6" t="str">
        <f t="shared" si="14"/>
        <v>cs_maryann</v>
      </c>
      <c r="C428" s="6" t="s">
        <v>705</v>
      </c>
      <c r="D428" s="7" t="str">
        <f>PROPER(C428)</f>
        <v>Maryann</v>
      </c>
      <c r="E428" s="4" t="s">
        <v>1311</v>
      </c>
      <c r="F428" s="9" t="str">
        <f>IF(regexMatch(A428,"[A-Za-z]*_y_.*")," Young",(IF(regexMatch(A428,"[A-Za-z]*_o_.*")," Old", "")))</f>
        <v/>
      </c>
      <c r="G428" s="16" t="str">
        <f>IF(regexMatch(A428,"[A-Za-z]*_f_.*")," Female", (IF(regexMatch(A428,"[A-Za-z]*_m_.*"), " Male", "")))</f>
        <v/>
      </c>
      <c r="H428" s="16" t="str">
        <f>IF(regexMatch(A428,".*_([0-9]+$)"), CONCATENATE(" ",VALUE(TRIM(CLEAN(RegexFindGroup(A428,".*_([0-9]*)"))))), "")</f>
        <v/>
      </c>
      <c r="I428" s="16" t="str">
        <f>IF(regexMatch(A428,"cs_.*")," (CS)", (IF(regexMatch(A428,"ig_.*"), " (IG)", "")))</f>
        <v xml:space="preserve"> (CS)</v>
      </c>
      <c r="J428" s="10" t="str">
        <f t="shared" si="13"/>
        <v>Mary-Ann Quinn (CS)</v>
      </c>
    </row>
    <row r="429" spans="1:10" x14ac:dyDescent="0.25">
      <c r="A429" s="6" t="s">
        <v>706</v>
      </c>
      <c r="B429" s="6" t="str">
        <f t="shared" si="14"/>
        <v>ig_maryann</v>
      </c>
      <c r="C429" s="6" t="s">
        <v>705</v>
      </c>
      <c r="D429" s="7" t="str">
        <f>PROPER(C429)</f>
        <v>Maryann</v>
      </c>
      <c r="E429" s="4" t="s">
        <v>1311</v>
      </c>
      <c r="F429" s="9" t="str">
        <f>IF(regexMatch(A429,"[A-Za-z]*_y_.*")," Young",(IF(regexMatch(A429,"[A-Za-z]*_o_.*")," Old", "")))</f>
        <v/>
      </c>
      <c r="G429" s="16" t="str">
        <f>IF(regexMatch(A429,"[A-Za-z]*_f_.*")," Female", (IF(regexMatch(A429,"[A-Za-z]*_m_.*"), " Male", "")))</f>
        <v/>
      </c>
      <c r="H429" s="16" t="str">
        <f>IF(regexMatch(A429,".*_([0-9]+$)"), CONCATENATE(" ",VALUE(TRIM(CLEAN(RegexFindGroup(A429,".*_([0-9]*)"))))), "")</f>
        <v/>
      </c>
      <c r="I429" s="16" t="str">
        <f>IF(regexMatch(A429,"cs_.*")," (CS)", (IF(regexMatch(A429,"ig_.*"), " (IG)", "")))</f>
        <v xml:space="preserve"> (IG)</v>
      </c>
      <c r="J429" s="10" t="str">
        <f t="shared" si="13"/>
        <v>Mary-Ann Quinn (IG)</v>
      </c>
    </row>
    <row r="430" spans="1:10" x14ac:dyDescent="0.25">
      <c r="A430" s="6" t="s">
        <v>707</v>
      </c>
      <c r="B430" s="6" t="str">
        <f t="shared" si="14"/>
        <v>csb_maude</v>
      </c>
      <c r="C430" s="6" t="s">
        <v>708</v>
      </c>
      <c r="D430" s="7" t="str">
        <f>PROPER(C430)</f>
        <v>Maude</v>
      </c>
      <c r="E430" s="4" t="s">
        <v>1189</v>
      </c>
      <c r="F430" s="9" t="str">
        <f>IF(regexMatch(A430,"[A-Za-z]*_y_.*")," Young",(IF(regexMatch(A430,"[A-Za-z]*_o_.*")," Old", "")))</f>
        <v/>
      </c>
      <c r="G430" s="16" t="str">
        <f>IF(regexMatch(A430,"[A-Za-z]*_f_.*")," Female", (IF(regexMatch(A430,"[A-Za-z]*_m_.*"), " Male", "")))</f>
        <v/>
      </c>
      <c r="H430" s="16" t="str">
        <f>IF(regexMatch(A430,".*_([0-9]+$)"), CONCATENATE(" ",VALUE(TRIM(CLEAN(RegexFindGroup(A430,".*_([0-9]*)"))))), "")</f>
        <v/>
      </c>
      <c r="I430" s="16" t="str">
        <f>IF(regexMatch(A430,"cs_.*")," (CS)", (IF(regexMatch(A430,"ig_.*"), " (IG)", "")))</f>
        <v/>
      </c>
      <c r="J430" s="10" t="str">
        <f t="shared" si="13"/>
        <v>Maude</v>
      </c>
    </row>
    <row r="431" spans="1:10" x14ac:dyDescent="0.25">
      <c r="A431" s="6" t="s">
        <v>709</v>
      </c>
      <c r="B431" s="6" t="str">
        <f t="shared" si="14"/>
        <v>ig_maude</v>
      </c>
      <c r="C431" s="6" t="s">
        <v>708</v>
      </c>
      <c r="D431" s="7" t="str">
        <f>PROPER(C431)</f>
        <v>Maude</v>
      </c>
      <c r="E431" s="4" t="s">
        <v>1189</v>
      </c>
      <c r="F431" s="9" t="str">
        <f>IF(regexMatch(A431,"[A-Za-z]*_y_.*")," Young",(IF(regexMatch(A431,"[A-Za-z]*_o_.*")," Old", "")))</f>
        <v/>
      </c>
      <c r="G431" s="16" t="str">
        <f>IF(regexMatch(A431,"[A-Za-z]*_f_.*")," Female", (IF(regexMatch(A431,"[A-Za-z]*_m_.*"), " Male", "")))</f>
        <v/>
      </c>
      <c r="H431" s="16" t="str">
        <f>IF(regexMatch(A431,".*_([0-9]+$)"), CONCATENATE(" ",VALUE(TRIM(CLEAN(RegexFindGroup(A431,".*_([0-9]*)"))))), "")</f>
        <v/>
      </c>
      <c r="I431" s="16" t="str">
        <f>IF(regexMatch(A431,"cs_.*")," (CS)", (IF(regexMatch(A431,"ig_.*"), " (IG)", "")))</f>
        <v xml:space="preserve"> (IG)</v>
      </c>
      <c r="J431" s="10" t="str">
        <f t="shared" si="13"/>
        <v>Maude (IG)</v>
      </c>
    </row>
    <row r="432" spans="1:10" x14ac:dyDescent="0.25">
      <c r="A432" s="1" t="s">
        <v>1514</v>
      </c>
      <c r="B432" s="6" t="str">
        <f t="shared" si="14"/>
        <v>csb_rashcosvki</v>
      </c>
      <c r="D432" s="21"/>
      <c r="E432" s="21" t="s">
        <v>1535</v>
      </c>
      <c r="F432" s="9"/>
      <c r="G432" s="16"/>
      <c r="H432" s="16" t="str">
        <f>IF(regexMatch(A432,".*_([0-9]+$)"), CONCATENATE(" ",VALUE(TRIM(CLEAN(RegexFindGroup(A432,".*_([0-9]*)"))))), "")</f>
        <v/>
      </c>
      <c r="I432" s="16"/>
      <c r="J432" s="10" t="str">
        <f t="shared" si="13"/>
        <v>Maxim Rashkovsky (CS)</v>
      </c>
    </row>
    <row r="433" spans="1:10" x14ac:dyDescent="0.25">
      <c r="A433" s="1" t="s">
        <v>1520</v>
      </c>
      <c r="B433" s="6" t="str">
        <f t="shared" si="14"/>
        <v>ig_rashcosvki</v>
      </c>
      <c r="D433" s="21"/>
      <c r="E433" s="21" t="s">
        <v>1536</v>
      </c>
      <c r="H433" s="16" t="str">
        <f>IF(regexMatch(A433,".*_([0-9]+$)"), CONCATENATE(" ",VALUE(TRIM(CLEAN(RegexFindGroup(A433,".*_([0-9]*)"))))), "")</f>
        <v/>
      </c>
      <c r="J433" s="10" t="str">
        <f t="shared" si="13"/>
        <v>Maxim Rashkovsky (IG)</v>
      </c>
    </row>
    <row r="434" spans="1:10" x14ac:dyDescent="0.25">
      <c r="A434" s="6" t="s">
        <v>1088</v>
      </c>
      <c r="B434" s="6" t="str">
        <f t="shared" si="14"/>
        <v>s_m_y_xmech_01</v>
      </c>
      <c r="C434" s="6" t="s">
        <v>1089</v>
      </c>
      <c r="D434" s="7" t="str">
        <f>PROPER(C434)</f>
        <v>Xmech</v>
      </c>
      <c r="E434" s="4" t="s">
        <v>1281</v>
      </c>
      <c r="F434" s="9"/>
      <c r="G434" s="16"/>
      <c r="H434" s="16" t="str">
        <f>IF(regexMatch(A434,".*_([0-9]+$)"), CONCATENATE(" ",VALUE(TRIM(CLEAN(RegexFindGroup(A434,".*_([0-9]*)"))))), "")</f>
        <v xml:space="preserve"> 1</v>
      </c>
      <c r="I434" s="16" t="str">
        <f>IF(regexMatch(A434,"cs_.*")," (CS)", (IF(regexMatch(A434,"ig_.*"), " (IG)", "")))</f>
        <v/>
      </c>
      <c r="J434" s="10" t="str">
        <f t="shared" si="13"/>
        <v>Mechanic</v>
      </c>
    </row>
    <row r="435" spans="1:10" x14ac:dyDescent="0.25">
      <c r="A435" s="6" t="s">
        <v>1090</v>
      </c>
      <c r="B435" s="6" t="str">
        <f t="shared" si="14"/>
        <v>s_m_y_xmech_02</v>
      </c>
      <c r="C435" s="6" t="s">
        <v>1089</v>
      </c>
      <c r="D435" s="7" t="str">
        <f>PROPER(C435)</f>
        <v>Xmech</v>
      </c>
      <c r="E435" s="4" t="s">
        <v>1281</v>
      </c>
      <c r="F435" s="9"/>
      <c r="G435" s="16"/>
      <c r="H435" s="16" t="str">
        <f>IF(regexMatch(A435,".*_([0-9]+$)"), CONCATENATE(" ",VALUE(TRIM(CLEAN(RegexFindGroup(A435,".*_([0-9]*)"))))), "")</f>
        <v xml:space="preserve"> 2</v>
      </c>
      <c r="I435" s="16" t="str">
        <f>IF(regexMatch(A435,"cs_.*")," (CS)", (IF(regexMatch(A435,"ig_.*"), " (IG)", "")))</f>
        <v/>
      </c>
      <c r="J435" s="10" t="str">
        <f t="shared" si="13"/>
        <v>Mechanic 2</v>
      </c>
    </row>
    <row r="436" spans="1:10" x14ac:dyDescent="0.25">
      <c r="A436" s="6" t="s">
        <v>83</v>
      </c>
      <c r="B436" s="6" t="str">
        <f t="shared" si="14"/>
        <v xml:space="preserve">	csb_mweather</v>
      </c>
      <c r="C436" s="6" t="s">
        <v>82</v>
      </c>
      <c r="D436" s="7" t="str">
        <f>PROPER(C436)</f>
        <v xml:space="preserve">	Mweather</v>
      </c>
      <c r="E436" s="4" t="s">
        <v>1380</v>
      </c>
      <c r="F436" s="9" t="str">
        <f>IF(regexMatch(A436,"[A-Za-z]*_y_.*")," Young",(IF(regexMatch(A436,"[A-Za-z]*_o_.*")," Old", "")))</f>
        <v/>
      </c>
      <c r="G436" s="16" t="str">
        <f>IF(regexMatch(A436,"[A-Za-z]*_f_.*")," Female", (IF(regexMatch(A436,"[A-Za-z]*_m_.*"), " Male", "")))</f>
        <v/>
      </c>
      <c r="H436" s="16" t="str">
        <f>IF(regexMatch(A436,".*_([0-9]+$)"), CONCATENATE(" ",VALUE(TRIM(CLEAN(RegexFindGroup(A436,".*_([0-9]*)"))))), "")</f>
        <v/>
      </c>
      <c r="I436" s="16" t="str">
        <f>IF(regexMatch(A436,"cs_.*")," (CS)", (IF(regexMatch(A436,"ig_.*"), " (IG)", "")))</f>
        <v/>
      </c>
      <c r="J436" s="10" t="str">
        <f t="shared" si="13"/>
        <v>Merryweather Merc</v>
      </c>
    </row>
    <row r="437" spans="1:10" x14ac:dyDescent="0.25">
      <c r="A437" s="6" t="s">
        <v>710</v>
      </c>
      <c r="B437" s="6" t="str">
        <f t="shared" si="14"/>
        <v>a_m_y_methhead_01</v>
      </c>
      <c r="C437" s="6" t="s">
        <v>711</v>
      </c>
      <c r="D437" s="7" t="str">
        <f>PROPER(C437)</f>
        <v>Methhead</v>
      </c>
      <c r="E437" s="4" t="s">
        <v>1351</v>
      </c>
      <c r="F437" s="9"/>
      <c r="G437" s="16"/>
      <c r="H437" s="16" t="str">
        <f>IF(regexMatch(A437,".*_([0-9]+$)"), CONCATENATE(" ",VALUE(TRIM(CLEAN(RegexFindGroup(A437,".*_([0-9]*)"))))), "")</f>
        <v xml:space="preserve"> 1</v>
      </c>
      <c r="I437" s="16" t="str">
        <f>IF(regexMatch(A437,"cs_.*")," (CS)", (IF(regexMatch(A437,"ig_.*"), " (IG)", "")))</f>
        <v/>
      </c>
      <c r="J437" s="10" t="str">
        <f t="shared" si="13"/>
        <v>Meth Addict</v>
      </c>
    </row>
    <row r="438" spans="1:10" x14ac:dyDescent="0.25">
      <c r="A438" s="6" t="s">
        <v>712</v>
      </c>
      <c r="B438" s="6" t="str">
        <f t="shared" si="14"/>
        <v>csb_ramp_mex</v>
      </c>
      <c r="C438" s="6" t="s">
        <v>713</v>
      </c>
      <c r="D438" s="7" t="str">
        <f>PROPER(C438)</f>
        <v>Mex</v>
      </c>
      <c r="E438" s="4" t="s">
        <v>1409</v>
      </c>
      <c r="F438" s="9" t="str">
        <f>IF(regexMatch(A438,"[A-Za-z]*_y_.*")," Young",(IF(regexMatch(A438,"[A-Za-z]*_o_.*")," Old", "")))</f>
        <v/>
      </c>
      <c r="G438" s="16" t="str">
        <f>IF(regexMatch(A438,"[A-Za-z]*_f_.*")," Female", (IF(regexMatch(A438,"[A-Za-z]*_m_.*"), " Male", "")))</f>
        <v/>
      </c>
      <c r="H438" s="16" t="str">
        <f>IF(regexMatch(A438,".*_([0-9]+$)"), CONCATENATE(" ",VALUE(TRIM(CLEAN(RegexFindGroup(A438,".*_([0-9]*)"))))), "")</f>
        <v/>
      </c>
      <c r="I438" s="16" t="str">
        <f>IF(regexMatch(A438,"cs_.*")," (CS)", (IF(regexMatch(A438,"ig_.*"), " (IG)", "")))</f>
        <v/>
      </c>
      <c r="J438" s="10" t="str">
        <f t="shared" si="13"/>
        <v>Mexican</v>
      </c>
    </row>
    <row r="439" spans="1:10" x14ac:dyDescent="0.25">
      <c r="A439" s="6" t="s">
        <v>714</v>
      </c>
      <c r="B439" s="6" t="str">
        <f t="shared" si="14"/>
        <v>ig_ramp_mex</v>
      </c>
      <c r="C439" s="6" t="s">
        <v>713</v>
      </c>
      <c r="D439" s="7" t="str">
        <f>PROPER(C439)</f>
        <v>Mex</v>
      </c>
      <c r="E439" s="4" t="s">
        <v>1409</v>
      </c>
      <c r="F439" s="9" t="str">
        <f>IF(regexMatch(A439,"[A-Za-z]*_y_.*")," Young",(IF(regexMatch(A439,"[A-Za-z]*_o_.*")," Old", "")))</f>
        <v/>
      </c>
      <c r="G439" s="16" t="str">
        <f>IF(regexMatch(A439,"[A-Za-z]*_f_.*")," Female", (IF(regexMatch(A439,"[A-Za-z]*_m_.*"), " Male", "")))</f>
        <v/>
      </c>
      <c r="H439" s="16" t="str">
        <f>IF(regexMatch(A439,".*_([0-9]+$)"), CONCATENATE(" ",VALUE(TRIM(CLEAN(RegexFindGroup(A439,".*_([0-9]*)"))))), "")</f>
        <v/>
      </c>
      <c r="I439" s="16" t="str">
        <f>IF(regexMatch(A439,"cs_.*")," (CS)", (IF(regexMatch(A439,"ig_.*"), " (IG)", "")))</f>
        <v xml:space="preserve"> (IG)</v>
      </c>
      <c r="J439" s="10" t="str">
        <f t="shared" si="13"/>
        <v>Mexican (IG)</v>
      </c>
    </row>
    <row r="440" spans="1:10" x14ac:dyDescent="0.25">
      <c r="A440" s="6" t="s">
        <v>715</v>
      </c>
      <c r="B440" s="6" t="str">
        <f t="shared" si="14"/>
        <v>g_m_m_mexboss_01</v>
      </c>
      <c r="C440" s="6" t="s">
        <v>716</v>
      </c>
      <c r="D440" s="7" t="str">
        <f>PROPER(C440)</f>
        <v>Mexboss</v>
      </c>
      <c r="E440" s="4" t="s">
        <v>1407</v>
      </c>
      <c r="F440" s="9" t="str">
        <f>IF(regexMatch(A440,"[A-Za-z]*_y_.*")," Young",(IF(regexMatch(A440,"[A-Za-z]*_o_.*")," Old", "")))</f>
        <v/>
      </c>
      <c r="G440" s="16"/>
      <c r="H440" s="16" t="str">
        <f>IF(regexMatch(A440,".*_([0-9]+$)"), CONCATENATE(" ",VALUE(TRIM(CLEAN(RegexFindGroup(A440,".*_([0-9]*)"))))), "")</f>
        <v xml:space="preserve"> 1</v>
      </c>
      <c r="I440" s="16" t="str">
        <f>IF(regexMatch(A440,"cs_.*")," (CS)", (IF(regexMatch(A440,"ig_.*"), " (IG)", "")))</f>
        <v/>
      </c>
      <c r="J440" s="10" t="str">
        <f t="shared" si="13"/>
        <v>Mexican Boss</v>
      </c>
    </row>
    <row r="441" spans="1:10" x14ac:dyDescent="0.25">
      <c r="A441" s="6" t="s">
        <v>717</v>
      </c>
      <c r="B441" s="6" t="str">
        <f t="shared" si="14"/>
        <v>g_m_m_mexboss_02</v>
      </c>
      <c r="C441" s="6" t="s">
        <v>716</v>
      </c>
      <c r="D441" s="7" t="str">
        <f>PROPER(C441)</f>
        <v>Mexboss</v>
      </c>
      <c r="E441" s="4" t="s">
        <v>1407</v>
      </c>
      <c r="F441" s="9" t="str">
        <f>IF(regexMatch(A441,"[A-Za-z]*_y_.*")," Young",(IF(regexMatch(A441,"[A-Za-z]*_o_.*")," Old", "")))</f>
        <v/>
      </c>
      <c r="G441" s="16"/>
      <c r="H441" s="16" t="str">
        <f>IF(regexMatch(A441,".*_([0-9]+$)"), CONCATENATE(" ",VALUE(TRIM(CLEAN(RegexFindGroup(A441,".*_([0-9]*)"))))), "")</f>
        <v xml:space="preserve"> 2</v>
      </c>
      <c r="I441" s="16" t="str">
        <f>IF(regexMatch(A441,"cs_.*")," (CS)", (IF(regexMatch(A441,"ig_.*"), " (IG)", "")))</f>
        <v/>
      </c>
      <c r="J441" s="10" t="str">
        <f t="shared" si="13"/>
        <v>Mexican Boss 2</v>
      </c>
    </row>
    <row r="442" spans="1:10" x14ac:dyDescent="0.25">
      <c r="A442" s="6" t="s">
        <v>720</v>
      </c>
      <c r="B442" s="6" t="str">
        <f t="shared" si="14"/>
        <v>g_m_y_mexgang_01</v>
      </c>
      <c r="C442" s="6" t="s">
        <v>721</v>
      </c>
      <c r="D442" s="7" t="str">
        <f>PROPER(C442)</f>
        <v>Mexgang</v>
      </c>
      <c r="E442" s="11" t="s">
        <v>1462</v>
      </c>
      <c r="F442" s="9"/>
      <c r="G442" s="16"/>
      <c r="H442" s="16" t="str">
        <f>IF(regexMatch(A442,".*_([0-9]+$)"), CONCATENATE(" ",VALUE(TRIM(CLEAN(RegexFindGroup(A442,".*_([0-9]*)"))))), "")</f>
        <v xml:space="preserve"> 1</v>
      </c>
      <c r="I442" s="16" t="str">
        <f>IF(regexMatch(A442,"cs_.*")," (CS)", (IF(regexMatch(A442,"ig_.*"), " (IG)", "")))</f>
        <v/>
      </c>
      <c r="J442" s="10" t="str">
        <f t="shared" si="13"/>
        <v>Mexican Gang Member</v>
      </c>
    </row>
    <row r="443" spans="1:10" x14ac:dyDescent="0.25">
      <c r="A443" s="6" t="s">
        <v>722</v>
      </c>
      <c r="B443" s="6" t="str">
        <f t="shared" si="14"/>
        <v>g_m_y_mexgoon_01</v>
      </c>
      <c r="C443" s="6" t="s">
        <v>723</v>
      </c>
      <c r="D443" s="7" t="str">
        <f>PROPER(C443)</f>
        <v>Mexgoon</v>
      </c>
      <c r="E443" s="4" t="s">
        <v>1408</v>
      </c>
      <c r="F443" s="9"/>
      <c r="G443" s="16"/>
      <c r="H443" s="16" t="str">
        <f>IF(regexMatch(A443,".*_([0-9]+$)"), CONCATENATE(" ",VALUE(TRIM(CLEAN(RegexFindGroup(A443,".*_([0-9]*)"))))), "")</f>
        <v xml:space="preserve"> 1</v>
      </c>
      <c r="I443" s="16" t="str">
        <f>IF(regexMatch(A443,"cs_.*")," (CS)", (IF(regexMatch(A443,"ig_.*"), " (IG)", "")))</f>
        <v/>
      </c>
      <c r="J443" s="10" t="str">
        <f t="shared" si="13"/>
        <v>Mexican Goon</v>
      </c>
    </row>
    <row r="444" spans="1:10" x14ac:dyDescent="0.25">
      <c r="A444" s="6" t="s">
        <v>724</v>
      </c>
      <c r="B444" s="6" t="str">
        <f t="shared" si="14"/>
        <v>g_m_y_mexgoon_02</v>
      </c>
      <c r="C444" s="6" t="s">
        <v>723</v>
      </c>
      <c r="D444" s="7" t="str">
        <f>PROPER(C444)</f>
        <v>Mexgoon</v>
      </c>
      <c r="E444" s="4" t="s">
        <v>1408</v>
      </c>
      <c r="F444" s="9"/>
      <c r="G444" s="16"/>
      <c r="H444" s="16" t="str">
        <f>IF(regexMatch(A444,".*_([0-9]+$)"), CONCATENATE(" ",VALUE(TRIM(CLEAN(RegexFindGroup(A444,".*_([0-9]*)"))))), "")</f>
        <v xml:space="preserve"> 2</v>
      </c>
      <c r="I444" s="16" t="str">
        <f>IF(regexMatch(A444,"cs_.*")," (CS)", (IF(regexMatch(A444,"ig_.*"), " (IG)", "")))</f>
        <v/>
      </c>
      <c r="J444" s="10" t="str">
        <f t="shared" si="13"/>
        <v>Mexican Goon 2</v>
      </c>
    </row>
    <row r="445" spans="1:10" x14ac:dyDescent="0.25">
      <c r="A445" s="6" t="s">
        <v>725</v>
      </c>
      <c r="B445" s="6" t="str">
        <f t="shared" si="14"/>
        <v>g_m_y_mexgoon_03</v>
      </c>
      <c r="C445" s="6" t="s">
        <v>723</v>
      </c>
      <c r="D445" s="7" t="str">
        <f>PROPER(C445)</f>
        <v>Mexgoon</v>
      </c>
      <c r="E445" s="4" t="s">
        <v>1408</v>
      </c>
      <c r="F445" s="9"/>
      <c r="G445" s="16"/>
      <c r="H445" s="16" t="str">
        <f>IF(regexMatch(A445,".*_([0-9]+$)"), CONCATENATE(" ",VALUE(TRIM(CLEAN(RegexFindGroup(A445,".*_([0-9]*)"))))), "")</f>
        <v xml:space="preserve"> 3</v>
      </c>
      <c r="I445" s="16" t="str">
        <f>IF(regexMatch(A445,"cs_.*")," (CS)", (IF(regexMatch(A445,"ig_.*"), " (IG)", "")))</f>
        <v/>
      </c>
      <c r="J445" s="10" t="str">
        <f t="shared" si="13"/>
        <v>Mexican Goon 3</v>
      </c>
    </row>
    <row r="446" spans="1:10" x14ac:dyDescent="0.25">
      <c r="A446" s="6" t="s">
        <v>78</v>
      </c>
      <c r="B446" s="6" t="str">
        <f t="shared" si="14"/>
        <v xml:space="preserve">	a_m_m_mexlabor_01</v>
      </c>
      <c r="C446" s="6" t="s">
        <v>77</v>
      </c>
      <c r="D446" s="7" t="str">
        <f>PROPER(C446)</f>
        <v xml:space="preserve">	Mexlabor</v>
      </c>
      <c r="E446" s="4" t="s">
        <v>1252</v>
      </c>
      <c r="F446" s="9" t="str">
        <f>IF(regexMatch(A446,"[A-Za-z]*_y_.*")," Young",(IF(regexMatch(A446,"[A-Za-z]*_o_.*")," Old", "")))</f>
        <v/>
      </c>
      <c r="G446" s="16"/>
      <c r="H446" s="16" t="str">
        <f>IF(regexMatch(A446,".*_([0-9]+$)"), CONCATENATE(" ",VALUE(TRIM(CLEAN(RegexFindGroup(A446,".*_([0-9]*)"))))), "")</f>
        <v xml:space="preserve"> 1</v>
      </c>
      <c r="I446" s="16" t="str">
        <f>IF(regexMatch(A446,"cs_.*")," (CS)", (IF(regexMatch(A446,"ig_.*"), " (IG)", "")))</f>
        <v/>
      </c>
      <c r="J446" s="10" t="str">
        <f t="shared" si="13"/>
        <v>Mexican Labourer</v>
      </c>
    </row>
    <row r="447" spans="1:10" x14ac:dyDescent="0.25">
      <c r="A447" s="6" t="s">
        <v>718</v>
      </c>
      <c r="B447" s="6" t="str">
        <f t="shared" si="14"/>
        <v>a_m_m_mexcntry_01</v>
      </c>
      <c r="C447" s="6" t="s">
        <v>719</v>
      </c>
      <c r="D447" s="7" t="str">
        <f>PROPER(C447)</f>
        <v>Mexcntry</v>
      </c>
      <c r="E447" s="11" t="s">
        <v>1461</v>
      </c>
      <c r="F447" s="9" t="str">
        <f>IF(regexMatch(A447,"[A-Za-z]*_y_.*")," Young",(IF(regexMatch(A447,"[A-Za-z]*_o_.*")," Old", "")))</f>
        <v/>
      </c>
      <c r="G447" s="16"/>
      <c r="H447" s="16" t="str">
        <f>IF(regexMatch(A447,".*_([0-9]+$)"), CONCATENATE(" ",VALUE(TRIM(CLEAN(RegexFindGroup(A447,".*_([0-9]*)"))))), "")</f>
        <v xml:space="preserve"> 1</v>
      </c>
      <c r="I447" s="16" t="str">
        <f>IF(regexMatch(A447,"cs_.*")," (CS)", (IF(regexMatch(A447,"ig_.*"), " (IG)", "")))</f>
        <v/>
      </c>
      <c r="J447" s="10" t="str">
        <f t="shared" si="13"/>
        <v>Mexican Rural</v>
      </c>
    </row>
    <row r="448" spans="1:10" x14ac:dyDescent="0.25">
      <c r="A448" s="6" t="s">
        <v>726</v>
      </c>
      <c r="B448" s="6" t="str">
        <f t="shared" si="14"/>
        <v>a_m_y_mexthug_01</v>
      </c>
      <c r="C448" s="6" t="s">
        <v>727</v>
      </c>
      <c r="D448" s="7" t="str">
        <f>PROPER(C448)</f>
        <v>Mexthug</v>
      </c>
      <c r="E448" s="4" t="s">
        <v>1350</v>
      </c>
      <c r="F448" s="9"/>
      <c r="G448" s="16"/>
      <c r="H448" s="16" t="str">
        <f>IF(regexMatch(A448,".*_([0-9]+$)"), CONCATENATE(" ",VALUE(TRIM(CLEAN(RegexFindGroup(A448,".*_([0-9]*)"))))), "")</f>
        <v xml:space="preserve"> 1</v>
      </c>
      <c r="I448" s="16" t="str">
        <f>IF(regexMatch(A448,"cs_.*")," (CS)", (IF(regexMatch(A448,"ig_.*"), " (IG)", "")))</f>
        <v/>
      </c>
      <c r="J448" s="10" t="str">
        <f t="shared" si="13"/>
        <v>Mexican Thug</v>
      </c>
    </row>
    <row r="449" spans="1:10" x14ac:dyDescent="0.25">
      <c r="A449" s="6" t="s">
        <v>728</v>
      </c>
      <c r="B449" s="6" t="str">
        <f t="shared" si="14"/>
        <v>cs_michelle</v>
      </c>
      <c r="C449" s="6" t="s">
        <v>729</v>
      </c>
      <c r="D449" s="7" t="str">
        <f>PROPER(C449)</f>
        <v>Michelle</v>
      </c>
      <c r="E449" s="4" t="s">
        <v>1190</v>
      </c>
      <c r="F449" s="9" t="str">
        <f>IF(regexMatch(A449,"[A-Za-z]*_y_.*")," Young",(IF(regexMatch(A449,"[A-Za-z]*_o_.*")," Old", "")))</f>
        <v/>
      </c>
      <c r="G449" s="16" t="str">
        <f>IF(regexMatch(A449,"[A-Za-z]*_f_.*")," Female", (IF(regexMatch(A449,"[A-Za-z]*_m_.*"), " Male", "")))</f>
        <v/>
      </c>
      <c r="H449" s="16" t="str">
        <f>IF(regexMatch(A449,".*_([0-9]+$)"), CONCATENATE(" ",VALUE(TRIM(CLEAN(RegexFindGroup(A449,".*_([0-9]*)"))))), "")</f>
        <v/>
      </c>
      <c r="I449" s="16" t="str">
        <f>IF(regexMatch(A449,"cs_.*")," (CS)", (IF(regexMatch(A449,"ig_.*"), " (IG)", "")))</f>
        <v xml:space="preserve"> (CS)</v>
      </c>
      <c r="J449" s="10" t="str">
        <f t="shared" si="13"/>
        <v>Michelle (CS)</v>
      </c>
    </row>
    <row r="450" spans="1:10" x14ac:dyDescent="0.25">
      <c r="A450" s="6" t="s">
        <v>730</v>
      </c>
      <c r="B450" s="6" t="str">
        <f t="shared" si="14"/>
        <v>ig_michelle</v>
      </c>
      <c r="C450" s="6" t="s">
        <v>729</v>
      </c>
      <c r="D450" s="7" t="str">
        <f>PROPER(C450)</f>
        <v>Michelle</v>
      </c>
      <c r="E450" s="4" t="s">
        <v>1190</v>
      </c>
      <c r="F450" s="9" t="str">
        <f>IF(regexMatch(A450,"[A-Za-z]*_y_.*")," Young",(IF(regexMatch(A450,"[A-Za-z]*_o_.*")," Old", "")))</f>
        <v/>
      </c>
      <c r="G450" s="16" t="str">
        <f>IF(regexMatch(A450,"[A-Za-z]*_f_.*")," Female", (IF(regexMatch(A450,"[A-Za-z]*_m_.*"), " Male", "")))</f>
        <v/>
      </c>
      <c r="H450" s="16" t="str">
        <f>IF(regexMatch(A450,".*_([0-9]+$)"), CONCATENATE(" ",VALUE(TRIM(CLEAN(RegexFindGroup(A450,".*_([0-9]*)"))))), "")</f>
        <v/>
      </c>
      <c r="I450" s="16" t="str">
        <f>IF(regexMatch(A450,"cs_.*")," (CS)", (IF(regexMatch(A450,"ig_.*"), " (IG)", "")))</f>
        <v xml:space="preserve"> (IG)</v>
      </c>
      <c r="J450" s="10" t="str">
        <f t="shared" si="13"/>
        <v>Michelle (IG)</v>
      </c>
    </row>
    <row r="451" spans="1:10" x14ac:dyDescent="0.25">
      <c r="A451" s="6" t="s">
        <v>731</v>
      </c>
      <c r="B451" s="6" t="str">
        <f t="shared" si="14"/>
        <v>s_f_y_migrant_01</v>
      </c>
      <c r="C451" s="6" t="s">
        <v>732</v>
      </c>
      <c r="D451" s="7" t="str">
        <f>PROPER(C451)</f>
        <v>Migrant</v>
      </c>
      <c r="E451" s="4" t="s">
        <v>1191</v>
      </c>
      <c r="F451" s="9"/>
      <c r="G451" s="16" t="str">
        <f>IF(regexMatch(A451,"[A-Za-z]*_f_.*")," Female", (IF(regexMatch(A451,"[A-Za-z]*_m_.*"), " Male", "")))</f>
        <v xml:space="preserve"> Female</v>
      </c>
      <c r="H451" s="16" t="str">
        <f>IF(regexMatch(A451,".*_([0-9]+$)"), CONCATENATE(" ",VALUE(TRIM(CLEAN(RegexFindGroup(A451,".*_([0-9]*)"))))), "")</f>
        <v xml:space="preserve"> 1</v>
      </c>
      <c r="I451" s="16" t="str">
        <f>IF(regexMatch(A451,"cs_.*")," (CS)", (IF(regexMatch(A451,"ig_.*"), " (IG)", "")))</f>
        <v/>
      </c>
      <c r="J451" s="10" t="str">
        <f t="shared" ref="J451:J514" si="15">TRIM(CONCATENATE(E451,F451,G451,IF(H451=" 1","",H451),I451))</f>
        <v>Migrant Female</v>
      </c>
    </row>
    <row r="452" spans="1:10" x14ac:dyDescent="0.25">
      <c r="A452" s="6" t="s">
        <v>733</v>
      </c>
      <c r="B452" s="6" t="str">
        <f t="shared" ref="B452:B515" si="16">TRIM(A452)</f>
        <v>s_m_m_migrant_01</v>
      </c>
      <c r="C452" s="6" t="s">
        <v>732</v>
      </c>
      <c r="D452" s="7" t="str">
        <f>PROPER(C452)</f>
        <v>Migrant</v>
      </c>
      <c r="E452" s="4" t="s">
        <v>1191</v>
      </c>
      <c r="F452" s="9" t="str">
        <f>IF(regexMatch(A452,"[A-Za-z]*_y_.*")," Young",(IF(regexMatch(A452,"[A-Za-z]*_o_.*")," Old", "")))</f>
        <v/>
      </c>
      <c r="G452" s="16" t="str">
        <f>IF(regexMatch(A452,"[A-Za-z]*_f_.*")," Female", (IF(regexMatch(A452,"[A-Za-z]*_m_.*"), " Male", "")))</f>
        <v xml:space="preserve"> Male</v>
      </c>
      <c r="H452" s="16" t="str">
        <f>IF(regexMatch(A452,".*_([0-9]+$)"), CONCATENATE(" ",VALUE(TRIM(CLEAN(RegexFindGroup(A452,".*_([0-9]*)"))))), "")</f>
        <v xml:space="preserve"> 1</v>
      </c>
      <c r="I452" s="16" t="str">
        <f>IF(regexMatch(A452,"cs_.*")," (CS)", (IF(regexMatch(A452,"ig_.*"), " (IG)", "")))</f>
        <v/>
      </c>
      <c r="J452" s="10" t="str">
        <f t="shared" si="15"/>
        <v>Migrant Male</v>
      </c>
    </row>
    <row r="453" spans="1:10" x14ac:dyDescent="0.25">
      <c r="A453" s="6" t="s">
        <v>736</v>
      </c>
      <c r="B453" s="6" t="str">
        <f t="shared" si="16"/>
        <v>cs_milton</v>
      </c>
      <c r="C453" s="6" t="s">
        <v>737</v>
      </c>
      <c r="D453" s="7" t="str">
        <f>PROPER(C453)</f>
        <v>Milton</v>
      </c>
      <c r="E453" s="4" t="s">
        <v>1419</v>
      </c>
      <c r="F453" s="9" t="str">
        <f>IF(regexMatch(A453,"[A-Za-z]*_y_.*")," Young",(IF(regexMatch(A453,"[A-Za-z]*_o_.*")," Old", "")))</f>
        <v/>
      </c>
      <c r="G453" s="16" t="str">
        <f>IF(regexMatch(A453,"[A-Za-z]*_f_.*")," Female", (IF(regexMatch(A453,"[A-Za-z]*_m_.*"), " Male", "")))</f>
        <v/>
      </c>
      <c r="H453" s="16" t="str">
        <f>IF(regexMatch(A453,".*_([0-9]+$)"), CONCATENATE(" ",VALUE(TRIM(CLEAN(RegexFindGroup(A453,".*_([0-9]*)"))))), "")</f>
        <v/>
      </c>
      <c r="I453" s="16" t="str">
        <f>IF(regexMatch(A453,"cs_.*")," (CS)", (IF(regexMatch(A453,"ig_.*"), " (IG)", "")))</f>
        <v xml:space="preserve"> (CS)</v>
      </c>
      <c r="J453" s="10" t="str">
        <f t="shared" si="15"/>
        <v>Milton McIlroy (CS)</v>
      </c>
    </row>
    <row r="454" spans="1:10" x14ac:dyDescent="0.25">
      <c r="A454" s="6" t="s">
        <v>738</v>
      </c>
      <c r="B454" s="6" t="str">
        <f t="shared" si="16"/>
        <v>ig_milton</v>
      </c>
      <c r="C454" s="6" t="s">
        <v>737</v>
      </c>
      <c r="D454" s="7" t="str">
        <f>PROPER(C454)</f>
        <v>Milton</v>
      </c>
      <c r="E454" s="4" t="s">
        <v>1419</v>
      </c>
      <c r="F454" s="9" t="str">
        <f>IF(regexMatch(A454,"[A-Za-z]*_y_.*")," Young",(IF(regexMatch(A454,"[A-Za-z]*_o_.*")," Old", "")))</f>
        <v/>
      </c>
      <c r="G454" s="16" t="str">
        <f>IF(regexMatch(A454,"[A-Za-z]*_f_.*")," Female", (IF(regexMatch(A454,"[A-Za-z]*_m_.*"), " Male", "")))</f>
        <v/>
      </c>
      <c r="H454" s="16" t="str">
        <f>IF(regexMatch(A454,".*_([0-9]+$)"), CONCATENATE(" ",VALUE(TRIM(CLEAN(RegexFindGroup(A454,".*_([0-9]*)"))))), "")</f>
        <v/>
      </c>
      <c r="I454" s="16" t="str">
        <f>IF(regexMatch(A454,"cs_.*")," (CS)", (IF(regexMatch(A454,"ig_.*"), " (IG)", "")))</f>
        <v xml:space="preserve"> (IG)</v>
      </c>
      <c r="J454" s="10" t="str">
        <f t="shared" si="15"/>
        <v>Milton McIlroy (IG)</v>
      </c>
    </row>
    <row r="455" spans="1:10" x14ac:dyDescent="0.25">
      <c r="A455" s="6" t="s">
        <v>739</v>
      </c>
      <c r="B455" s="6" t="str">
        <f t="shared" si="16"/>
        <v>s_m_y_mime</v>
      </c>
      <c r="C455" s="6" t="s">
        <v>740</v>
      </c>
      <c r="D455" s="7" t="str">
        <f>PROPER(C455)</f>
        <v>Mime</v>
      </c>
      <c r="E455" s="4" t="s">
        <v>1289</v>
      </c>
      <c r="F455" s="9"/>
      <c r="G455" s="16"/>
      <c r="H455" s="16" t="str">
        <f>IF(regexMatch(A455,".*_([0-9]+$)"), CONCATENATE(" ",VALUE(TRIM(CLEAN(RegexFindGroup(A455,".*_([0-9]*)"))))), "")</f>
        <v/>
      </c>
      <c r="I455" s="16" t="str">
        <f>IF(regexMatch(A455,"cs_.*")," (CS)", (IF(regexMatch(A455,"ig_.*"), " (IG)", "")))</f>
        <v/>
      </c>
      <c r="J455" s="10" t="str">
        <f t="shared" si="15"/>
        <v>Mime Artist</v>
      </c>
    </row>
    <row r="456" spans="1:10" x14ac:dyDescent="0.25">
      <c r="A456" s="6" t="s">
        <v>619</v>
      </c>
      <c r="B456" s="6" t="str">
        <f t="shared" si="16"/>
        <v>cs_joeminuteman</v>
      </c>
      <c r="C456" s="6" t="s">
        <v>620</v>
      </c>
      <c r="D456" s="7" t="str">
        <f>PROPER(C456)</f>
        <v>Joeminuteman</v>
      </c>
      <c r="E456" s="4" t="s">
        <v>1304</v>
      </c>
      <c r="F456" s="9" t="str">
        <f>IF(regexMatch(A456,"[A-Za-z]*_y_.*")," Young",(IF(regexMatch(A456,"[A-Za-z]*_o_.*")," Old", "")))</f>
        <v/>
      </c>
      <c r="G456" s="16" t="str">
        <f>IF(regexMatch(A456,"[A-Za-z]*_f_.*")," Female", (IF(regexMatch(A456,"[A-Za-z]*_m_.*"), " Male", "")))</f>
        <v/>
      </c>
      <c r="H456" s="16" t="str">
        <f>IF(regexMatch(A456,".*_([0-9]+$)"), CONCATENATE(" ",VALUE(TRIM(CLEAN(RegexFindGroup(A456,".*_([0-9]*)"))))), "")</f>
        <v/>
      </c>
      <c r="I456" s="16" t="str">
        <f>IF(regexMatch(A456,"cs_.*")," (CS)", (IF(regexMatch(A456,"ig_.*"), " (IG)", "")))</f>
        <v xml:space="preserve"> (CS)</v>
      </c>
      <c r="J456" s="10" t="str">
        <f t="shared" si="15"/>
        <v>Minuteman Joe (CS)</v>
      </c>
    </row>
    <row r="457" spans="1:10" x14ac:dyDescent="0.25">
      <c r="A457" s="6" t="s">
        <v>621</v>
      </c>
      <c r="B457" s="6" t="str">
        <f t="shared" si="16"/>
        <v>ig_joeminuteman</v>
      </c>
      <c r="C457" s="6" t="s">
        <v>620</v>
      </c>
      <c r="D457" s="7" t="str">
        <f>PROPER(C457)</f>
        <v>Joeminuteman</v>
      </c>
      <c r="E457" s="4" t="s">
        <v>1304</v>
      </c>
      <c r="F457" s="9" t="str">
        <f>IF(regexMatch(A457,"[A-Za-z]*_y_.*")," Young",(IF(regexMatch(A457,"[A-Za-z]*_o_.*")," Old", "")))</f>
        <v/>
      </c>
      <c r="G457" s="16" t="str">
        <f>IF(regexMatch(A457,"[A-Za-z]*_f_.*")," Female", (IF(regexMatch(A457,"[A-Za-z]*_m_.*"), " Male", "")))</f>
        <v/>
      </c>
      <c r="H457" s="16" t="str">
        <f>IF(regexMatch(A457,".*_([0-9]+$)"), CONCATENATE(" ",VALUE(TRIM(CLEAN(RegexFindGroup(A457,".*_([0-9]*)"))))), "")</f>
        <v/>
      </c>
      <c r="I457" s="16" t="str">
        <f>IF(regexMatch(A457,"cs_.*")," (CS)", (IF(regexMatch(A457,"ig_.*"), " (IG)", "")))</f>
        <v xml:space="preserve"> (IG)</v>
      </c>
      <c r="J457" s="10" t="str">
        <f t="shared" si="15"/>
        <v>Minuteman Joe (IG)</v>
      </c>
    </row>
    <row r="458" spans="1:10" x14ac:dyDescent="0.25">
      <c r="A458" s="6" t="s">
        <v>741</v>
      </c>
      <c r="B458" s="6" t="str">
        <f t="shared" si="16"/>
        <v>u_f_m_miranda</v>
      </c>
      <c r="C458" s="6" t="s">
        <v>742</v>
      </c>
      <c r="D458" s="7" t="str">
        <f>PROPER(C458)</f>
        <v>Miranda</v>
      </c>
      <c r="E458" s="4" t="s">
        <v>1192</v>
      </c>
      <c r="F458" s="9" t="str">
        <f>IF(regexMatch(A458,"[A-Za-z]*_y_.*")," Young",(IF(regexMatch(A458,"[A-Za-z]*_o_.*")," Old", "")))</f>
        <v/>
      </c>
      <c r="G458" s="16"/>
      <c r="H458" s="16" t="str">
        <f>IF(regexMatch(A458,".*_([0-9]+$)"), CONCATENATE(" ",VALUE(TRIM(CLEAN(RegexFindGroup(A458,".*_([0-9]*)"))))), "")</f>
        <v/>
      </c>
      <c r="I458" s="16" t="str">
        <f>IF(regexMatch(A458,"cs_.*")," (CS)", (IF(regexMatch(A458,"ig_.*"), " (IG)", "")))</f>
        <v/>
      </c>
      <c r="J458" s="10" t="str">
        <f t="shared" si="15"/>
        <v>Miranda</v>
      </c>
    </row>
    <row r="459" spans="1:10" x14ac:dyDescent="0.25">
      <c r="A459" s="6" t="s">
        <v>743</v>
      </c>
      <c r="B459" s="6" t="str">
        <f t="shared" si="16"/>
        <v>u_f_y_mistress</v>
      </c>
      <c r="C459" s="6" t="s">
        <v>744</v>
      </c>
      <c r="D459" s="7" t="str">
        <f>PROPER(C459)</f>
        <v>Mistress</v>
      </c>
      <c r="E459" s="11" t="s">
        <v>1193</v>
      </c>
      <c r="F459" s="9"/>
      <c r="G459" s="16"/>
      <c r="H459" s="16" t="str">
        <f>IF(regexMatch(A459,".*_([0-9]+$)"), CONCATENATE(" ",VALUE(TRIM(CLEAN(RegexFindGroup(A459,".*_([0-9]*)"))))), "")</f>
        <v/>
      </c>
      <c r="I459" s="16" t="str">
        <f>IF(regexMatch(A459,"cs_.*")," (CS)", (IF(regexMatch(A459,"ig_.*"), " (IG)", "")))</f>
        <v/>
      </c>
      <c r="J459" s="10" t="str">
        <f t="shared" si="15"/>
        <v>Mistress</v>
      </c>
    </row>
    <row r="460" spans="1:10" x14ac:dyDescent="0.25">
      <c r="A460" s="6" t="s">
        <v>745</v>
      </c>
      <c r="B460" s="6" t="str">
        <f t="shared" si="16"/>
        <v>mp_f_misty_01</v>
      </c>
      <c r="C460" s="6" t="s">
        <v>746</v>
      </c>
      <c r="D460" s="7" t="str">
        <f>PROPER(C460)</f>
        <v>Misty</v>
      </c>
      <c r="E460" s="4" t="s">
        <v>1194</v>
      </c>
      <c r="F460" s="9" t="str">
        <f>IF(regexMatch(A460,"[A-Za-z]*_y_.*")," Young",(IF(regexMatch(A460,"[A-Za-z]*_o_.*")," Old", "")))</f>
        <v/>
      </c>
      <c r="G460" s="16"/>
      <c r="H460" s="16" t="str">
        <f>IF(regexMatch(A460,".*_([0-9]+$)"), CONCATENATE(" ",VALUE(TRIM(CLEAN(RegexFindGroup(A460,".*_([0-9]*)"))))), "")</f>
        <v xml:space="preserve"> 1</v>
      </c>
      <c r="I460" s="16" t="str">
        <f>IF(regexMatch(A460,"cs_.*")," (CS)", (IF(regexMatch(A460,"ig_.*"), " (IG)", "")))</f>
        <v/>
      </c>
      <c r="J460" s="10" t="str">
        <f t="shared" si="15"/>
        <v>Misty</v>
      </c>
    </row>
    <row r="461" spans="1:10" x14ac:dyDescent="0.25">
      <c r="A461" s="6" t="s">
        <v>747</v>
      </c>
      <c r="B461" s="6" t="str">
        <f t="shared" si="16"/>
        <v>cs_molly</v>
      </c>
      <c r="C461" s="6" t="s">
        <v>748</v>
      </c>
      <c r="D461" s="7" t="str">
        <f>PROPER(C461)</f>
        <v>Molly</v>
      </c>
      <c r="E461" s="4" t="s">
        <v>1195</v>
      </c>
      <c r="F461" s="9" t="str">
        <f>IF(regexMatch(A461,"[A-Za-z]*_y_.*")," Young",(IF(regexMatch(A461,"[A-Za-z]*_o_.*")," Old", "")))</f>
        <v/>
      </c>
      <c r="G461" s="16" t="str">
        <f>IF(regexMatch(A461,"[A-Za-z]*_f_.*")," Female", (IF(regexMatch(A461,"[A-Za-z]*_m_.*"), " Male", "")))</f>
        <v/>
      </c>
      <c r="H461" s="16" t="str">
        <f>IF(regexMatch(A461,".*_([0-9]+$)"), CONCATENATE(" ",VALUE(TRIM(CLEAN(RegexFindGroup(A461,".*_([0-9]*)"))))), "")</f>
        <v/>
      </c>
      <c r="I461" s="16" t="str">
        <f>IF(regexMatch(A461,"cs_.*")," (CS)", (IF(regexMatch(A461,"ig_.*"), " (IG)", "")))</f>
        <v xml:space="preserve"> (CS)</v>
      </c>
      <c r="J461" s="10" t="str">
        <f t="shared" si="15"/>
        <v>Molly (CS)</v>
      </c>
    </row>
    <row r="462" spans="1:10" x14ac:dyDescent="0.25">
      <c r="A462" s="6" t="s">
        <v>749</v>
      </c>
      <c r="B462" s="6" t="str">
        <f t="shared" si="16"/>
        <v>ig_molly</v>
      </c>
      <c r="C462" s="6" t="s">
        <v>748</v>
      </c>
      <c r="D462" s="7" t="str">
        <f>PROPER(C462)</f>
        <v>Molly</v>
      </c>
      <c r="E462" s="4" t="s">
        <v>1195</v>
      </c>
      <c r="F462" s="9" t="str">
        <f>IF(regexMatch(A462,"[A-Za-z]*_y_.*")," Young",(IF(regexMatch(A462,"[A-Za-z]*_o_.*")," Old", "")))</f>
        <v/>
      </c>
      <c r="G462" s="16" t="str">
        <f>IF(regexMatch(A462,"[A-Za-z]*_f_.*")," Female", (IF(regexMatch(A462,"[A-Za-z]*_m_.*"), " Male", "")))</f>
        <v/>
      </c>
      <c r="H462" s="16" t="str">
        <f>IF(regexMatch(A462,".*_([0-9]+$)"), CONCATENATE(" ",VALUE(TRIM(CLEAN(RegexFindGroup(A462,".*_([0-9]*)"))))), "")</f>
        <v/>
      </c>
      <c r="I462" s="16" t="str">
        <f>IF(regexMatch(A462,"cs_.*")," (CS)", (IF(regexMatch(A462,"ig_.*"), " (IG)", "")))</f>
        <v xml:space="preserve"> (IG)</v>
      </c>
      <c r="J462" s="10" t="str">
        <f t="shared" si="15"/>
        <v>Molly (IG)</v>
      </c>
    </row>
    <row r="463" spans="1:10" x14ac:dyDescent="0.25">
      <c r="A463" s="1" t="s">
        <v>1511</v>
      </c>
      <c r="B463" s="6" t="str">
        <f t="shared" si="16"/>
        <v>csb_money</v>
      </c>
      <c r="D463" s="7"/>
      <c r="E463" s="21" t="s">
        <v>1550</v>
      </c>
      <c r="F463" s="9"/>
      <c r="G463" s="16"/>
      <c r="H463" s="16" t="str">
        <f>IF(regexMatch(A463,".*_([0-9]+$)"), CONCATENATE(" ",VALUE(TRIM(CLEAN(RegexFindGroup(A463,".*_([0-9]*)"))))), "")</f>
        <v/>
      </c>
      <c r="I463" s="16"/>
      <c r="J463" s="10" t="str">
        <f t="shared" si="15"/>
        <v>Money Man (CS)</v>
      </c>
    </row>
    <row r="464" spans="1:10" x14ac:dyDescent="0.25">
      <c r="A464" s="1" t="s">
        <v>1517</v>
      </c>
      <c r="B464" s="6" t="str">
        <f t="shared" si="16"/>
        <v>ig_money</v>
      </c>
      <c r="D464" s="7"/>
      <c r="E464" s="21" t="s">
        <v>1552</v>
      </c>
      <c r="F464" s="9"/>
      <c r="G464" s="16"/>
      <c r="H464" s="16" t="str">
        <f>IF(regexMatch(A464,".*_([0-9]+$)"), CONCATENATE(" ",VALUE(TRIM(CLEAN(RegexFindGroup(A464,".*_([0-9]*)"))))), "")</f>
        <v/>
      </c>
      <c r="I464" s="16"/>
      <c r="J464" s="10" t="str">
        <f t="shared" si="15"/>
        <v>Money Man (IG)</v>
      </c>
    </row>
    <row r="465" spans="1:10" x14ac:dyDescent="0.25">
      <c r="A465" s="6" t="s">
        <v>750</v>
      </c>
      <c r="B465" s="6" t="str">
        <f t="shared" si="16"/>
        <v>a_m_y_motox_01</v>
      </c>
      <c r="C465" s="6" t="s">
        <v>751</v>
      </c>
      <c r="D465" s="7" t="str">
        <f>PROPER(C465)</f>
        <v>Motox</v>
      </c>
      <c r="E465" s="4" t="s">
        <v>1349</v>
      </c>
      <c r="F465" s="9"/>
      <c r="G465" s="16"/>
      <c r="H465" s="16" t="str">
        <f>IF(regexMatch(A465,".*_([0-9]+$)"), CONCATENATE(" ",VALUE(TRIM(CLEAN(RegexFindGroup(A465,".*_([0-9]*)"))))), "")</f>
        <v xml:space="preserve"> 1</v>
      </c>
      <c r="I465" s="16" t="str">
        <f>IF(regexMatch(A465,"cs_.*")," (CS)", (IF(regexMatch(A465,"ig_.*"), " (IG)", "")))</f>
        <v/>
      </c>
      <c r="J465" s="10" t="str">
        <f t="shared" si="15"/>
        <v>Motocross Biker</v>
      </c>
    </row>
    <row r="466" spans="1:10" x14ac:dyDescent="0.25">
      <c r="A466" s="6" t="s">
        <v>752</v>
      </c>
      <c r="B466" s="6" t="str">
        <f t="shared" si="16"/>
        <v>a_m_y_motox_02</v>
      </c>
      <c r="C466" s="6" t="s">
        <v>751</v>
      </c>
      <c r="D466" s="7" t="str">
        <f>PROPER(C466)</f>
        <v>Motox</v>
      </c>
      <c r="E466" s="4" t="s">
        <v>1349</v>
      </c>
      <c r="F466" s="9"/>
      <c r="G466" s="16"/>
      <c r="H466" s="16" t="str">
        <f>IF(regexMatch(A466,".*_([0-9]+$)"), CONCATENATE(" ",VALUE(TRIM(CLEAN(RegexFindGroup(A466,".*_([0-9]*)"))))), "")</f>
        <v xml:space="preserve"> 2</v>
      </c>
      <c r="I466" s="16" t="str">
        <f>IF(regexMatch(A466,"cs_.*")," (CS)", (IF(regexMatch(A466,"ig_.*"), " (IG)", "")))</f>
        <v/>
      </c>
      <c r="J466" s="10" t="str">
        <f t="shared" si="15"/>
        <v>Motocross Biker 2</v>
      </c>
    </row>
    <row r="467" spans="1:10" x14ac:dyDescent="0.25">
      <c r="A467" s="6" t="s">
        <v>762</v>
      </c>
      <c r="B467" s="6" t="str">
        <f t="shared" si="16"/>
        <v>s_m_m_movspace_01</v>
      </c>
      <c r="C467" s="6" t="s">
        <v>763</v>
      </c>
      <c r="D467" s="7" t="str">
        <f>PROPER(C467)</f>
        <v>Movspace</v>
      </c>
      <c r="E467" s="4" t="s">
        <v>1286</v>
      </c>
      <c r="F467" s="9"/>
      <c r="G467" s="16"/>
      <c r="H467" s="16" t="str">
        <f>IF(regexMatch(A467,".*_([0-9]+$)"), CONCATENATE(" ",VALUE(TRIM(CLEAN(RegexFindGroup(A467,".*_([0-9]*)"))))), "")</f>
        <v xml:space="preserve"> 1</v>
      </c>
      <c r="I467" s="16" t="str">
        <f>IF(regexMatch(A467,"cs_.*")," (CS)", (IF(regexMatch(A467,"ig_.*"), " (IG)", "")))</f>
        <v/>
      </c>
      <c r="J467" s="10" t="str">
        <f t="shared" si="15"/>
        <v>Movie Astronaut</v>
      </c>
    </row>
    <row r="468" spans="1:10" x14ac:dyDescent="0.25">
      <c r="A468" s="6" t="s">
        <v>481</v>
      </c>
      <c r="B468" s="6" t="str">
        <f t="shared" si="16"/>
        <v>u_m_m_filmdirector</v>
      </c>
      <c r="C468" s="6" t="s">
        <v>482</v>
      </c>
      <c r="D468" s="7" t="str">
        <f>PROPER(C468)</f>
        <v>Filmdirector</v>
      </c>
      <c r="E468" s="4" t="s">
        <v>1303</v>
      </c>
      <c r="F468" s="9"/>
      <c r="G468" s="16"/>
      <c r="H468" s="16" t="str">
        <f>IF(regexMatch(A468,".*_([0-9]+$)"), CONCATENATE(" ",VALUE(TRIM(CLEAN(RegexFindGroup(A468,".*_([0-9]*)"))))), "")</f>
        <v/>
      </c>
      <c r="I468" s="16" t="str">
        <f>IF(regexMatch(A468,"cs_.*")," (CS)", (IF(regexMatch(A468,"ig_.*"), " (IG)", "")))</f>
        <v/>
      </c>
      <c r="J468" s="10" t="str">
        <f t="shared" si="15"/>
        <v>Movie Director</v>
      </c>
    </row>
    <row r="469" spans="1:10" x14ac:dyDescent="0.25">
      <c r="A469" s="6" t="s">
        <v>755</v>
      </c>
      <c r="B469" s="6" t="str">
        <f t="shared" si="16"/>
        <v>s_f_y_movprem_01</v>
      </c>
      <c r="C469" s="6" t="s">
        <v>756</v>
      </c>
      <c r="D469" s="7" t="str">
        <f>PROPER(C469)</f>
        <v>Movprem</v>
      </c>
      <c r="E469" s="4" t="s">
        <v>1463</v>
      </c>
      <c r="F469" s="9"/>
      <c r="G469" s="16" t="str">
        <f>IF(regexMatch(A469,"[A-Za-z]*_f_.*")," Female", (IF(regexMatch(A469,"[A-Za-z]*_m_.*"), " Male", "")))</f>
        <v xml:space="preserve"> Female</v>
      </c>
      <c r="H469" s="16" t="str">
        <f>IF(regexMatch(A469,".*_([0-9]+$)"), CONCATENATE(" ",VALUE(TRIM(CLEAN(RegexFindGroup(A469,".*_([0-9]*)"))))), "")</f>
        <v xml:space="preserve"> 1</v>
      </c>
      <c r="I469" s="16" t="str">
        <f>IF(regexMatch(A469,"cs_.*")," (CS)", (IF(regexMatch(A469,"ig_.*"), " (IG)", "")))</f>
        <v/>
      </c>
      <c r="J469" s="10" t="str">
        <f t="shared" si="15"/>
        <v>Movie Premiere Female</v>
      </c>
    </row>
    <row r="470" spans="1:10" x14ac:dyDescent="0.25">
      <c r="A470" s="6" t="s">
        <v>758</v>
      </c>
      <c r="B470" s="6" t="str">
        <f t="shared" si="16"/>
        <v>cs_movpremf_01</v>
      </c>
      <c r="C470" s="6" t="s">
        <v>759</v>
      </c>
      <c r="D470" s="7" t="str">
        <f>PROPER(C470)</f>
        <v>Movpremf</v>
      </c>
      <c r="E470" s="4" t="s">
        <v>1288</v>
      </c>
      <c r="F470" s="9" t="str">
        <f>IF(regexMatch(A470,"[A-Za-z]*_y_.*")," Young",(IF(regexMatch(A470,"[A-Za-z]*_o_.*")," Old", "")))</f>
        <v/>
      </c>
      <c r="G470" s="16" t="str">
        <f>IF(regexMatch(A470,"[A-Za-z]*_f_.*")," Female", (IF(regexMatch(A470,"[A-Za-z]*_m_.*"), " Male", "")))</f>
        <v/>
      </c>
      <c r="H470" s="16" t="str">
        <f>IF(regexMatch(A470,".*_([0-9]+$)"), CONCATENATE(" ",VALUE(TRIM(CLEAN(RegexFindGroup(A470,".*_([0-9]*)"))))), "")</f>
        <v xml:space="preserve"> 1</v>
      </c>
      <c r="I470" s="16" t="str">
        <f>IF(regexMatch(A470,"cs_.*")," (CS)", (IF(regexMatch(A470,"ig_.*"), " (IG)", "")))</f>
        <v xml:space="preserve"> (CS)</v>
      </c>
      <c r="J470" s="10" t="str">
        <f t="shared" si="15"/>
        <v>Movie Premiere Female (CS)</v>
      </c>
    </row>
    <row r="471" spans="1:10" x14ac:dyDescent="0.25">
      <c r="A471" s="6" t="s">
        <v>757</v>
      </c>
      <c r="B471" s="6" t="str">
        <f t="shared" si="16"/>
        <v>s_m_m_movprem_01</v>
      </c>
      <c r="C471" s="6" t="s">
        <v>756</v>
      </c>
      <c r="D471" s="7" t="str">
        <f>PROPER(C471)</f>
        <v>Movprem</v>
      </c>
      <c r="E471" s="4" t="s">
        <v>1463</v>
      </c>
      <c r="F471" s="9" t="str">
        <f>IF(regexMatch(A471,"[A-Za-z]*_y_.*")," Young",(IF(regexMatch(A471,"[A-Za-z]*_o_.*")," Old", "")))</f>
        <v/>
      </c>
      <c r="G471" s="16" t="str">
        <f>IF(regexMatch(A471,"[A-Za-z]*_f_.*")," Female", (IF(regexMatch(A471,"[A-Za-z]*_m_.*"), " Male", "")))</f>
        <v xml:space="preserve"> Male</v>
      </c>
      <c r="H471" s="16" t="str">
        <f>IF(regexMatch(A471,".*_([0-9]+$)"), CONCATENATE(" ",VALUE(TRIM(CLEAN(RegexFindGroup(A471,".*_([0-9]*)"))))), "")</f>
        <v xml:space="preserve"> 1</v>
      </c>
      <c r="I471" s="16" t="str">
        <f>IF(regexMatch(A471,"cs_.*")," (CS)", (IF(regexMatch(A471,"ig_.*"), " (IG)", "")))</f>
        <v/>
      </c>
      <c r="J471" s="10" t="str">
        <f t="shared" si="15"/>
        <v>Movie Premiere Male</v>
      </c>
    </row>
    <row r="472" spans="1:10" x14ac:dyDescent="0.25">
      <c r="A472" s="6" t="s">
        <v>760</v>
      </c>
      <c r="B472" s="6" t="str">
        <f t="shared" si="16"/>
        <v>cs_movpremmale</v>
      </c>
      <c r="C472" s="6" t="s">
        <v>761</v>
      </c>
      <c r="D472" s="7" t="str">
        <f>PROPER(C472)</f>
        <v>Movpremmale</v>
      </c>
      <c r="E472" s="4" t="s">
        <v>1287</v>
      </c>
      <c r="F472" s="9" t="str">
        <f>IF(regexMatch(A472,"[A-Za-z]*_y_.*")," Young",(IF(regexMatch(A472,"[A-Za-z]*_o_.*")," Old", "")))</f>
        <v/>
      </c>
      <c r="G472" s="16" t="str">
        <f>IF(regexMatch(A472,"[A-Za-z]*_f_.*")," Female", (IF(regexMatch(A472,"[A-Za-z]*_m_.*"), " Male", "")))</f>
        <v/>
      </c>
      <c r="H472" s="16" t="str">
        <f>IF(regexMatch(A472,".*_([0-9]+$)"), CONCATENATE(" ",VALUE(TRIM(CLEAN(RegexFindGroup(A472,".*_([0-9]*)"))))), "")</f>
        <v/>
      </c>
      <c r="I472" s="16" t="str">
        <f>IF(regexMatch(A472,"cs_.*")," (CS)", (IF(regexMatch(A472,"ig_.*"), " (IG)", "")))</f>
        <v xml:space="preserve"> (CS)</v>
      </c>
      <c r="J472" s="10" t="str">
        <f t="shared" si="15"/>
        <v>Movie Premiere Male (CS)</v>
      </c>
    </row>
    <row r="473" spans="1:10" x14ac:dyDescent="0.25">
      <c r="A473" s="6" t="s">
        <v>753</v>
      </c>
      <c r="B473" s="6" t="str">
        <f t="shared" si="16"/>
        <v>u_f_o_moviestar</v>
      </c>
      <c r="C473" s="6" t="s">
        <v>754</v>
      </c>
      <c r="D473" s="7" t="str">
        <f>PROPER(C473)</f>
        <v>Moviestar</v>
      </c>
      <c r="E473" s="4" t="s">
        <v>1312</v>
      </c>
      <c r="F473" s="9"/>
      <c r="G473" s="16" t="str">
        <f>IF(regexMatch(A473,"[A-Za-z]*_f_.*")," Female", (IF(regexMatch(A473,"[A-Za-z]*_m_.*"), " Male", "")))</f>
        <v xml:space="preserve"> Female</v>
      </c>
      <c r="H473" s="16" t="str">
        <f>IF(regexMatch(A473,".*_([0-9]+$)"), CONCATENATE(" ",VALUE(TRIM(CLEAN(RegexFindGroup(A473,".*_([0-9]*)"))))), "")</f>
        <v/>
      </c>
      <c r="I473" s="16" t="str">
        <f>IF(regexMatch(A473,"cs_.*")," (CS)", (IF(regexMatch(A473,"ig_.*"), " (IG)", "")))</f>
        <v/>
      </c>
      <c r="J473" s="10" t="str">
        <f t="shared" si="15"/>
        <v>Movie Star Female</v>
      </c>
    </row>
    <row r="474" spans="1:10" x14ac:dyDescent="0.25">
      <c r="A474" s="6" t="s">
        <v>767</v>
      </c>
      <c r="B474" s="6" t="str">
        <f t="shared" si="16"/>
        <v>cs_mrsphillips</v>
      </c>
      <c r="C474" s="6" t="s">
        <v>768</v>
      </c>
      <c r="D474" s="7" t="str">
        <f>PROPER(C474)</f>
        <v>Mrsphillips</v>
      </c>
      <c r="E474" s="4" t="s">
        <v>1285</v>
      </c>
      <c r="F474" s="9" t="str">
        <f>IF(regexMatch(A474,"[A-Za-z]*_y_.*")," Young",(IF(regexMatch(A474,"[A-Za-z]*_o_.*")," Old", "")))</f>
        <v/>
      </c>
      <c r="G474" s="16" t="str">
        <f>IF(regexMatch(A474,"[A-Za-z]*_f_.*")," Female", (IF(regexMatch(A474,"[A-Za-z]*_m_.*"), " Male", "")))</f>
        <v/>
      </c>
      <c r="H474" s="16" t="str">
        <f>IF(regexMatch(A474,".*_([0-9]+$)"), CONCATENATE(" ",VALUE(TRIM(CLEAN(RegexFindGroup(A474,".*_([0-9]*)"))))), "")</f>
        <v/>
      </c>
      <c r="I474" s="16" t="str">
        <f>IF(regexMatch(A474,"cs_.*")," (CS)", (IF(regexMatch(A474,"ig_.*"), " (IG)", "")))</f>
        <v xml:space="preserve"> (CS)</v>
      </c>
      <c r="J474" s="10" t="str">
        <f t="shared" si="15"/>
        <v>Mrs. Phillips (CS)</v>
      </c>
    </row>
    <row r="475" spans="1:10" x14ac:dyDescent="0.25">
      <c r="A475" s="6" t="s">
        <v>769</v>
      </c>
      <c r="B475" s="6" t="str">
        <f t="shared" si="16"/>
        <v>ig_mrsphillips</v>
      </c>
      <c r="C475" s="6" t="s">
        <v>768</v>
      </c>
      <c r="D475" s="7" t="str">
        <f>PROPER(C475)</f>
        <v>Mrsphillips</v>
      </c>
      <c r="E475" s="4" t="s">
        <v>1285</v>
      </c>
      <c r="F475" s="9" t="str">
        <f>IF(regexMatch(A475,"[A-Za-z]*_y_.*")," Young",(IF(regexMatch(A475,"[A-Za-z]*_o_.*")," Old", "")))</f>
        <v/>
      </c>
      <c r="G475" s="16" t="str">
        <f>IF(regexMatch(A475,"[A-Za-z]*_f_.*")," Female", (IF(regexMatch(A475,"[A-Za-z]*_m_.*"), " Male", "")))</f>
        <v/>
      </c>
      <c r="H475" s="16" t="str">
        <f>IF(regexMatch(A475,".*_([0-9]+$)"), CONCATENATE(" ",VALUE(TRIM(CLEAN(RegexFindGroup(A475,".*_([0-9]*)"))))), "")</f>
        <v/>
      </c>
      <c r="I475" s="16" t="str">
        <f>IF(regexMatch(A475,"cs_.*")," (CS)", (IF(regexMatch(A475,"ig_.*"), " (IG)", "")))</f>
        <v xml:space="preserve"> (IG)</v>
      </c>
      <c r="J475" s="10" t="str">
        <f t="shared" si="15"/>
        <v>Mrs. Phillips (IG)</v>
      </c>
    </row>
    <row r="476" spans="1:10" x14ac:dyDescent="0.25">
      <c r="A476" s="6" t="s">
        <v>764</v>
      </c>
      <c r="B476" s="6" t="str">
        <f t="shared" si="16"/>
        <v>cs_mrs_thornhill</v>
      </c>
      <c r="C476" s="6" t="s">
        <v>765</v>
      </c>
      <c r="D476" s="7" t="str">
        <f>PROPER(C476)</f>
        <v>Mrs_Thornhill</v>
      </c>
      <c r="E476" s="4" t="s">
        <v>1284</v>
      </c>
      <c r="F476" s="9" t="str">
        <f>IF(regexMatch(A476,"[A-Za-z]*_y_.*")," Young",(IF(regexMatch(A476,"[A-Za-z]*_o_.*")," Old", "")))</f>
        <v/>
      </c>
      <c r="G476" s="16" t="str">
        <f>IF(regexMatch(A476,"[A-Za-z]*_f_.*")," Female", (IF(regexMatch(A476,"[A-Za-z]*_m_.*"), " Male", "")))</f>
        <v/>
      </c>
      <c r="H476" s="16" t="str">
        <f>IF(regexMatch(A476,".*_([0-9]+$)"), CONCATENATE(" ",VALUE(TRIM(CLEAN(RegexFindGroup(A476,".*_([0-9]*)"))))), "")</f>
        <v/>
      </c>
      <c r="I476" s="16" t="str">
        <f>IF(regexMatch(A476,"cs_.*")," (CS)", (IF(regexMatch(A476,"ig_.*"), " (IG)", "")))</f>
        <v xml:space="preserve"> (CS)</v>
      </c>
      <c r="J476" s="10" t="str">
        <f t="shared" si="15"/>
        <v>Mrs. Thornhill (CS)</v>
      </c>
    </row>
    <row r="477" spans="1:10" x14ac:dyDescent="0.25">
      <c r="A477" s="6" t="s">
        <v>766</v>
      </c>
      <c r="B477" s="6" t="str">
        <f t="shared" si="16"/>
        <v>ig_mrs_thornhill</v>
      </c>
      <c r="C477" s="6" t="s">
        <v>765</v>
      </c>
      <c r="D477" s="7" t="str">
        <f>PROPER(C477)</f>
        <v>Mrs_Thornhill</v>
      </c>
      <c r="E477" s="4" t="s">
        <v>1284</v>
      </c>
      <c r="F477" s="9" t="str">
        <f>IF(regexMatch(A477,"[A-Za-z]*_y_.*")," Young",(IF(regexMatch(A477,"[A-Za-z]*_o_.*")," Old", "")))</f>
        <v/>
      </c>
      <c r="G477" s="16" t="str">
        <f>IF(regexMatch(A477,"[A-Za-z]*_f_.*")," Female", (IF(regexMatch(A477,"[A-Za-z]*_m_.*"), " Male", "")))</f>
        <v/>
      </c>
      <c r="H477" s="16" t="str">
        <f>IF(regexMatch(A477,".*_([0-9]+$)"), CONCATENATE(" ",VALUE(TRIM(CLEAN(RegexFindGroup(A477,".*_([0-9]*)"))))), "")</f>
        <v/>
      </c>
      <c r="I477" s="16" t="str">
        <f>IF(regexMatch(A477,"cs_.*")," (CS)", (IF(regexMatch(A477,"ig_.*"), " (IG)", "")))</f>
        <v xml:space="preserve"> (IG)</v>
      </c>
      <c r="J477" s="10" t="str">
        <f t="shared" si="15"/>
        <v>Mrs. Thornhill (IG)</v>
      </c>
    </row>
    <row r="478" spans="1:10" x14ac:dyDescent="0.25">
      <c r="A478" s="6" t="s">
        <v>773</v>
      </c>
      <c r="B478" s="6" t="str">
        <f t="shared" si="16"/>
        <v>cs_natalia</v>
      </c>
      <c r="C478" s="6" t="s">
        <v>774</v>
      </c>
      <c r="D478" s="7" t="str">
        <f>PROPER(C478)</f>
        <v>Natalia</v>
      </c>
      <c r="E478" s="4" t="s">
        <v>1196</v>
      </c>
      <c r="F478" s="9" t="str">
        <f>IF(regexMatch(A478,"[A-Za-z]*_y_.*")," Young",(IF(regexMatch(A478,"[A-Za-z]*_o_.*")," Old", "")))</f>
        <v/>
      </c>
      <c r="G478" s="16" t="str">
        <f>IF(regexMatch(A478,"[A-Za-z]*_f_.*")," Female", (IF(regexMatch(A478,"[A-Za-z]*_m_.*"), " Male", "")))</f>
        <v/>
      </c>
      <c r="H478" s="16" t="str">
        <f>IF(regexMatch(A478,".*_([0-9]+$)"), CONCATENATE(" ",VALUE(TRIM(CLEAN(RegexFindGroup(A478,".*_([0-9]*)"))))), "")</f>
        <v/>
      </c>
      <c r="I478" s="16" t="str">
        <f>IF(regexMatch(A478,"cs_.*")," (CS)", (IF(regexMatch(A478,"ig_.*"), " (IG)", "")))</f>
        <v xml:space="preserve"> (CS)</v>
      </c>
      <c r="J478" s="10" t="str">
        <f t="shared" si="15"/>
        <v>Natalia (CS)</v>
      </c>
    </row>
    <row r="479" spans="1:10" x14ac:dyDescent="0.25">
      <c r="A479" s="6" t="s">
        <v>775</v>
      </c>
      <c r="B479" s="6" t="str">
        <f t="shared" si="16"/>
        <v>ig_natalia</v>
      </c>
      <c r="C479" s="6" t="s">
        <v>774</v>
      </c>
      <c r="D479" s="7" t="str">
        <f>PROPER(C479)</f>
        <v>Natalia</v>
      </c>
      <c r="E479" s="4" t="s">
        <v>1196</v>
      </c>
      <c r="F479" s="9" t="str">
        <f>IF(regexMatch(A479,"[A-Za-z]*_y_.*")," Young",(IF(regexMatch(A479,"[A-Za-z]*_o_.*")," Old", "")))</f>
        <v/>
      </c>
      <c r="G479" s="16" t="str">
        <f>IF(regexMatch(A479,"[A-Za-z]*_f_.*")," Female", (IF(regexMatch(A479,"[A-Za-z]*_m_.*"), " Male", "")))</f>
        <v/>
      </c>
      <c r="H479" s="16" t="str">
        <f>IF(regexMatch(A479,".*_([0-9]+$)"), CONCATENATE(" ",VALUE(TRIM(CLEAN(RegexFindGroup(A479,".*_([0-9]*)"))))), "")</f>
        <v/>
      </c>
      <c r="I479" s="16" t="str">
        <f>IF(regexMatch(A479,"cs_.*")," (CS)", (IF(regexMatch(A479,"ig_.*"), " (IG)", "")))</f>
        <v xml:space="preserve"> (IG)</v>
      </c>
      <c r="J479" s="10" t="str">
        <f t="shared" si="15"/>
        <v>Natalia (IG)</v>
      </c>
    </row>
    <row r="480" spans="1:10" x14ac:dyDescent="0.25">
      <c r="A480" s="6" t="s">
        <v>776</v>
      </c>
      <c r="B480" s="6" t="str">
        <f t="shared" si="16"/>
        <v>cs_nervousron</v>
      </c>
      <c r="C480" s="6" t="s">
        <v>777</v>
      </c>
      <c r="D480" s="7" t="str">
        <f>PROPER(C480)</f>
        <v>Nervousron</v>
      </c>
      <c r="E480" s="4" t="s">
        <v>1313</v>
      </c>
      <c r="F480" s="9" t="str">
        <f>IF(regexMatch(A480,"[A-Za-z]*_y_.*")," Young",(IF(regexMatch(A480,"[A-Za-z]*_o_.*")," Old", "")))</f>
        <v/>
      </c>
      <c r="G480" s="16" t="str">
        <f>IF(regexMatch(A480,"[A-Za-z]*_f_.*")," Female", (IF(regexMatch(A480,"[A-Za-z]*_m_.*"), " Male", "")))</f>
        <v/>
      </c>
      <c r="H480" s="16" t="str">
        <f>IF(regexMatch(A480,".*_([0-9]+$)"), CONCATENATE(" ",VALUE(TRIM(CLEAN(RegexFindGroup(A480,".*_([0-9]*)"))))), "")</f>
        <v/>
      </c>
      <c r="I480" s="16" t="str">
        <f>IF(regexMatch(A480,"cs_.*")," (CS)", (IF(regexMatch(A480,"ig_.*"), " (IG)", "")))</f>
        <v xml:space="preserve"> (CS)</v>
      </c>
      <c r="J480" s="10" t="str">
        <f t="shared" si="15"/>
        <v>Nervous Ron (CS)</v>
      </c>
    </row>
    <row r="481" spans="1:10" x14ac:dyDescent="0.25">
      <c r="A481" s="6" t="s">
        <v>778</v>
      </c>
      <c r="B481" s="6" t="str">
        <f t="shared" si="16"/>
        <v>ig_nervousron</v>
      </c>
      <c r="C481" s="6" t="s">
        <v>777</v>
      </c>
      <c r="D481" s="7" t="str">
        <f>PROPER(C481)</f>
        <v>Nervousron</v>
      </c>
      <c r="E481" s="4" t="s">
        <v>1313</v>
      </c>
      <c r="F481" s="9" t="str">
        <f>IF(regexMatch(A481,"[A-Za-z]*_y_.*")," Young",(IF(regexMatch(A481,"[A-Za-z]*_o_.*")," Old", "")))</f>
        <v/>
      </c>
      <c r="G481" s="16" t="str">
        <f>IF(regexMatch(A481,"[A-Za-z]*_f_.*")," Female", (IF(regexMatch(A481,"[A-Za-z]*_m_.*"), " Male", "")))</f>
        <v/>
      </c>
      <c r="H481" s="16" t="str">
        <f>IF(regexMatch(A481,".*_([0-9]+$)"), CONCATENATE(" ",VALUE(TRIM(CLEAN(RegexFindGroup(A481,".*_([0-9]*)"))))), "")</f>
        <v/>
      </c>
      <c r="I481" s="16" t="str">
        <f>IF(regexMatch(A481,"cs_.*")," (CS)", (IF(regexMatch(A481,"ig_.*"), " (IG)", "")))</f>
        <v xml:space="preserve"> (IG)</v>
      </c>
      <c r="J481" s="10" t="str">
        <f t="shared" si="15"/>
        <v>Nervous Ron (IG)</v>
      </c>
    </row>
    <row r="482" spans="1:10" x14ac:dyDescent="0.25">
      <c r="A482" s="6" t="s">
        <v>779</v>
      </c>
      <c r="B482" s="6" t="str">
        <f t="shared" si="16"/>
        <v>cs_nigel</v>
      </c>
      <c r="C482" s="6" t="s">
        <v>780</v>
      </c>
      <c r="D482" s="7" t="str">
        <f>PROPER(C482)</f>
        <v>Nigel</v>
      </c>
      <c r="E482" s="4" t="s">
        <v>1197</v>
      </c>
      <c r="F482" s="9" t="str">
        <f>IF(regexMatch(A482,"[A-Za-z]*_y_.*")," Young",(IF(regexMatch(A482,"[A-Za-z]*_o_.*")," Old", "")))</f>
        <v/>
      </c>
      <c r="G482" s="16" t="str">
        <f>IF(regexMatch(A482,"[A-Za-z]*_f_.*")," Female", (IF(regexMatch(A482,"[A-Za-z]*_m_.*"), " Male", "")))</f>
        <v/>
      </c>
      <c r="H482" s="16" t="str">
        <f>IF(regexMatch(A482,".*_([0-9]+$)"), CONCATENATE(" ",VALUE(TRIM(CLEAN(RegexFindGroup(A482,".*_([0-9]*)"))))), "")</f>
        <v/>
      </c>
      <c r="I482" s="16" t="str">
        <f>IF(regexMatch(A482,"cs_.*")," (CS)", (IF(regexMatch(A482,"ig_.*"), " (IG)", "")))</f>
        <v xml:space="preserve"> (CS)</v>
      </c>
      <c r="J482" s="10" t="str">
        <f t="shared" si="15"/>
        <v>Nigel (CS)</v>
      </c>
    </row>
    <row r="483" spans="1:10" x14ac:dyDescent="0.25">
      <c r="A483" s="6" t="s">
        <v>781</v>
      </c>
      <c r="B483" s="6" t="str">
        <f t="shared" si="16"/>
        <v>ig_nigel</v>
      </c>
      <c r="C483" s="6" t="s">
        <v>780</v>
      </c>
      <c r="D483" s="7" t="str">
        <f>PROPER(C483)</f>
        <v>Nigel</v>
      </c>
      <c r="E483" s="4" t="s">
        <v>1197</v>
      </c>
      <c r="F483" s="9" t="str">
        <f>IF(regexMatch(A483,"[A-Za-z]*_y_.*")," Young",(IF(regexMatch(A483,"[A-Za-z]*_o_.*")," Old", "")))</f>
        <v/>
      </c>
      <c r="G483" s="16" t="str">
        <f>IF(regexMatch(A483,"[A-Za-z]*_f_.*")," Female", (IF(regexMatch(A483,"[A-Za-z]*_m_.*"), " Male", "")))</f>
        <v/>
      </c>
      <c r="H483" s="16" t="str">
        <f>IF(regexMatch(A483,".*_([0-9]+$)"), CONCATENATE(" ",VALUE(TRIM(CLEAN(RegexFindGroup(A483,".*_([0-9]*)"))))), "")</f>
        <v/>
      </c>
      <c r="I483" s="16" t="str">
        <f>IF(regexMatch(A483,"cs_.*")," (CS)", (IF(regexMatch(A483,"ig_.*"), " (IG)", "")))</f>
        <v xml:space="preserve"> (IG)</v>
      </c>
      <c r="J483" s="10" t="str">
        <f t="shared" si="15"/>
        <v>Nigel (IG)</v>
      </c>
    </row>
    <row r="484" spans="1:10" x14ac:dyDescent="0.25">
      <c r="A484" s="6" t="s">
        <v>782</v>
      </c>
      <c r="B484" s="6" t="str">
        <f t="shared" si="16"/>
        <v>mp_m_niko_01</v>
      </c>
      <c r="C484" s="6" t="s">
        <v>783</v>
      </c>
      <c r="D484" s="7" t="str">
        <f>PROPER(C484)</f>
        <v>Niko</v>
      </c>
      <c r="E484" s="4" t="s">
        <v>1447</v>
      </c>
      <c r="F484" s="9" t="str">
        <f>IF(regexMatch(A484,"[A-Za-z]*_y_.*")," Young",(IF(regexMatch(A484,"[A-Za-z]*_o_.*")," Old", "")))</f>
        <v/>
      </c>
      <c r="G484" s="16"/>
      <c r="H484" s="16" t="str">
        <f>IF(regexMatch(A484,".*_([0-9]+$)"), CONCATENATE(" ",VALUE(TRIM(CLEAN(RegexFindGroup(A484,".*_([0-9]*)"))))), "")</f>
        <v xml:space="preserve"> 1</v>
      </c>
      <c r="I484" s="16" t="str">
        <f>IF(regexMatch(A484,"cs_.*")," (CS)", (IF(regexMatch(A484,"ig_.*"), " (IG)", "")))</f>
        <v/>
      </c>
      <c r="J484" s="10" t="str">
        <f t="shared" si="15"/>
        <v>Niko Bellic</v>
      </c>
    </row>
    <row r="485" spans="1:10" x14ac:dyDescent="0.25">
      <c r="A485" s="6" t="s">
        <v>784</v>
      </c>
      <c r="B485" s="6" t="str">
        <f t="shared" si="16"/>
        <v>a_m_m_og_boss_01</v>
      </c>
      <c r="C485" s="6" t="s">
        <v>785</v>
      </c>
      <c r="D485" s="7" t="str">
        <f>PROPER(C485)</f>
        <v>Og_Boss</v>
      </c>
      <c r="E485" s="4" t="s">
        <v>1334</v>
      </c>
      <c r="F485" s="9" t="str">
        <f>IF(regexMatch(A485,"[A-Za-z]*_y_.*")," Young",(IF(regexMatch(A485,"[A-Za-z]*_o_.*")," Old", "")))</f>
        <v/>
      </c>
      <c r="G485" s="16"/>
      <c r="H485" s="16" t="str">
        <f>IF(regexMatch(A485,".*_([0-9]+$)"), CONCATENATE(" ",VALUE(TRIM(CLEAN(RegexFindGroup(A485,".*_([0-9]*)"))))), "")</f>
        <v xml:space="preserve"> 1</v>
      </c>
      <c r="I485" s="16" t="str">
        <f>IF(regexMatch(A485,"cs_.*")," (CS)", (IF(regexMatch(A485,"ig_.*"), " (IG)", "")))</f>
        <v/>
      </c>
      <c r="J485" s="10" t="str">
        <f t="shared" si="15"/>
        <v>OG Boss</v>
      </c>
    </row>
    <row r="486" spans="1:10" x14ac:dyDescent="0.25">
      <c r="A486" s="6" t="s">
        <v>786</v>
      </c>
      <c r="B486" s="6" t="str">
        <f t="shared" si="16"/>
        <v>cs_old_man1a</v>
      </c>
      <c r="C486" s="6" t="s">
        <v>787</v>
      </c>
      <c r="D486" s="7" t="str">
        <f>PROPER(C486)</f>
        <v>Old_Man1A</v>
      </c>
      <c r="E486" s="4" t="s">
        <v>1318</v>
      </c>
      <c r="F486" s="9" t="str">
        <f>IF(regexMatch(A486,"[A-Za-z]*_y_.*")," Young",(IF(regexMatch(A486,"[A-Za-z]*_o_.*")," Old", "")))</f>
        <v/>
      </c>
      <c r="G486" s="16" t="str">
        <f>IF(regexMatch(A486,"[A-Za-z]*_f_.*")," Female", (IF(regexMatch(A486,"[A-Za-z]*_m_.*"), " Male", "")))</f>
        <v/>
      </c>
      <c r="H486" s="16" t="str">
        <f>IF(regexMatch(A486,".*_([0-9]+$)"), CONCATENATE(" ",VALUE(TRIM(CLEAN(RegexFindGroup(A486,".*_([0-9]*)"))))), "")</f>
        <v/>
      </c>
      <c r="I486" s="16" t="str">
        <f>IF(regexMatch(A486,"cs_.*")," (CS)", (IF(regexMatch(A486,"ig_.*"), " (IG)", "")))</f>
        <v xml:space="preserve"> (CS)</v>
      </c>
      <c r="J486" s="10" t="str">
        <f t="shared" si="15"/>
        <v>Old Man 1 (CS)</v>
      </c>
    </row>
    <row r="487" spans="1:10" x14ac:dyDescent="0.25">
      <c r="A487" s="6" t="s">
        <v>788</v>
      </c>
      <c r="B487" s="6" t="str">
        <f t="shared" si="16"/>
        <v>ig_old_man1a</v>
      </c>
      <c r="C487" s="6" t="s">
        <v>787</v>
      </c>
      <c r="D487" s="7" t="str">
        <f>PROPER(C487)</f>
        <v>Old_Man1A</v>
      </c>
      <c r="E487" s="4" t="s">
        <v>1318</v>
      </c>
      <c r="F487" s="9" t="str">
        <f>IF(regexMatch(A487,"[A-Za-z]*_y_.*")," Young",(IF(regexMatch(A487,"[A-Za-z]*_o_.*")," Old", "")))</f>
        <v/>
      </c>
      <c r="G487" s="16" t="str">
        <f>IF(regexMatch(A487,"[A-Za-z]*_f_.*")," Female", (IF(regexMatch(A487,"[A-Za-z]*_m_.*"), " Male", "")))</f>
        <v/>
      </c>
      <c r="H487" s="16" t="str">
        <f>IF(regexMatch(A487,".*_([0-9]+$)"), CONCATENATE(" ",VALUE(TRIM(CLEAN(RegexFindGroup(A487,".*_([0-9]*)"))))), "")</f>
        <v/>
      </c>
      <c r="I487" s="16" t="str">
        <f>IF(regexMatch(A487,"cs_.*")," (CS)", (IF(regexMatch(A487,"ig_.*"), " (IG)", "")))</f>
        <v xml:space="preserve"> (IG)</v>
      </c>
      <c r="J487" s="10" t="str">
        <f t="shared" si="15"/>
        <v>Old Man 1 (IG)</v>
      </c>
    </row>
    <row r="488" spans="1:10" x14ac:dyDescent="0.25">
      <c r="A488" s="6" t="s">
        <v>789</v>
      </c>
      <c r="B488" s="6" t="str">
        <f t="shared" si="16"/>
        <v>cs_old_man2</v>
      </c>
      <c r="C488" s="6" t="s">
        <v>790</v>
      </c>
      <c r="D488" s="7" t="str">
        <f>PROPER(C488)</f>
        <v>Old_Man2</v>
      </c>
      <c r="E488" s="4" t="s">
        <v>1319</v>
      </c>
      <c r="F488" s="9" t="str">
        <f>IF(regexMatch(A488,"[A-Za-z]*_y_.*")," Young",(IF(regexMatch(A488,"[A-Za-z]*_o_.*")," Old", "")))</f>
        <v/>
      </c>
      <c r="G488" s="16" t="str">
        <f>IF(regexMatch(A488,"[A-Za-z]*_f_.*")," Female", (IF(regexMatch(A488,"[A-Za-z]*_m_.*"), " Male", "")))</f>
        <v/>
      </c>
      <c r="H488" s="16" t="str">
        <f>IF(regexMatch(A488,".*_([0-9]+$)"), CONCATENATE(" ",VALUE(TRIM(CLEAN(RegexFindGroup(A488,".*_([0-9]*)"))))), "")</f>
        <v/>
      </c>
      <c r="I488" s="16" t="str">
        <f>IF(regexMatch(A488,"cs_.*")," (CS)", (IF(regexMatch(A488,"ig_.*"), " (IG)", "")))</f>
        <v xml:space="preserve"> (CS)</v>
      </c>
      <c r="J488" s="10" t="str">
        <f t="shared" si="15"/>
        <v>Old Man 2 (CS)</v>
      </c>
    </row>
    <row r="489" spans="1:10" x14ac:dyDescent="0.25">
      <c r="A489" s="6" t="s">
        <v>791</v>
      </c>
      <c r="B489" s="6" t="str">
        <f t="shared" si="16"/>
        <v>ig_old_man2</v>
      </c>
      <c r="C489" s="6" t="s">
        <v>790</v>
      </c>
      <c r="D489" s="7" t="str">
        <f>PROPER(C489)</f>
        <v>Old_Man2</v>
      </c>
      <c r="E489" s="4" t="s">
        <v>1319</v>
      </c>
      <c r="F489" s="9" t="str">
        <f>IF(regexMatch(A489,"[A-Za-z]*_y_.*")," Young",(IF(regexMatch(A489,"[A-Za-z]*_o_.*")," Old", "")))</f>
        <v/>
      </c>
      <c r="G489" s="16" t="str">
        <f>IF(regexMatch(A489,"[A-Za-z]*_f_.*")," Female", (IF(regexMatch(A489,"[A-Za-z]*_m_.*"), " Male", "")))</f>
        <v/>
      </c>
      <c r="H489" s="16" t="str">
        <f>IF(regexMatch(A489,".*_([0-9]+$)"), CONCATENATE(" ",VALUE(TRIM(CLEAN(RegexFindGroup(A489,".*_([0-9]*)"))))), "")</f>
        <v/>
      </c>
      <c r="I489" s="16" t="str">
        <f>IF(regexMatch(A489,"cs_.*")," (CS)", (IF(regexMatch(A489,"ig_.*"), " (IG)", "")))</f>
        <v xml:space="preserve"> (IG)</v>
      </c>
      <c r="J489" s="10" t="str">
        <f t="shared" si="15"/>
        <v>Old Man 2 (IG)</v>
      </c>
    </row>
    <row r="490" spans="1:10" x14ac:dyDescent="0.25">
      <c r="A490" s="6" t="s">
        <v>792</v>
      </c>
      <c r="B490" s="6" t="str">
        <f t="shared" si="16"/>
        <v>cs_omega</v>
      </c>
      <c r="C490" s="6" t="s">
        <v>793</v>
      </c>
      <c r="D490" s="7" t="str">
        <f>PROPER(C490)</f>
        <v>Omega</v>
      </c>
      <c r="E490" s="4" t="s">
        <v>1198</v>
      </c>
      <c r="F490" s="9" t="str">
        <f>IF(regexMatch(A490,"[A-Za-z]*_y_.*")," Young",(IF(regexMatch(A490,"[A-Za-z]*_o_.*")," Old", "")))</f>
        <v/>
      </c>
      <c r="G490" s="16" t="str">
        <f>IF(regexMatch(A490,"[A-Za-z]*_f_.*")," Female", (IF(regexMatch(A490,"[A-Za-z]*_m_.*"), " Male", "")))</f>
        <v/>
      </c>
      <c r="H490" s="16" t="str">
        <f>IF(regexMatch(A490,".*_([0-9]+$)"), CONCATENATE(" ",VALUE(TRIM(CLEAN(RegexFindGroup(A490,".*_([0-9]*)"))))), "")</f>
        <v/>
      </c>
      <c r="I490" s="16" t="str">
        <f>IF(regexMatch(A490,"cs_.*")," (CS)", (IF(regexMatch(A490,"ig_.*"), " (IG)", "")))</f>
        <v xml:space="preserve"> (CS)</v>
      </c>
      <c r="J490" s="10" t="str">
        <f t="shared" si="15"/>
        <v>Omega (CS)</v>
      </c>
    </row>
    <row r="491" spans="1:10" x14ac:dyDescent="0.25">
      <c r="A491" s="6" t="s">
        <v>794</v>
      </c>
      <c r="B491" s="6" t="str">
        <f t="shared" si="16"/>
        <v>ig_omega</v>
      </c>
      <c r="C491" s="6" t="s">
        <v>793</v>
      </c>
      <c r="D491" s="7" t="str">
        <f>PROPER(C491)</f>
        <v>Omega</v>
      </c>
      <c r="E491" s="4" t="s">
        <v>1198</v>
      </c>
      <c r="F491" s="9" t="str">
        <f>IF(regexMatch(A491,"[A-Za-z]*_y_.*")," Young",(IF(regexMatch(A491,"[A-Za-z]*_o_.*")," Old", "")))</f>
        <v/>
      </c>
      <c r="G491" s="16" t="str">
        <f>IF(regexMatch(A491,"[A-Za-z]*_f_.*")," Female", (IF(regexMatch(A491,"[A-Za-z]*_m_.*"), " Male", "")))</f>
        <v/>
      </c>
      <c r="H491" s="16" t="str">
        <f>IF(regexMatch(A491,".*_([0-9]+$)"), CONCATENATE(" ",VALUE(TRIM(CLEAN(RegexFindGroup(A491,".*_([0-9]*)"))))), "")</f>
        <v/>
      </c>
      <c r="I491" s="16" t="str">
        <f>IF(regexMatch(A491,"cs_.*")," (CS)", (IF(regexMatch(A491,"ig_.*"), " (IG)", "")))</f>
        <v xml:space="preserve"> (IG)</v>
      </c>
      <c r="J491" s="10" t="str">
        <f t="shared" si="15"/>
        <v>Omega (IG)</v>
      </c>
    </row>
    <row r="492" spans="1:10" x14ac:dyDescent="0.25">
      <c r="A492" s="6" t="s">
        <v>795</v>
      </c>
      <c r="B492" s="6" t="str">
        <f t="shared" si="16"/>
        <v>ig_oneil</v>
      </c>
      <c r="C492" s="6" t="s">
        <v>796</v>
      </c>
      <c r="D492" s="7" t="str">
        <f>PROPER(C492)</f>
        <v>Oneil</v>
      </c>
      <c r="E492" s="4" t="s">
        <v>1464</v>
      </c>
      <c r="F492" s="9" t="str">
        <f>IF(regexMatch(A492,"[A-Za-z]*_y_.*")," Young",(IF(regexMatch(A492,"[A-Za-z]*_o_.*")," Old", "")))</f>
        <v/>
      </c>
      <c r="G492" s="16" t="str">
        <f>IF(regexMatch(A492,"[A-Za-z]*_f_.*")," Female", (IF(regexMatch(A492,"[A-Za-z]*_m_.*"), " Male", "")))</f>
        <v/>
      </c>
      <c r="H492" s="16" t="str">
        <f>IF(regexMatch(A492,".*_([0-9]+$)"), CONCATENATE(" ",VALUE(TRIM(CLEAN(RegexFindGroup(A492,".*_([0-9]*)"))))), "")</f>
        <v/>
      </c>
      <c r="I492" s="16" t="str">
        <f>IF(regexMatch(A492,"cs_.*")," (CS)", (IF(regexMatch(A492,"ig_.*"), " (IG)", "")))</f>
        <v xml:space="preserve"> (IG)</v>
      </c>
      <c r="J492" s="10" t="str">
        <f t="shared" si="15"/>
        <v>O'Neil Brothers (IG)</v>
      </c>
    </row>
    <row r="493" spans="1:10" x14ac:dyDescent="0.25">
      <c r="A493" s="6" t="s">
        <v>799</v>
      </c>
      <c r="B493" s="6" t="str">
        <f t="shared" si="16"/>
        <v>csb_ortega</v>
      </c>
      <c r="C493" s="6" t="s">
        <v>800</v>
      </c>
      <c r="D493" s="7" t="str">
        <f>PROPER(C493)</f>
        <v>Ortega</v>
      </c>
      <c r="E493" s="4" t="s">
        <v>1199</v>
      </c>
      <c r="F493" s="9" t="str">
        <f>IF(regexMatch(A493,"[A-Za-z]*_y_.*")," Young",(IF(regexMatch(A493,"[A-Za-z]*_o_.*")," Old", "")))</f>
        <v/>
      </c>
      <c r="G493" s="16" t="str">
        <f>IF(regexMatch(A493,"[A-Za-z]*_f_.*")," Female", (IF(regexMatch(A493,"[A-Za-z]*_m_.*"), " Male", "")))</f>
        <v/>
      </c>
      <c r="H493" s="16" t="str">
        <f>IF(regexMatch(A493,".*_([0-9]+$)"), CONCATENATE(" ",VALUE(TRIM(CLEAN(RegexFindGroup(A493,".*_([0-9]*)"))))), "")</f>
        <v/>
      </c>
      <c r="I493" s="16" t="str">
        <f>IF(regexMatch(A493,"cs_.*")," (CS)", (IF(regexMatch(A493,"ig_.*"), " (IG)", "")))</f>
        <v/>
      </c>
      <c r="J493" s="10" t="str">
        <f t="shared" si="15"/>
        <v>Ortega</v>
      </c>
    </row>
    <row r="494" spans="1:10" x14ac:dyDescent="0.25">
      <c r="A494" s="6" t="s">
        <v>801</v>
      </c>
      <c r="B494" s="6" t="str">
        <f t="shared" si="16"/>
        <v>ig_ortega</v>
      </c>
      <c r="C494" s="6" t="s">
        <v>800</v>
      </c>
      <c r="D494" s="7" t="str">
        <f>PROPER(C494)</f>
        <v>Ortega</v>
      </c>
      <c r="E494" s="4" t="s">
        <v>1199</v>
      </c>
      <c r="F494" s="9" t="str">
        <f>IF(regexMatch(A494,"[A-Za-z]*_y_.*")," Young",(IF(regexMatch(A494,"[A-Za-z]*_o_.*")," Old", "")))</f>
        <v/>
      </c>
      <c r="G494" s="16" t="str">
        <f>IF(regexMatch(A494,"[A-Za-z]*_f_.*")," Female", (IF(regexMatch(A494,"[A-Za-z]*_m_.*"), " Male", "")))</f>
        <v/>
      </c>
      <c r="H494" s="16" t="str">
        <f>IF(regexMatch(A494,".*_([0-9]+$)"), CONCATENATE(" ",VALUE(TRIM(CLEAN(RegexFindGroup(A494,".*_([0-9]*)"))))), "")</f>
        <v/>
      </c>
      <c r="I494" s="16" t="str">
        <f>IF(regexMatch(A494,"cs_.*")," (CS)", (IF(regexMatch(A494,"ig_.*"), " (IG)", "")))</f>
        <v xml:space="preserve"> (IG)</v>
      </c>
      <c r="J494" s="10" t="str">
        <f t="shared" si="15"/>
        <v>Ortega (IG)</v>
      </c>
    </row>
    <row r="495" spans="1:10" x14ac:dyDescent="0.25">
      <c r="A495" s="6" t="s">
        <v>802</v>
      </c>
      <c r="B495" s="6" t="str">
        <f t="shared" si="16"/>
        <v>csb_oscar</v>
      </c>
      <c r="C495" s="6" t="s">
        <v>803</v>
      </c>
      <c r="D495" s="7" t="str">
        <f>PROPER(C495)</f>
        <v>Oscar</v>
      </c>
      <c r="E495" s="4" t="s">
        <v>1200</v>
      </c>
      <c r="F495" s="9" t="str">
        <f>IF(regexMatch(A495,"[A-Za-z]*_y_.*")," Young",(IF(regexMatch(A495,"[A-Za-z]*_o_.*")," Old", "")))</f>
        <v/>
      </c>
      <c r="G495" s="16" t="str">
        <f>IF(regexMatch(A495,"[A-Za-z]*_f_.*")," Female", (IF(regexMatch(A495,"[A-Za-z]*_m_.*"), " Male", "")))</f>
        <v/>
      </c>
      <c r="H495" s="16" t="str">
        <f>IF(regexMatch(A495,".*_([0-9]+$)"), CONCATENATE(" ",VALUE(TRIM(CLEAN(RegexFindGroup(A495,".*_([0-9]*)"))))), "")</f>
        <v/>
      </c>
      <c r="I495" s="16" t="str">
        <f>IF(regexMatch(A495,"cs_.*")," (CS)", (IF(regexMatch(A495,"ig_.*"), " (IG)", "")))</f>
        <v/>
      </c>
      <c r="J495" s="10" t="str">
        <f t="shared" si="15"/>
        <v>Oscar</v>
      </c>
    </row>
    <row r="496" spans="1:10" x14ac:dyDescent="0.25">
      <c r="A496" s="1" t="s">
        <v>1512</v>
      </c>
      <c r="B496" s="6" t="str">
        <f t="shared" si="16"/>
        <v>csb_paige</v>
      </c>
      <c r="D496" s="7"/>
      <c r="E496" s="21" t="s">
        <v>1549</v>
      </c>
      <c r="F496" s="9"/>
      <c r="G496" s="16"/>
      <c r="H496" s="16" t="str">
        <f>IF(regexMatch(A496,".*_([0-9]+$)"), CONCATENATE(" ",VALUE(TRIM(CLEAN(RegexFindGroup(A496,".*_([0-9]*)"))))), "")</f>
        <v/>
      </c>
      <c r="I496" s="16"/>
      <c r="J496" s="10" t="str">
        <f t="shared" si="15"/>
        <v>Paige Harris (CS)</v>
      </c>
    </row>
    <row r="497" spans="1:10" x14ac:dyDescent="0.25">
      <c r="A497" s="1" t="s">
        <v>1518</v>
      </c>
      <c r="B497" s="6" t="str">
        <f t="shared" si="16"/>
        <v>ig_paige</v>
      </c>
      <c r="D497" s="7"/>
      <c r="E497" s="21" t="s">
        <v>1551</v>
      </c>
      <c r="F497" s="9"/>
      <c r="G497" s="16"/>
      <c r="H497" s="16" t="str">
        <f>IF(regexMatch(A497,".*_([0-9]+$)"), CONCATENATE(" ",VALUE(TRIM(CLEAN(RegexFindGroup(A497,".*_([0-9]*)"))))), "")</f>
        <v/>
      </c>
      <c r="I497" s="16"/>
      <c r="J497" s="10" t="str">
        <f t="shared" si="15"/>
        <v>Paige Harris (IG)</v>
      </c>
    </row>
    <row r="498" spans="1:10" x14ac:dyDescent="0.25">
      <c r="A498" s="6" t="s">
        <v>804</v>
      </c>
      <c r="B498" s="6" t="str">
        <f t="shared" si="16"/>
        <v>a_m_m_paparazzi_01</v>
      </c>
      <c r="C498" s="6" t="s">
        <v>805</v>
      </c>
      <c r="D498" s="7" t="str">
        <f>PROPER(C498)</f>
        <v>Paparazzi</v>
      </c>
      <c r="E498" s="4" t="s">
        <v>1201</v>
      </c>
      <c r="F498" s="9" t="str">
        <f>IF(regexMatch(A498,"[A-Za-z]*_y_.*")," Young",(IF(regexMatch(A498,"[A-Za-z]*_o_.*")," Old", "")))</f>
        <v/>
      </c>
      <c r="G498" s="16" t="str">
        <f>IF(regexMatch(A498,"[A-Za-z]*_f_.*")," Female", (IF(regexMatch(A498,"[A-Za-z]*_m_.*"), " Male", "")))</f>
        <v xml:space="preserve"> Male</v>
      </c>
      <c r="H498" s="16" t="str">
        <f>IF(regexMatch(A498,".*_([0-9]+$)"), CONCATENATE(" ",VALUE(TRIM(CLEAN(RegexFindGroup(A498,".*_([0-9]*)"))))), "")</f>
        <v xml:space="preserve"> 1</v>
      </c>
      <c r="I498" s="16" t="str">
        <f>IF(regexMatch(A498,"cs_.*")," (CS)", (IF(regexMatch(A498,"ig_.*"), " (IG)", "")))</f>
        <v/>
      </c>
      <c r="J498" s="10" t="str">
        <f t="shared" si="15"/>
        <v>Paparazzi Male</v>
      </c>
    </row>
    <row r="499" spans="1:10" x14ac:dyDescent="0.25">
      <c r="A499" s="6" t="s">
        <v>806</v>
      </c>
      <c r="B499" s="6" t="str">
        <f t="shared" si="16"/>
        <v>u_m_y_paparazzi</v>
      </c>
      <c r="C499" s="6" t="s">
        <v>805</v>
      </c>
      <c r="D499" s="7" t="str">
        <f>PROPER(C499)</f>
        <v>Paparazzi</v>
      </c>
      <c r="E499" s="4" t="s">
        <v>1201</v>
      </c>
      <c r="F499" s="9" t="str">
        <f>IF(regexMatch(A499,"[A-Za-z]*_y_.*")," Young",(IF(regexMatch(A499,"[A-Za-z]*_o_.*")," Old", "")))</f>
        <v xml:space="preserve"> Young</v>
      </c>
      <c r="G499" s="16" t="str">
        <f>IF(regexMatch(A499,"[A-Za-z]*_f_.*")," Female", (IF(regexMatch(A499,"[A-Za-z]*_m_.*"), " Male", "")))</f>
        <v xml:space="preserve"> Male</v>
      </c>
      <c r="H499" s="16" t="str">
        <f>IF(regexMatch(A499,".*_([0-9]+$)"), CONCATENATE(" ",VALUE(TRIM(CLEAN(RegexFindGroup(A499,".*_([0-9]*)"))))), "")</f>
        <v/>
      </c>
      <c r="I499" s="16" t="str">
        <f>IF(regexMatch(A499,"cs_.*")," (CS)", (IF(regexMatch(A499,"ig_.*"), " (IG)", "")))</f>
        <v/>
      </c>
      <c r="J499" s="10" t="str">
        <f t="shared" si="15"/>
        <v>Paparazzi Young Male</v>
      </c>
    </row>
    <row r="500" spans="1:10" x14ac:dyDescent="0.25">
      <c r="A500" s="6" t="s">
        <v>809</v>
      </c>
      <c r="B500" s="6" t="str">
        <f t="shared" si="16"/>
        <v>s_m_m_paramedic_01</v>
      </c>
      <c r="C500" s="6" t="s">
        <v>810</v>
      </c>
      <c r="D500" s="7" t="str">
        <f>PROPER(C500)</f>
        <v>Paramedic</v>
      </c>
      <c r="E500" s="4" t="s">
        <v>1202</v>
      </c>
      <c r="F500" s="9"/>
      <c r="G500" s="16"/>
      <c r="H500" s="16" t="str">
        <f>IF(regexMatch(A500,".*_([0-9]+$)"), CONCATENATE(" ",VALUE(TRIM(CLEAN(RegexFindGroup(A500,".*_([0-9]*)"))))), "")</f>
        <v xml:space="preserve"> 1</v>
      </c>
      <c r="I500" s="16" t="str">
        <f>IF(regexMatch(A500,"cs_.*")," (CS)", (IF(regexMatch(A500,"ig_.*"), " (IG)", "")))</f>
        <v/>
      </c>
      <c r="J500" s="10" t="str">
        <f t="shared" si="15"/>
        <v>Paramedic</v>
      </c>
    </row>
    <row r="501" spans="1:10" x14ac:dyDescent="0.25">
      <c r="A501" s="6" t="s">
        <v>813</v>
      </c>
      <c r="B501" s="6" t="str">
        <f t="shared" si="16"/>
        <v>u_m_m_partytarget</v>
      </c>
      <c r="C501" s="6" t="s">
        <v>814</v>
      </c>
      <c r="D501" s="7" t="str">
        <f>PROPER(C501)</f>
        <v>Partytarget</v>
      </c>
      <c r="E501" s="4" t="s">
        <v>1283</v>
      </c>
      <c r="F501" s="9"/>
      <c r="G501" s="16"/>
      <c r="H501" s="16" t="str">
        <f>IF(regexMatch(A501,".*_([0-9]+$)"), CONCATENATE(" ",VALUE(TRIM(CLEAN(RegexFindGroup(A501,".*_([0-9]*)"))))), "")</f>
        <v/>
      </c>
      <c r="I501" s="16" t="str">
        <f>IF(regexMatch(A501,"cs_.*")," (CS)", (IF(regexMatch(A501,"ig_.*"), " (IG)", "")))</f>
        <v/>
      </c>
      <c r="J501" s="10" t="str">
        <f t="shared" si="15"/>
        <v>Party Target</v>
      </c>
    </row>
    <row r="502" spans="1:10" x14ac:dyDescent="0.25">
      <c r="A502" s="6" t="s">
        <v>811</v>
      </c>
      <c r="B502" s="6" t="str">
        <f t="shared" si="16"/>
        <v>u_m_y_party_01</v>
      </c>
      <c r="C502" s="6" t="s">
        <v>812</v>
      </c>
      <c r="D502" s="7" t="str">
        <f>PROPER(C502)</f>
        <v>Party</v>
      </c>
      <c r="E502" s="4" t="s">
        <v>1321</v>
      </c>
      <c r="F502" s="9"/>
      <c r="G502" s="16"/>
      <c r="H502" s="16" t="str">
        <f>IF(regexMatch(A502,".*_([0-9]+$)"), CONCATENATE(" ",VALUE(TRIM(CLEAN(RegexFindGroup(A502,".*_([0-9]*)"))))), "")</f>
        <v xml:space="preserve"> 1</v>
      </c>
      <c r="I502" s="16" t="str">
        <f>IF(regexMatch(A502,"cs_.*")," (CS)", (IF(regexMatch(A502,"ig_.*"), " (IG)", "")))</f>
        <v/>
      </c>
      <c r="J502" s="10" t="str">
        <f t="shared" si="15"/>
        <v>Partygoer</v>
      </c>
    </row>
    <row r="503" spans="1:10" x14ac:dyDescent="0.25">
      <c r="A503" s="6" t="s">
        <v>815</v>
      </c>
      <c r="B503" s="6" t="str">
        <f t="shared" si="16"/>
        <v>cs_patricia</v>
      </c>
      <c r="C503" s="6" t="s">
        <v>816</v>
      </c>
      <c r="D503" s="7" t="str">
        <f>PROPER(C503)</f>
        <v>Patricia</v>
      </c>
      <c r="E503" s="4" t="s">
        <v>1203</v>
      </c>
      <c r="F503" s="9" t="str">
        <f>IF(regexMatch(A503,"[A-Za-z]*_y_.*")," Young",(IF(regexMatch(A503,"[A-Za-z]*_o_.*")," Old", "")))</f>
        <v/>
      </c>
      <c r="G503" s="16" t="str">
        <f>IF(regexMatch(A503,"[A-Za-z]*_f_.*")," Female", (IF(regexMatch(A503,"[A-Za-z]*_m_.*"), " Male", "")))</f>
        <v/>
      </c>
      <c r="H503" s="16" t="str">
        <f>IF(regexMatch(A503,".*_([0-9]+$)"), CONCATENATE(" ",VALUE(TRIM(CLEAN(RegexFindGroup(A503,".*_([0-9]*)"))))), "")</f>
        <v/>
      </c>
      <c r="I503" s="16" t="str">
        <f>IF(regexMatch(A503,"cs_.*")," (CS)", (IF(regexMatch(A503,"ig_.*"), " (IG)", "")))</f>
        <v xml:space="preserve"> (CS)</v>
      </c>
      <c r="J503" s="10" t="str">
        <f t="shared" si="15"/>
        <v>Patricia (CS)</v>
      </c>
    </row>
    <row r="504" spans="1:10" x14ac:dyDescent="0.25">
      <c r="A504" s="6" t="s">
        <v>817</v>
      </c>
      <c r="B504" s="6" t="str">
        <f t="shared" si="16"/>
        <v>ig_patricia</v>
      </c>
      <c r="C504" s="6" t="s">
        <v>816</v>
      </c>
      <c r="D504" s="7" t="str">
        <f>PROPER(C504)</f>
        <v>Patricia</v>
      </c>
      <c r="E504" s="4" t="s">
        <v>1203</v>
      </c>
      <c r="F504" s="9" t="str">
        <f>IF(regexMatch(A504,"[A-Za-z]*_y_.*")," Young",(IF(regexMatch(A504,"[A-Za-z]*_o_.*")," Old", "")))</f>
        <v/>
      </c>
      <c r="G504" s="16" t="str">
        <f>IF(regexMatch(A504,"[A-Za-z]*_f_.*")," Female", (IF(regexMatch(A504,"[A-Za-z]*_m_.*"), " Male", "")))</f>
        <v/>
      </c>
      <c r="H504" s="16" t="str">
        <f>IF(regexMatch(A504,".*_([0-9]+$)"), CONCATENATE(" ",VALUE(TRIM(CLEAN(RegexFindGroup(A504,".*_([0-9]*)"))))), "")</f>
        <v/>
      </c>
      <c r="I504" s="16" t="str">
        <f>IF(regexMatch(A504,"cs_.*")," (CS)", (IF(regexMatch(A504,"ig_.*"), " (IG)", "")))</f>
        <v xml:space="preserve"> (IG)</v>
      </c>
      <c r="J504" s="10" t="str">
        <f t="shared" si="15"/>
        <v>Patricia (IG)</v>
      </c>
    </row>
    <row r="505" spans="1:10" x14ac:dyDescent="0.25">
      <c r="A505" s="6" t="s">
        <v>89</v>
      </c>
      <c r="B505" s="6" t="str">
        <f t="shared" si="16"/>
        <v xml:space="preserve">	s_m_y_pestcont_01</v>
      </c>
      <c r="C505" s="6" t="s">
        <v>88</v>
      </c>
      <c r="D505" s="7" t="str">
        <f>PROPER(C505)</f>
        <v xml:space="preserve">	Pestcont</v>
      </c>
      <c r="E505" s="4" t="s">
        <v>1253</v>
      </c>
      <c r="F505" s="9"/>
      <c r="G505" s="16"/>
      <c r="H505" s="16" t="str">
        <f>IF(regexMatch(A505,".*_([0-9]+$)"), CONCATENATE(" ",VALUE(TRIM(CLEAN(RegexFindGroup(A505,".*_([0-9]*)"))))), "")</f>
        <v xml:space="preserve"> 1</v>
      </c>
      <c r="I505" s="16" t="str">
        <f>IF(regexMatch(A505,"cs_.*")," (CS)", (IF(regexMatch(A505,"ig_.*"), " (IG)", "")))</f>
        <v/>
      </c>
      <c r="J505" s="10" t="str">
        <f t="shared" si="15"/>
        <v>Pest Control</v>
      </c>
    </row>
    <row r="506" spans="1:10" x14ac:dyDescent="0.25">
      <c r="A506" s="6" t="s">
        <v>36</v>
      </c>
      <c r="B506" s="6" t="str">
        <f t="shared" si="16"/>
        <v xml:space="preserve">	cs_dreyfuss</v>
      </c>
      <c r="C506" s="6" t="s">
        <v>35</v>
      </c>
      <c r="D506" s="7" t="str">
        <f>PROPER(C506)</f>
        <v xml:space="preserve">	Dreyfuss</v>
      </c>
      <c r="E506" s="4" t="s">
        <v>1358</v>
      </c>
      <c r="F506" s="9" t="str">
        <f>IF(regexMatch(A506,"[A-Za-z]*_y_.*")," Young",(IF(regexMatch(A506,"[A-Za-z]*_o_.*")," Old", "")))</f>
        <v/>
      </c>
      <c r="G506" s="16" t="str">
        <f>IF(regexMatch(A506,"[A-Za-z]*_f_.*")," Female", (IF(regexMatch(A506,"[A-Za-z]*_m_.*"), " Male", "")))</f>
        <v/>
      </c>
      <c r="H506" s="16" t="str">
        <f>IF(regexMatch(A506,".*_([0-9]+$)"), CONCATENATE(" ",VALUE(TRIM(CLEAN(RegexFindGroup(A506,".*_([0-9]*)"))))), "")</f>
        <v/>
      </c>
      <c r="I506" s="16" t="str">
        <f>IF(regexMatch(A506,"cs_.*")," (CS)", (IF(regexMatch(A506,"ig_.*"), " (IG)", "")))</f>
        <v xml:space="preserve"> (CS)</v>
      </c>
      <c r="J506" s="10" t="str">
        <f t="shared" si="15"/>
        <v>Peter Dreyfuss (CS)</v>
      </c>
    </row>
    <row r="507" spans="1:10" x14ac:dyDescent="0.25">
      <c r="A507" s="6" t="s">
        <v>424</v>
      </c>
      <c r="B507" s="6" t="str">
        <f t="shared" si="16"/>
        <v>ig_dreyfuss</v>
      </c>
      <c r="C507" s="6" t="s">
        <v>425</v>
      </c>
      <c r="D507" s="7" t="str">
        <f>PROPER(C507)</f>
        <v>Dreyfuss</v>
      </c>
      <c r="E507" s="4" t="s">
        <v>1358</v>
      </c>
      <c r="F507" s="9" t="str">
        <f>IF(regexMatch(A507,"[A-Za-z]*_y_.*")," Young",(IF(regexMatch(A507,"[A-Za-z]*_o_.*")," Old", "")))</f>
        <v/>
      </c>
      <c r="G507" s="16" t="str">
        <f>IF(regexMatch(A507,"[A-Za-z]*_f_.*")," Female", (IF(regexMatch(A507,"[A-Za-z]*_m_.*"), " Male", "")))</f>
        <v/>
      </c>
      <c r="H507" s="16" t="str">
        <f>IF(regexMatch(A507,".*_([0-9]+$)"), CONCATENATE(" ",VALUE(TRIM(CLEAN(RegexFindGroup(A507,".*_([0-9]*)"))))), "")</f>
        <v/>
      </c>
      <c r="I507" s="16" t="str">
        <f>IF(regexMatch(A507,"cs_.*")," (CS)", (IF(regexMatch(A507,"ig_.*"), " (IG)", "")))</f>
        <v xml:space="preserve"> (IG)</v>
      </c>
      <c r="J507" s="10" t="str">
        <f t="shared" si="15"/>
        <v>Peter Dreyfuss (IG)</v>
      </c>
    </row>
    <row r="508" spans="1:10" x14ac:dyDescent="0.25">
      <c r="A508" s="6" t="s">
        <v>818</v>
      </c>
      <c r="B508" s="6" t="str">
        <f t="shared" si="16"/>
        <v>s_m_m_pilot_01</v>
      </c>
      <c r="C508" s="6" t="s">
        <v>819</v>
      </c>
      <c r="D508" s="7" t="str">
        <f>PROPER(C508)</f>
        <v>Pilot</v>
      </c>
      <c r="E508" s="4" t="s">
        <v>1204</v>
      </c>
      <c r="F508" s="9"/>
      <c r="G508" s="16"/>
      <c r="H508" s="16" t="str">
        <f>IF(regexMatch(A508,".*_([0-9]+$)"), CONCATENATE(" ",VALUE(TRIM(CLEAN(RegexFindGroup(A508,".*_([0-9]*)"))))), "")</f>
        <v xml:space="preserve"> 1</v>
      </c>
      <c r="I508" s="16" t="str">
        <f>IF(regexMatch(A508,"cs_.*")," (CS)", (IF(regexMatch(A508,"ig_.*"), " (IG)", "")))</f>
        <v/>
      </c>
      <c r="J508" s="10" t="str">
        <f t="shared" si="15"/>
        <v>Pilot</v>
      </c>
    </row>
    <row r="509" spans="1:10" x14ac:dyDescent="0.25">
      <c r="A509" s="6" t="s">
        <v>821</v>
      </c>
      <c r="B509" s="6" t="str">
        <f t="shared" si="16"/>
        <v>s_m_y_pilot_01</v>
      </c>
      <c r="C509" s="6" t="s">
        <v>819</v>
      </c>
      <c r="D509" s="7" t="str">
        <f>PROPER(C509)</f>
        <v>Pilot</v>
      </c>
      <c r="E509" s="4" t="s">
        <v>1204</v>
      </c>
      <c r="F509" s="9"/>
      <c r="G509" s="16"/>
      <c r="H509" s="16" t="str">
        <f>IF(regexMatch(A509,".*_([0-9]+$)"), CONCATENATE(" ",VALUE(TRIM(CLEAN(RegexFindGroup(A509,".*_([0-9]*)"))))), "")</f>
        <v xml:space="preserve"> 1</v>
      </c>
      <c r="I509" s="16" t="str">
        <f>IF(regexMatch(A509,"cs_.*")," (CS)", (IF(regexMatch(A509,"ig_.*"), " (IG)", "")))</f>
        <v/>
      </c>
      <c r="J509" s="10" t="str">
        <f t="shared" si="15"/>
        <v>Pilot</v>
      </c>
    </row>
    <row r="510" spans="1:10" x14ac:dyDescent="0.25">
      <c r="A510" s="6" t="s">
        <v>820</v>
      </c>
      <c r="B510" s="6" t="str">
        <f t="shared" si="16"/>
        <v>s_m_m_pilot_02</v>
      </c>
      <c r="C510" s="6" t="s">
        <v>819</v>
      </c>
      <c r="D510" s="7" t="str">
        <f>PROPER(C510)</f>
        <v>Pilot</v>
      </c>
      <c r="E510" s="4" t="s">
        <v>1204</v>
      </c>
      <c r="F510" s="9"/>
      <c r="G510" s="16"/>
      <c r="H510" s="16" t="str">
        <f>IF(regexMatch(A510,".*_([0-9]+$)"), CONCATENATE(" ",VALUE(TRIM(CLEAN(RegexFindGroup(A510,".*_([0-9]*)"))))), "")</f>
        <v xml:space="preserve"> 2</v>
      </c>
      <c r="I510" s="16" t="str">
        <f>IF(regexMatch(A510,"cs_.*")," (CS)", (IF(regexMatch(A510,"ig_.*"), " (IG)", "")))</f>
        <v/>
      </c>
      <c r="J510" s="10" t="str">
        <f t="shared" si="15"/>
        <v>Pilot 2</v>
      </c>
    </row>
    <row r="511" spans="1:10" x14ac:dyDescent="0.25">
      <c r="A511" s="6" t="s">
        <v>822</v>
      </c>
      <c r="B511" s="6" t="str">
        <f t="shared" si="16"/>
        <v>u_m_y_pogo_01</v>
      </c>
      <c r="C511" s="6" t="s">
        <v>823</v>
      </c>
      <c r="D511" s="7" t="str">
        <f>PROPER(C511)</f>
        <v>Pogo</v>
      </c>
      <c r="E511" s="4" t="s">
        <v>1322</v>
      </c>
      <c r="F511" s="9"/>
      <c r="G511" s="16"/>
      <c r="H511" s="16" t="str">
        <f>IF(regexMatch(A511,".*_([0-9]+$)"), CONCATENATE(" ",VALUE(TRIM(CLEAN(RegexFindGroup(A511,".*_([0-9]*)"))))), "")</f>
        <v xml:space="preserve"> 1</v>
      </c>
      <c r="I511" s="16" t="str">
        <f>IF(regexMatch(A511,"cs_.*")," (CS)", (IF(regexMatch(A511,"ig_.*"), " (IG)", "")))</f>
        <v/>
      </c>
      <c r="J511" s="10" t="str">
        <f t="shared" si="15"/>
        <v>Pogo the Monkey</v>
      </c>
    </row>
    <row r="512" spans="1:10" x14ac:dyDescent="0.25">
      <c r="A512" s="6" t="s">
        <v>826</v>
      </c>
      <c r="B512" s="6" t="str">
        <f t="shared" si="16"/>
        <v>a_m_m_polynesian_01</v>
      </c>
      <c r="C512" s="6" t="s">
        <v>827</v>
      </c>
      <c r="D512" s="7" t="str">
        <f>PROPER(C512)</f>
        <v>Polynesian</v>
      </c>
      <c r="E512" s="4" t="s">
        <v>1205</v>
      </c>
      <c r="F512" s="9"/>
      <c r="G512" s="16"/>
      <c r="H512" s="16" t="str">
        <f>IF(regexMatch(A512,".*_([0-9]+$)"), CONCATENATE(" ",VALUE(TRIM(CLEAN(RegexFindGroup(A512,".*_([0-9]*)"))))), "")</f>
        <v xml:space="preserve"> 1</v>
      </c>
      <c r="I512" s="16" t="str">
        <f>IF(regexMatch(A512,"cs_.*")," (CS)", (IF(regexMatch(A512,"ig_.*"), " (IG)", "")))</f>
        <v/>
      </c>
      <c r="J512" s="10" t="str">
        <f t="shared" si="15"/>
        <v>Polynesian</v>
      </c>
    </row>
    <row r="513" spans="1:10" x14ac:dyDescent="0.25">
      <c r="A513" s="6" t="s">
        <v>824</v>
      </c>
      <c r="B513" s="6" t="str">
        <f t="shared" si="16"/>
        <v>g_m_y_pologoon_01</v>
      </c>
      <c r="C513" s="6" t="s">
        <v>825</v>
      </c>
      <c r="D513" s="7" t="str">
        <f>PROPER(C513)</f>
        <v>Pologoon</v>
      </c>
      <c r="E513" s="4" t="s">
        <v>1379</v>
      </c>
      <c r="F513" s="9"/>
      <c r="G513" s="16"/>
      <c r="H513" s="16" t="str">
        <f>IF(regexMatch(A513,".*_([0-9]+$)"), CONCATENATE(" ",VALUE(TRIM(CLEAN(RegexFindGroup(A513,".*_([0-9]*)"))))), "")</f>
        <v xml:space="preserve"> 1</v>
      </c>
      <c r="I513" s="16" t="str">
        <f>IF(regexMatch(A513,"cs_.*")," (CS)", (IF(regexMatch(A513,"ig_.*"), " (IG)", "")))</f>
        <v/>
      </c>
      <c r="J513" s="10" t="str">
        <f t="shared" si="15"/>
        <v>Polynesian Goon</v>
      </c>
    </row>
    <row r="514" spans="1:10" x14ac:dyDescent="0.25">
      <c r="A514" s="6" t="s">
        <v>91</v>
      </c>
      <c r="B514" s="6" t="str">
        <f t="shared" si="16"/>
        <v xml:space="preserve">	g_m_y_pologoon_02</v>
      </c>
      <c r="C514" s="6" t="s">
        <v>90</v>
      </c>
      <c r="D514" s="7" t="str">
        <f>PROPER(C514)</f>
        <v xml:space="preserve">	Pologoon</v>
      </c>
      <c r="E514" s="4" t="s">
        <v>1379</v>
      </c>
      <c r="F514" s="9"/>
      <c r="G514" s="16"/>
      <c r="H514" s="16" t="str">
        <f>IF(regexMatch(A514,".*_([0-9]+$)"), CONCATENATE(" ",VALUE(TRIM(CLEAN(RegexFindGroup(A514,".*_([0-9]*)"))))), "")</f>
        <v xml:space="preserve"> 2</v>
      </c>
      <c r="I514" s="16" t="str">
        <f>IF(regexMatch(A514,"cs_.*")," (CS)", (IF(regexMatch(A514,"ig_.*"), " (IG)", "")))</f>
        <v/>
      </c>
      <c r="J514" s="10" t="str">
        <f t="shared" si="15"/>
        <v>Polynesian Goon 2</v>
      </c>
    </row>
    <row r="515" spans="1:10" x14ac:dyDescent="0.25">
      <c r="A515" s="6" t="s">
        <v>828</v>
      </c>
      <c r="B515" s="6" t="str">
        <f t="shared" si="16"/>
        <v>a_m_y_polynesian_01</v>
      </c>
      <c r="C515" s="6" t="s">
        <v>827</v>
      </c>
      <c r="D515" s="7" t="str">
        <f>PROPER(C515)</f>
        <v>Polynesian</v>
      </c>
      <c r="E515" s="4" t="s">
        <v>1205</v>
      </c>
      <c r="F515" s="9" t="s">
        <v>1477</v>
      </c>
      <c r="G515" s="16"/>
      <c r="H515" s="16" t="str">
        <f>IF(regexMatch(A515,".*_([0-9]+$)"), CONCATENATE(" ",VALUE(TRIM(CLEAN(RegexFindGroup(A515,".*_([0-9]*)"))))), "")</f>
        <v xml:space="preserve"> 1</v>
      </c>
      <c r="I515" s="16" t="str">
        <f>IF(regexMatch(A515,"cs_.*")," (CS)", (IF(regexMatch(A515,"ig_.*"), " (IG)", "")))</f>
        <v/>
      </c>
      <c r="J515" s="10" t="str">
        <f t="shared" ref="J515:J578" si="17">TRIM(CONCATENATE(E515,F515,G515,IF(H515=" 1","",H515),I515))</f>
        <v>Polynesian Young</v>
      </c>
    </row>
    <row r="516" spans="1:10" x14ac:dyDescent="0.25">
      <c r="A516" s="6" t="s">
        <v>829</v>
      </c>
      <c r="B516" s="6" t="str">
        <f t="shared" ref="B516:B579" si="18">TRIM(A516)</f>
        <v>u_f_y_poppymich</v>
      </c>
      <c r="C516" s="6" t="s">
        <v>830</v>
      </c>
      <c r="D516" s="7" t="str">
        <f>PROPER(C516)</f>
        <v>Poppymich</v>
      </c>
      <c r="E516" s="4" t="s">
        <v>1314</v>
      </c>
      <c r="F516" s="9"/>
      <c r="G516" s="16"/>
      <c r="H516" s="16" t="str">
        <f>IF(regexMatch(A516,".*_([0-9]+$)"), CONCATENATE(" ",VALUE(TRIM(CLEAN(RegexFindGroup(A516,".*_([0-9]*)"))))), "")</f>
        <v/>
      </c>
      <c r="I516" s="16" t="str">
        <f>IF(regexMatch(A516,"cs_.*")," (CS)", (IF(regexMatch(A516,"ig_.*"), " (IG)", "")))</f>
        <v/>
      </c>
      <c r="J516" s="10" t="str">
        <f t="shared" si="17"/>
        <v>Poppy Mitchell</v>
      </c>
    </row>
    <row r="517" spans="1:10" x14ac:dyDescent="0.25">
      <c r="A517" s="6" t="s">
        <v>831</v>
      </c>
      <c r="B517" s="6" t="str">
        <f t="shared" si="18"/>
        <v>csb_porndudes</v>
      </c>
      <c r="C517" s="6" t="s">
        <v>832</v>
      </c>
      <c r="D517" s="7" t="str">
        <f>PROPER(C517)</f>
        <v>Porndudes</v>
      </c>
      <c r="E517" s="4" t="s">
        <v>1335</v>
      </c>
      <c r="F517" s="9" t="str">
        <f>IF(regexMatch(A517,"[A-Za-z]*_y_.*")," Young",(IF(regexMatch(A517,"[A-Za-z]*_o_.*")," Old", "")))</f>
        <v/>
      </c>
      <c r="G517" s="16" t="str">
        <f>IF(regexMatch(A517,"[A-Za-z]*_f_.*")," Female", (IF(regexMatch(A517,"[A-Za-z]*_m_.*"), " Male", "")))</f>
        <v/>
      </c>
      <c r="H517" s="16" t="str">
        <f>IF(regexMatch(A517,".*_([0-9]+$)"), CONCATENATE(" ",VALUE(TRIM(CLEAN(RegexFindGroup(A517,".*_([0-9]*)"))))), "")</f>
        <v/>
      </c>
      <c r="I517" s="16" t="str">
        <f>IF(regexMatch(A517,"cs_.*")," (CS)", (IF(regexMatch(A517,"ig_.*"), " (IG)", "")))</f>
        <v/>
      </c>
      <c r="J517" s="10" t="str">
        <f t="shared" si="17"/>
        <v>Porn Dude</v>
      </c>
    </row>
    <row r="518" spans="1:10" x14ac:dyDescent="0.25">
      <c r="A518" s="6" t="s">
        <v>833</v>
      </c>
      <c r="B518" s="6" t="str">
        <f t="shared" si="18"/>
        <v>s_m_m_postal_01</v>
      </c>
      <c r="C518" s="6" t="s">
        <v>834</v>
      </c>
      <c r="D518" s="7" t="str">
        <f>PROPER(C518)</f>
        <v>Postal</v>
      </c>
      <c r="E518" s="4" t="s">
        <v>1465</v>
      </c>
      <c r="F518" s="9" t="str">
        <f>IF(regexMatch(A518,"[A-Za-z]*_y_.*")," Young",(IF(regexMatch(A518,"[A-Za-z]*_o_.*")," Old", "")))</f>
        <v/>
      </c>
      <c r="G518" s="16" t="str">
        <f>IF(regexMatch(A518,"[A-Za-z]*_f_.*")," Female", (IF(regexMatch(A518,"[A-Za-z]*_m_.*"), " Male", "")))</f>
        <v xml:space="preserve"> Male</v>
      </c>
      <c r="H518" s="16" t="str">
        <f>IF(regexMatch(A518,".*_([0-9]+$)"), CONCATENATE(" ",VALUE(TRIM(CLEAN(RegexFindGroup(A518,".*_([0-9]*)"))))), "")</f>
        <v xml:space="preserve"> 1</v>
      </c>
      <c r="I518" s="16" t="str">
        <f>IF(regexMatch(A518,"cs_.*")," (CS)", (IF(regexMatch(A518,"ig_.*"), " (IG)", "")))</f>
        <v/>
      </c>
      <c r="J518" s="10" t="str">
        <f t="shared" si="17"/>
        <v>Postal Worker Male</v>
      </c>
    </row>
    <row r="519" spans="1:10" x14ac:dyDescent="0.25">
      <c r="A519" s="6" t="s">
        <v>835</v>
      </c>
      <c r="B519" s="6" t="str">
        <f t="shared" si="18"/>
        <v>s_m_m_postal_02</v>
      </c>
      <c r="C519" s="6" t="s">
        <v>834</v>
      </c>
      <c r="D519" s="7" t="str">
        <f>PROPER(C519)</f>
        <v>Postal</v>
      </c>
      <c r="E519" s="4" t="s">
        <v>1465</v>
      </c>
      <c r="F519" s="9" t="str">
        <f>IF(regexMatch(A519,"[A-Za-z]*_y_.*")," Young",(IF(regexMatch(A519,"[A-Za-z]*_o_.*")," Old", "")))</f>
        <v/>
      </c>
      <c r="G519" s="16" t="str">
        <f>IF(regexMatch(A519,"[A-Za-z]*_f_.*")," Female", (IF(regexMatch(A519,"[A-Za-z]*_m_.*"), " Male", "")))</f>
        <v xml:space="preserve"> Male</v>
      </c>
      <c r="H519" s="16" t="str">
        <f>IF(regexMatch(A519,".*_([0-9]+$)"), CONCATENATE(" ",VALUE(TRIM(CLEAN(RegexFindGroup(A519,".*_([0-9]*)"))))), "")</f>
        <v xml:space="preserve"> 2</v>
      </c>
      <c r="I519" s="16" t="str">
        <f>IF(regexMatch(A519,"cs_.*")," (CS)", (IF(regexMatch(A519,"ig_.*"), " (IG)", "")))</f>
        <v/>
      </c>
      <c r="J519" s="10" t="str">
        <f t="shared" si="17"/>
        <v>Postal Worker Male 2</v>
      </c>
    </row>
    <row r="520" spans="1:10" x14ac:dyDescent="0.25">
      <c r="A520" s="6" t="s">
        <v>836</v>
      </c>
      <c r="B520" s="6" t="str">
        <f t="shared" si="18"/>
        <v>cs_priest</v>
      </c>
      <c r="C520" s="6" t="s">
        <v>837</v>
      </c>
      <c r="D520" s="7" t="str">
        <f>PROPER(C520)</f>
        <v>Priest</v>
      </c>
      <c r="E520" s="4" t="s">
        <v>1206</v>
      </c>
      <c r="F520" s="9" t="str">
        <f>IF(regexMatch(A520,"[A-Za-z]*_y_.*")," Young",(IF(regexMatch(A520,"[A-Za-z]*_o_.*")," Old", "")))</f>
        <v/>
      </c>
      <c r="G520" s="16" t="str">
        <f>IF(regexMatch(A520,"[A-Za-z]*_f_.*")," Female", (IF(regexMatch(A520,"[A-Za-z]*_m_.*"), " Male", "")))</f>
        <v/>
      </c>
      <c r="H520" s="16" t="str">
        <f>IF(regexMatch(A520,".*_([0-9]+$)"), CONCATENATE(" ",VALUE(TRIM(CLEAN(RegexFindGroup(A520,".*_([0-9]*)"))))), "")</f>
        <v/>
      </c>
      <c r="I520" s="16" t="str">
        <f>IF(regexMatch(A520,"cs_.*")," (CS)", (IF(regexMatch(A520,"ig_.*"), " (IG)", "")))</f>
        <v xml:space="preserve"> (CS)</v>
      </c>
      <c r="J520" s="10" t="str">
        <f t="shared" si="17"/>
        <v>Priest (CS)</v>
      </c>
    </row>
    <row r="521" spans="1:10" x14ac:dyDescent="0.25">
      <c r="A521" s="6" t="s">
        <v>838</v>
      </c>
      <c r="B521" s="6" t="str">
        <f t="shared" si="18"/>
        <v>ig_priest</v>
      </c>
      <c r="C521" s="6" t="s">
        <v>837</v>
      </c>
      <c r="D521" s="7" t="str">
        <f>PROPER(C521)</f>
        <v>Priest</v>
      </c>
      <c r="E521" s="4" t="s">
        <v>1206</v>
      </c>
      <c r="F521" s="9" t="str">
        <f>IF(regexMatch(A521,"[A-Za-z]*_y_.*")," Young",(IF(regexMatch(A521,"[A-Za-z]*_o_.*")," Old", "")))</f>
        <v/>
      </c>
      <c r="G521" s="16" t="str">
        <f>IF(regexMatch(A521,"[A-Za-z]*_f_.*")," Female", (IF(regexMatch(A521,"[A-Za-z]*_m_.*"), " Male", "")))</f>
        <v/>
      </c>
      <c r="H521" s="16" t="str">
        <f>IF(regexMatch(A521,".*_([0-9]+$)"), CONCATENATE(" ",VALUE(TRIM(CLEAN(RegexFindGroup(A521,".*_([0-9]*)"))))), "")</f>
        <v/>
      </c>
      <c r="I521" s="16" t="str">
        <f>IF(regexMatch(A521,"cs_.*")," (CS)", (IF(regexMatch(A521,"ig_.*"), " (IG)", "")))</f>
        <v xml:space="preserve"> (IG)</v>
      </c>
      <c r="J521" s="10" t="str">
        <f t="shared" si="17"/>
        <v>Priest (IG)</v>
      </c>
    </row>
    <row r="522" spans="1:10" x14ac:dyDescent="0.25">
      <c r="A522" s="6" t="s">
        <v>839</v>
      </c>
      <c r="B522" s="6" t="str">
        <f t="shared" si="18"/>
        <v>u_f_y_princess</v>
      </c>
      <c r="C522" s="6" t="s">
        <v>840</v>
      </c>
      <c r="D522" s="7" t="str">
        <f>PROPER(C522)</f>
        <v>Princess</v>
      </c>
      <c r="E522" s="4" t="s">
        <v>1207</v>
      </c>
      <c r="F522" s="9"/>
      <c r="G522" s="16"/>
      <c r="H522" s="16" t="str">
        <f>IF(regexMatch(A522,".*_([0-9]+$)"), CONCATENATE(" ",VALUE(TRIM(CLEAN(RegexFindGroup(A522,".*_([0-9]*)"))))), "")</f>
        <v/>
      </c>
      <c r="I522" s="16" t="str">
        <f>IF(regexMatch(A522,"cs_.*")," (CS)", (IF(regexMatch(A522,"ig_.*"), " (IG)", "")))</f>
        <v/>
      </c>
      <c r="J522" s="10" t="str">
        <f t="shared" si="17"/>
        <v>Princess</v>
      </c>
    </row>
    <row r="523" spans="1:10" x14ac:dyDescent="0.25">
      <c r="A523" s="6" t="s">
        <v>93</v>
      </c>
      <c r="B523" s="6" t="str">
        <f t="shared" si="18"/>
        <v xml:space="preserve">	s_m_m_prisguard_01</v>
      </c>
      <c r="C523" s="6" t="s">
        <v>92</v>
      </c>
      <c r="D523" s="7" t="str">
        <f>PROPER(C523)</f>
        <v xml:space="preserve">	Prisguard</v>
      </c>
      <c r="E523" s="4" t="s">
        <v>1255</v>
      </c>
      <c r="F523" s="9" t="str">
        <f>IF(regexMatch(A523,"[A-Za-z]*_y_.*")," Young",(IF(regexMatch(A523,"[A-Za-z]*_o_.*")," Old", "")))</f>
        <v/>
      </c>
      <c r="G523" s="16"/>
      <c r="H523" s="16" t="str">
        <f>IF(regexMatch(A523,".*_([0-9]+$)"), CONCATENATE(" ",VALUE(TRIM(CLEAN(RegexFindGroup(A523,".*_([0-9]*)"))))), "")</f>
        <v xml:space="preserve"> 1</v>
      </c>
      <c r="I523" s="16" t="str">
        <f>IF(regexMatch(A523,"cs_.*")," (CS)", (IF(regexMatch(A523,"ig_.*"), " (IG)", "")))</f>
        <v/>
      </c>
      <c r="J523" s="10" t="str">
        <f t="shared" si="17"/>
        <v>Prison Guard</v>
      </c>
    </row>
    <row r="524" spans="1:10" x14ac:dyDescent="0.25">
      <c r="A524" s="6" t="s">
        <v>843</v>
      </c>
      <c r="B524" s="6" t="str">
        <f t="shared" si="18"/>
        <v>s_m_y_prisoner_01</v>
      </c>
      <c r="C524" s="6" t="s">
        <v>844</v>
      </c>
      <c r="D524" s="7" t="str">
        <f>PROPER(C524)</f>
        <v>Prisoner</v>
      </c>
      <c r="E524" s="4" t="s">
        <v>1208</v>
      </c>
      <c r="F524" s="9"/>
      <c r="G524" s="16"/>
      <c r="H524" s="16" t="str">
        <f>IF(regexMatch(A524,".*_([0-9]+$)"), CONCATENATE(" ",VALUE(TRIM(CLEAN(RegexFindGroup(A524,".*_([0-9]*)"))))), "")</f>
        <v xml:space="preserve"> 1</v>
      </c>
      <c r="I524" s="16" t="str">
        <f>IF(regexMatch(A524,"cs_.*")," (CS)", (IF(regexMatch(A524,"ig_.*"), " (IG)", "")))</f>
        <v/>
      </c>
      <c r="J524" s="10" t="str">
        <f t="shared" si="17"/>
        <v>Prisoner</v>
      </c>
    </row>
    <row r="525" spans="1:10" x14ac:dyDescent="0.25">
      <c r="A525" s="6" t="s">
        <v>845</v>
      </c>
      <c r="B525" s="6" t="str">
        <f t="shared" si="18"/>
        <v>u_m_y_prisoner_01</v>
      </c>
      <c r="C525" s="6" t="s">
        <v>844</v>
      </c>
      <c r="D525" s="7" t="str">
        <f>PROPER(C525)</f>
        <v>Prisoner</v>
      </c>
      <c r="E525" s="4" t="s">
        <v>1208</v>
      </c>
      <c r="F525" s="9"/>
      <c r="G525" s="16"/>
      <c r="H525" s="16" t="str">
        <f>IF(regexMatch(A525,".*_([0-9]+$)"), CONCATENATE(" ",VALUE(TRIM(CLEAN(RegexFindGroup(A525,".*_([0-9]*)"))))), "")</f>
        <v xml:space="preserve"> 1</v>
      </c>
      <c r="I525" s="16" t="str">
        <f>IF(regexMatch(A525,"cs_.*")," (CS)", (IF(regexMatch(A525,"ig_.*"), " (IG)", "")))</f>
        <v/>
      </c>
      <c r="J525" s="10" t="str">
        <f t="shared" si="17"/>
        <v>Prisoner</v>
      </c>
    </row>
    <row r="526" spans="1:10" x14ac:dyDescent="0.25">
      <c r="A526" s="6" t="s">
        <v>841</v>
      </c>
      <c r="B526" s="6" t="str">
        <f t="shared" si="18"/>
        <v>s_m_y_prismuscl_01</v>
      </c>
      <c r="C526" s="6" t="s">
        <v>842</v>
      </c>
      <c r="D526" s="7" t="str">
        <f>PROPER(C526)</f>
        <v>Prismuscl</v>
      </c>
      <c r="E526" s="4" t="s">
        <v>1423</v>
      </c>
      <c r="F526" s="9"/>
      <c r="G526" s="16"/>
      <c r="H526" s="16" t="str">
        <f>IF(regexMatch(A526,".*_([0-9]+$)"), CONCATENATE(" ",VALUE(TRIM(CLEAN(RegexFindGroup(A526,".*_([0-9]*)"))))), "")</f>
        <v xml:space="preserve"> 1</v>
      </c>
      <c r="I526" s="16" t="str">
        <f>IF(regexMatch(A526,"cs_.*")," (CS)", (IF(regexMatch(A526,"ig_.*"), " (IG)", "")))</f>
        <v/>
      </c>
      <c r="J526" s="10" t="str">
        <f t="shared" si="17"/>
        <v>Prisoner (Muscular)</v>
      </c>
    </row>
    <row r="527" spans="1:10" x14ac:dyDescent="0.25">
      <c r="A527" s="6" t="s">
        <v>846</v>
      </c>
      <c r="B527" s="6" t="str">
        <f t="shared" si="18"/>
        <v>u_m_y_proldriver_01</v>
      </c>
      <c r="C527" s="6" t="s">
        <v>847</v>
      </c>
      <c r="D527" s="7" t="str">
        <f>PROPER(C527)</f>
        <v>Proldriver</v>
      </c>
      <c r="E527" s="4" t="s">
        <v>1282</v>
      </c>
      <c r="F527" s="9"/>
      <c r="G527" s="16"/>
      <c r="H527" s="16" t="str">
        <f>IF(regexMatch(A527,".*_([0-9]+$)"), CONCATENATE(" ",VALUE(TRIM(CLEAN(RegexFindGroup(A527,".*_([0-9]*)"))))), "")</f>
        <v xml:space="preserve"> 1</v>
      </c>
      <c r="I527" s="16" t="str">
        <f>IF(regexMatch(A527,"cs_.*")," (CS)", (IF(regexMatch(A527,"ig_.*"), " (IG)", "")))</f>
        <v/>
      </c>
      <c r="J527" s="10" t="str">
        <f t="shared" si="17"/>
        <v>Prologue Driver</v>
      </c>
    </row>
    <row r="528" spans="1:10" x14ac:dyDescent="0.25">
      <c r="A528" s="6" t="s">
        <v>851</v>
      </c>
      <c r="B528" s="6" t="str">
        <f t="shared" si="18"/>
        <v>csb_prologuedriver</v>
      </c>
      <c r="C528" s="6" t="s">
        <v>852</v>
      </c>
      <c r="D528" s="7" t="str">
        <f>PROPER(C528)</f>
        <v>Prologuedriver</v>
      </c>
      <c r="E528" s="4" t="s">
        <v>1282</v>
      </c>
      <c r="F528" s="9" t="str">
        <f>IF(regexMatch(A528,"[A-Za-z]*_y_.*")," Young",(IF(regexMatch(A528,"[A-Za-z]*_o_.*")," Old", "")))</f>
        <v/>
      </c>
      <c r="G528" s="16" t="str">
        <f>IF(regexMatch(A528,"[A-Za-z]*_f_.*")," Female", (IF(regexMatch(A528,"[A-Za-z]*_m_.*"), " Male", "")))</f>
        <v/>
      </c>
      <c r="H528" s="16" t="str">
        <f>IF(regexMatch(A528,".*_([0-9]+$)"), CONCATENATE(" ",VALUE(TRIM(CLEAN(RegexFindGroup(A528,".*_([0-9]*)"))))), "")</f>
        <v/>
      </c>
      <c r="I528" s="16" t="str">
        <f>IF(regexMatch(A528,"cs_.*")," (CS)", (IF(regexMatch(A528,"ig_.*"), " (IG)", "")))</f>
        <v/>
      </c>
      <c r="J528" s="10" t="str">
        <f t="shared" si="17"/>
        <v>Prologue Driver</v>
      </c>
    </row>
    <row r="529" spans="1:10" x14ac:dyDescent="0.25">
      <c r="A529" s="6" t="s">
        <v>848</v>
      </c>
      <c r="B529" s="6" t="str">
        <f t="shared" si="18"/>
        <v>a_f_m_prolhost_01</v>
      </c>
      <c r="C529" s="6" t="s">
        <v>849</v>
      </c>
      <c r="D529" s="7" t="str">
        <f>PROPER(C529)</f>
        <v>Prolhost</v>
      </c>
      <c r="E529" s="4" t="s">
        <v>1378</v>
      </c>
      <c r="F529" s="9" t="str">
        <f>IF(regexMatch(A529,"[A-Za-z]*_y_.*")," Young",(IF(regexMatch(A529,"[A-Za-z]*_o_.*")," Old", "")))</f>
        <v/>
      </c>
      <c r="G529" s="16" t="str">
        <f>IF(regexMatch(A529,"[A-Za-z]*_f_.*")," Female", (IF(regexMatch(A529,"[A-Za-z]*_m_.*"), " Male", "")))</f>
        <v xml:space="preserve"> Female</v>
      </c>
      <c r="H529" s="16" t="str">
        <f>IF(regexMatch(A529,".*_([0-9]+$)"), CONCATENATE(" ",VALUE(TRIM(CLEAN(RegexFindGroup(A529,".*_([0-9]*)"))))), "")</f>
        <v xml:space="preserve"> 1</v>
      </c>
      <c r="I529" s="16" t="str">
        <f>IF(regexMatch(A529,"cs_.*")," (CS)", (IF(regexMatch(A529,"ig_.*"), " (IG)", "")))</f>
        <v/>
      </c>
      <c r="J529" s="10" t="str">
        <f t="shared" si="17"/>
        <v>Prologue Host Female</v>
      </c>
    </row>
    <row r="530" spans="1:10" x14ac:dyDescent="0.25">
      <c r="A530" s="6" t="s">
        <v>850</v>
      </c>
      <c r="B530" s="6" t="str">
        <f t="shared" si="18"/>
        <v>a_m_m_prolhost_01</v>
      </c>
      <c r="C530" s="6" t="s">
        <v>849</v>
      </c>
      <c r="D530" s="7" t="str">
        <f>PROPER(C530)</f>
        <v>Prolhost</v>
      </c>
      <c r="E530" s="4" t="s">
        <v>1378</v>
      </c>
      <c r="F530" s="9" t="str">
        <f>IF(regexMatch(A530,"[A-Za-z]*_y_.*")," Young",(IF(regexMatch(A530,"[A-Za-z]*_o_.*")," Old", "")))</f>
        <v/>
      </c>
      <c r="G530" s="16" t="str">
        <f>IF(regexMatch(A530,"[A-Za-z]*_f_.*")," Female", (IF(regexMatch(A530,"[A-Za-z]*_m_.*"), " Male", "")))</f>
        <v xml:space="preserve"> Male</v>
      </c>
      <c r="H530" s="16" t="str">
        <f>IF(regexMatch(A530,".*_([0-9]+$)"), CONCATENATE(" ",VALUE(TRIM(CLEAN(RegexFindGroup(A530,".*_([0-9]*)"))))), "")</f>
        <v xml:space="preserve"> 1</v>
      </c>
      <c r="I530" s="16" t="str">
        <f>IF(regexMatch(A530,"cs_.*")," (CS)", (IF(regexMatch(A530,"ig_.*"), " (IG)", "")))</f>
        <v/>
      </c>
      <c r="J530" s="10" t="str">
        <f t="shared" si="17"/>
        <v>Prologue Host Male</v>
      </c>
    </row>
    <row r="531" spans="1:10" x14ac:dyDescent="0.25">
      <c r="A531" s="6" t="s">
        <v>95</v>
      </c>
      <c r="B531" s="6" t="str">
        <f t="shared" si="18"/>
        <v xml:space="preserve">	u_f_o_prolhost_01</v>
      </c>
      <c r="C531" s="6" t="s">
        <v>94</v>
      </c>
      <c r="D531" s="7" t="str">
        <f>PROPER(C531)</f>
        <v xml:space="preserve">	Prolhost</v>
      </c>
      <c r="E531" s="4" t="s">
        <v>1378</v>
      </c>
      <c r="F531" s="9" t="str">
        <f>IF(regexMatch(A531,"[A-Za-z]*_y_.*")," Young",(IF(regexMatch(A531,"[A-Za-z]*_o_.*")," Old", "")))</f>
        <v xml:space="preserve"> Old</v>
      </c>
      <c r="G531" s="16" t="str">
        <f>IF(regexMatch(A531,"[A-Za-z]*_f_.*")," Female", (IF(regexMatch(A531,"[A-Za-z]*_m_.*"), " Male", "")))</f>
        <v xml:space="preserve"> Female</v>
      </c>
      <c r="H531" s="16" t="str">
        <f>IF(regexMatch(A531,".*_([0-9]+$)"), CONCATENATE(" ",VALUE(TRIM(CLEAN(RegexFindGroup(A531,".*_([0-9]*)"))))), "")</f>
        <v xml:space="preserve"> 1</v>
      </c>
      <c r="I531" s="16" t="str">
        <f>IF(regexMatch(A531,"cs_.*")," (CS)", (IF(regexMatch(A531,"ig_.*"), " (IG)", "")))</f>
        <v/>
      </c>
      <c r="J531" s="10" t="str">
        <f t="shared" si="17"/>
        <v>Prologue Host Old Female</v>
      </c>
    </row>
    <row r="532" spans="1:10" x14ac:dyDescent="0.25">
      <c r="A532" s="6" t="s">
        <v>858</v>
      </c>
      <c r="B532" s="6" t="str">
        <f t="shared" si="18"/>
        <v>u_f_m_promourn_01</v>
      </c>
      <c r="C532" s="6" t="s">
        <v>859</v>
      </c>
      <c r="D532" s="7" t="str">
        <f>PROPER(C532)</f>
        <v>Promourn</v>
      </c>
      <c r="E532" s="4" t="s">
        <v>1280</v>
      </c>
      <c r="F532" s="9" t="str">
        <f>IF(regexMatch(A532,"[A-Za-z]*_y_.*")," Young",(IF(regexMatch(A532,"[A-Za-z]*_o_.*")," Old", "")))</f>
        <v/>
      </c>
      <c r="G532" s="16" t="str">
        <f>IF(regexMatch(A532,"[A-Za-z]*_f_.*")," Female", (IF(regexMatch(A532,"[A-Za-z]*_m_.*"), " Male", "")))</f>
        <v xml:space="preserve"> Female</v>
      </c>
      <c r="H532" s="16" t="str">
        <f>IF(regexMatch(A532,".*_([0-9]+$)"), CONCATENATE(" ",VALUE(TRIM(CLEAN(RegexFindGroup(A532,".*_([0-9]*)"))))), "")</f>
        <v xml:space="preserve"> 1</v>
      </c>
      <c r="I532" s="16" t="str">
        <f>IF(regexMatch(A532,"cs_.*")," (CS)", (IF(regexMatch(A532,"ig_.*"), " (IG)", "")))</f>
        <v/>
      </c>
      <c r="J532" s="10" t="str">
        <f t="shared" si="17"/>
        <v>Prologue Mourner Female</v>
      </c>
    </row>
    <row r="533" spans="1:10" x14ac:dyDescent="0.25">
      <c r="A533" s="6" t="s">
        <v>860</v>
      </c>
      <c r="B533" s="6" t="str">
        <f t="shared" si="18"/>
        <v>u_m_m_promourn_01</v>
      </c>
      <c r="C533" s="6" t="s">
        <v>859</v>
      </c>
      <c r="D533" s="7" t="str">
        <f>PROPER(C533)</f>
        <v>Promourn</v>
      </c>
      <c r="E533" s="4" t="s">
        <v>1280</v>
      </c>
      <c r="F533" s="9" t="str">
        <f>IF(regexMatch(A533,"[A-Za-z]*_y_.*")," Young",(IF(regexMatch(A533,"[A-Za-z]*_o_.*")," Old", "")))</f>
        <v/>
      </c>
      <c r="G533" s="16" t="str">
        <f>IF(regexMatch(A533,"[A-Za-z]*_f_.*")," Female", (IF(regexMatch(A533,"[A-Za-z]*_m_.*"), " Male", "")))</f>
        <v xml:space="preserve"> Male</v>
      </c>
      <c r="H533" s="16" t="str">
        <f>IF(regexMatch(A533,".*_([0-9]+$)"), CONCATENATE(" ",VALUE(TRIM(CLEAN(RegexFindGroup(A533,".*_([0-9]*)"))))), "")</f>
        <v xml:space="preserve"> 1</v>
      </c>
      <c r="I533" s="16" t="str">
        <f>IF(regexMatch(A533,"cs_.*")," (CS)", (IF(regexMatch(A533,"ig_.*"), " (IG)", "")))</f>
        <v/>
      </c>
      <c r="J533" s="10" t="str">
        <f t="shared" si="17"/>
        <v>Prologue Mourner Male</v>
      </c>
    </row>
    <row r="534" spans="1:10" x14ac:dyDescent="0.25">
      <c r="A534" s="6" t="s">
        <v>853</v>
      </c>
      <c r="B534" s="6" t="str">
        <f t="shared" si="18"/>
        <v>csb_prolsec</v>
      </c>
      <c r="C534" s="6" t="s">
        <v>854</v>
      </c>
      <c r="D534" s="7" t="str">
        <f>PROPER(C534)</f>
        <v>Prolsec</v>
      </c>
      <c r="E534" s="4" t="s">
        <v>1365</v>
      </c>
      <c r="F534" s="9" t="str">
        <f>IF(regexMatch(A534,"[A-Za-z]*_y_.*")," Young",(IF(regexMatch(A534,"[A-Za-z]*_o_.*")," Old", "")))</f>
        <v/>
      </c>
      <c r="G534" s="16" t="str">
        <f>IF(regexMatch(A534,"[A-Za-z]*_f_.*")," Female", (IF(regexMatch(A534,"[A-Za-z]*_m_.*"), " Male", "")))</f>
        <v/>
      </c>
      <c r="H534" s="16" t="str">
        <f>IF(regexMatch(A534,".*_([0-9]+$)"), CONCATENATE(" ",VALUE(TRIM(CLEAN(RegexFindGroup(A534,".*_([0-9]*)"))))), "")</f>
        <v/>
      </c>
      <c r="I534" s="16" t="str">
        <f>IF(regexMatch(A534,"cs_.*")," (CS)", (IF(regexMatch(A534,"ig_.*"), " (IG)", "")))</f>
        <v/>
      </c>
      <c r="J534" s="10" t="str">
        <f t="shared" si="17"/>
        <v>Prologue Security</v>
      </c>
    </row>
    <row r="535" spans="1:10" x14ac:dyDescent="0.25">
      <c r="A535" s="6" t="s">
        <v>857</v>
      </c>
      <c r="B535" s="6" t="str">
        <f t="shared" si="18"/>
        <v>u_m_m_prolsec_01</v>
      </c>
      <c r="C535" s="6" t="s">
        <v>854</v>
      </c>
      <c r="D535" s="7" t="str">
        <f>PROPER(C535)</f>
        <v>Prolsec</v>
      </c>
      <c r="E535" s="4" t="s">
        <v>1365</v>
      </c>
      <c r="F535" s="9" t="str">
        <f>IF(regexMatch(A535,"[A-Za-z]*_y_.*")," Young",(IF(regexMatch(A535,"[A-Za-z]*_o_.*")," Old", "")))</f>
        <v/>
      </c>
      <c r="G535" s="16"/>
      <c r="H535" s="16" t="str">
        <f>IF(regexMatch(A535,".*_([0-9]+$)"), CONCATENATE(" ",VALUE(TRIM(CLEAN(RegexFindGroup(A535,".*_([0-9]*)"))))), "")</f>
        <v xml:space="preserve"> 1</v>
      </c>
      <c r="I535" s="16" t="str">
        <f>IF(regexMatch(A535,"cs_.*")," (CS)", (IF(regexMatch(A535,"ig_.*"), " (IG)", "")))</f>
        <v/>
      </c>
      <c r="J535" s="10" t="str">
        <f t="shared" si="17"/>
        <v>Prologue Security</v>
      </c>
    </row>
    <row r="536" spans="1:10" x14ac:dyDescent="0.25">
      <c r="A536" s="6" t="s">
        <v>855</v>
      </c>
      <c r="B536" s="6" t="str">
        <f t="shared" si="18"/>
        <v>cs_prolsec_02</v>
      </c>
      <c r="C536" s="6" t="s">
        <v>854</v>
      </c>
      <c r="D536" s="7" t="str">
        <f>PROPER(C536)</f>
        <v>Prolsec</v>
      </c>
      <c r="E536" s="4" t="s">
        <v>1365</v>
      </c>
      <c r="F536" s="9" t="str">
        <f>IF(regexMatch(A536,"[A-Za-z]*_y_.*")," Young",(IF(regexMatch(A536,"[A-Za-z]*_o_.*")," Old", "")))</f>
        <v/>
      </c>
      <c r="G536" s="16" t="str">
        <f>IF(regexMatch(A536,"[A-Za-z]*_f_.*")," Female", (IF(regexMatch(A536,"[A-Za-z]*_m_.*"), " Male", "")))</f>
        <v/>
      </c>
      <c r="H536" s="16" t="str">
        <f>IF(regexMatch(A536,".*_([0-9]+$)"), CONCATENATE(" ",VALUE(TRIM(CLEAN(RegexFindGroup(A536,".*_([0-9]*)"))))), "")</f>
        <v xml:space="preserve"> 2</v>
      </c>
      <c r="I536" s="16" t="str">
        <f>IF(regexMatch(A536,"cs_.*")," (CS)", (IF(regexMatch(A536,"ig_.*"), " (IG)", "")))</f>
        <v xml:space="preserve"> (CS)</v>
      </c>
      <c r="J536" s="10" t="str">
        <f t="shared" si="17"/>
        <v>Prologue Security 2 (CS)</v>
      </c>
    </row>
    <row r="537" spans="1:10" x14ac:dyDescent="0.25">
      <c r="A537" s="6" t="s">
        <v>856</v>
      </c>
      <c r="B537" s="6" t="str">
        <f t="shared" si="18"/>
        <v>ig_prolsec_02</v>
      </c>
      <c r="C537" s="6" t="s">
        <v>854</v>
      </c>
      <c r="D537" s="7" t="str">
        <f>PROPER(C537)</f>
        <v>Prolsec</v>
      </c>
      <c r="E537" s="4" t="s">
        <v>1365</v>
      </c>
      <c r="F537" s="9" t="str">
        <f>IF(regexMatch(A537,"[A-Za-z]*_y_.*")," Young",(IF(regexMatch(A537,"[A-Za-z]*_o_.*")," Old", "")))</f>
        <v/>
      </c>
      <c r="G537" s="16" t="str">
        <f>IF(regexMatch(A537,"[A-Za-z]*_f_.*")," Female", (IF(regexMatch(A537,"[A-Za-z]*_m_.*"), " Male", "")))</f>
        <v/>
      </c>
      <c r="H537" s="16" t="str">
        <f>IF(regexMatch(A537,".*_([0-9]+$)"), CONCATENATE(" ",VALUE(TRIM(CLEAN(RegexFindGroup(A537,".*_([0-9]*)"))))), "")</f>
        <v xml:space="preserve"> 2</v>
      </c>
      <c r="I537" s="16" t="str">
        <f>IF(regexMatch(A537,"cs_.*")," (CS)", (IF(regexMatch(A537,"ig_.*"), " (IG)", "")))</f>
        <v xml:space="preserve"> (IG)</v>
      </c>
      <c r="J537" s="10" t="str">
        <f t="shared" si="17"/>
        <v>Prologue Security 2 (IG)</v>
      </c>
    </row>
    <row r="538" spans="1:10" x14ac:dyDescent="0.25">
      <c r="A538" s="6" t="s">
        <v>861</v>
      </c>
      <c r="B538" s="6" t="str">
        <f t="shared" si="18"/>
        <v>mp_g_m_pros_01</v>
      </c>
      <c r="C538" s="6" t="s">
        <v>862</v>
      </c>
      <c r="D538" s="7" t="str">
        <f>PROPER(C538)</f>
        <v>Pros</v>
      </c>
      <c r="E538" s="4" t="s">
        <v>1466</v>
      </c>
      <c r="F538" s="9" t="str">
        <f>IF(regexMatch(A538,"[A-Za-z]*_y_.*")," Young",(IF(regexMatch(A538,"[A-Za-z]*_o_.*")," Old", "")))</f>
        <v/>
      </c>
      <c r="G538" s="16"/>
      <c r="H538" s="16" t="str">
        <f>IF(regexMatch(A538,".*_([0-9]+$)"), CONCATENATE(" ",VALUE(TRIM(CLEAN(RegexFindGroup(A538,".*_([0-9]*)"))))), "")</f>
        <v xml:space="preserve"> 1</v>
      </c>
      <c r="I538" s="16" t="str">
        <f>IF(regexMatch(A538,"cs_.*")," (CS)", (IF(regexMatch(A538,"ig_.*"), " (IG)", "")))</f>
        <v/>
      </c>
      <c r="J538" s="10" t="str">
        <f t="shared" si="17"/>
        <v>PROS?</v>
      </c>
    </row>
    <row r="539" spans="1:10" x14ac:dyDescent="0.25">
      <c r="A539" s="6" t="s">
        <v>863</v>
      </c>
      <c r="B539" s="6" t="str">
        <f t="shared" si="18"/>
        <v>s_f_y_ranger_01</v>
      </c>
      <c r="C539" s="6" t="s">
        <v>864</v>
      </c>
      <c r="D539" s="7" t="str">
        <f>PROPER(C539)</f>
        <v>Ranger</v>
      </c>
      <c r="E539" s="4" t="s">
        <v>1209</v>
      </c>
      <c r="F539" s="9"/>
      <c r="G539" s="16" t="str">
        <f>IF(regexMatch(A539,"[A-Za-z]*_f_.*")," Female", (IF(regexMatch(A539,"[A-Za-z]*_m_.*"), " Male", "")))</f>
        <v xml:space="preserve"> Female</v>
      </c>
      <c r="H539" s="16" t="str">
        <f>IF(regexMatch(A539,".*_([0-9]+$)"), CONCATENATE(" ",VALUE(TRIM(CLEAN(RegexFindGroup(A539,".*_([0-9]*)"))))), "")</f>
        <v xml:space="preserve"> 1</v>
      </c>
      <c r="I539" s="16" t="str">
        <f>IF(regexMatch(A539,"cs_.*")," (CS)", (IF(regexMatch(A539,"ig_.*"), " (IG)", "")))</f>
        <v/>
      </c>
      <c r="J539" s="10" t="str">
        <f t="shared" si="17"/>
        <v>Ranger Female</v>
      </c>
    </row>
    <row r="540" spans="1:10" x14ac:dyDescent="0.25">
      <c r="A540" s="6" t="s">
        <v>865</v>
      </c>
      <c r="B540" s="6" t="str">
        <f t="shared" si="18"/>
        <v>s_m_y_ranger_01</v>
      </c>
      <c r="C540" s="6" t="s">
        <v>864</v>
      </c>
      <c r="D540" s="7" t="str">
        <f>PROPER(C540)</f>
        <v>Ranger</v>
      </c>
      <c r="E540" s="4" t="s">
        <v>1209</v>
      </c>
      <c r="F540" s="9"/>
      <c r="G540" s="16" t="str">
        <f>IF(regexMatch(A540,"[A-Za-z]*_f_.*")," Female", (IF(regexMatch(A540,"[A-Za-z]*_m_.*"), " Male", "")))</f>
        <v xml:space="preserve"> Male</v>
      </c>
      <c r="H540" s="16" t="str">
        <f>IF(regexMatch(A540,".*_([0-9]+$)"), CONCATENATE(" ",VALUE(TRIM(CLEAN(RegexFindGroup(A540,".*_([0-9]*)"))))), "")</f>
        <v xml:space="preserve"> 1</v>
      </c>
      <c r="I540" s="16" t="str">
        <f>IF(regexMatch(A540,"cs_.*")," (CS)", (IF(regexMatch(A540,"ig_.*"), " (IG)", "")))</f>
        <v/>
      </c>
      <c r="J540" s="10" t="str">
        <f t="shared" si="17"/>
        <v>Ranger Male</v>
      </c>
    </row>
    <row r="541" spans="1:10" x14ac:dyDescent="0.25">
      <c r="A541" s="6" t="s">
        <v>866</v>
      </c>
      <c r="B541" s="6" t="str">
        <f t="shared" si="18"/>
        <v>csb_reporter</v>
      </c>
      <c r="C541" s="6" t="s">
        <v>867</v>
      </c>
      <c r="D541" s="7" t="str">
        <f>PROPER(C541)</f>
        <v>Reporter</v>
      </c>
      <c r="E541" s="4" t="s">
        <v>1210</v>
      </c>
      <c r="F541" s="9" t="str">
        <f>IF(regexMatch(A541,"[A-Za-z]*_y_.*")," Young",(IF(regexMatch(A541,"[A-Za-z]*_o_.*")," Old", "")))</f>
        <v/>
      </c>
      <c r="G541" s="16" t="str">
        <f>IF(regexMatch(A541,"[A-Za-z]*_f_.*")," Female", (IF(regexMatch(A541,"[A-Za-z]*_m_.*"), " Male", "")))</f>
        <v/>
      </c>
      <c r="H541" s="16" t="str">
        <f>IF(regexMatch(A541,".*_([0-9]+$)"), CONCATENATE(" ",VALUE(TRIM(CLEAN(RegexFindGroup(A541,".*_([0-9]*)"))))), "")</f>
        <v/>
      </c>
      <c r="I541" s="16" t="str">
        <f>IF(regexMatch(A541,"cs_.*")," (CS)", (IF(regexMatch(A541,"ig_.*"), " (IG)", "")))</f>
        <v/>
      </c>
      <c r="J541" s="10" t="str">
        <f t="shared" si="17"/>
        <v>Reporter</v>
      </c>
    </row>
    <row r="542" spans="1:10" x14ac:dyDescent="0.25">
      <c r="A542" s="6" t="s">
        <v>876</v>
      </c>
      <c r="B542" s="6" t="str">
        <f t="shared" si="18"/>
        <v>u_m_y_rsranger_01</v>
      </c>
      <c r="C542" s="6" t="s">
        <v>877</v>
      </c>
      <c r="D542" s="7" t="str">
        <f>PROPER(C542)</f>
        <v>Rsranger</v>
      </c>
      <c r="E542" s="4" t="s">
        <v>1277</v>
      </c>
      <c r="F542" s="9"/>
      <c r="G542" s="16"/>
      <c r="H542" s="16" t="str">
        <f>IF(regexMatch(A542,".*_([0-9]+$)"), CONCATENATE(" ",VALUE(TRIM(CLEAN(RegexFindGroup(A542,".*_([0-9]*)"))))), "")</f>
        <v xml:space="preserve"> 1</v>
      </c>
      <c r="I542" s="16" t="str">
        <f>IF(regexMatch(A542,"cs_.*")," (CS)", (IF(regexMatch(A542,"ig_.*"), " (IG)", "")))</f>
        <v/>
      </c>
      <c r="J542" s="10" t="str">
        <f t="shared" si="17"/>
        <v>Republican Space Ranger</v>
      </c>
    </row>
    <row r="543" spans="1:10" x14ac:dyDescent="0.25">
      <c r="A543" s="6" t="s">
        <v>868</v>
      </c>
      <c r="B543" s="6" t="str">
        <f t="shared" si="18"/>
        <v>u_m_m_rivalpap</v>
      </c>
      <c r="C543" s="6" t="s">
        <v>869</v>
      </c>
      <c r="D543" s="7" t="str">
        <f>PROPER(C543)</f>
        <v>Rivalpap</v>
      </c>
      <c r="E543" s="4" t="s">
        <v>1279</v>
      </c>
      <c r="F543" s="9"/>
      <c r="G543" s="16"/>
      <c r="H543" s="16" t="str">
        <f>IF(regexMatch(A543,".*_([0-9]+$)"), CONCATENATE(" ",VALUE(TRIM(CLEAN(RegexFindGroup(A543,".*_([0-9]*)"))))), "")</f>
        <v/>
      </c>
      <c r="I543" s="16" t="str">
        <f>IF(regexMatch(A543,"cs_.*")," (CS)", (IF(regexMatch(A543,"ig_.*"), " (IG)", "")))</f>
        <v/>
      </c>
      <c r="J543" s="10" t="str">
        <f t="shared" si="17"/>
        <v>Rival Paparazzo</v>
      </c>
    </row>
    <row r="544" spans="1:10" x14ac:dyDescent="0.25">
      <c r="A544" s="6" t="s">
        <v>870</v>
      </c>
      <c r="B544" s="6" t="str">
        <f t="shared" si="18"/>
        <v>a_m_y_roadcyc_01</v>
      </c>
      <c r="C544" s="6" t="s">
        <v>871</v>
      </c>
      <c r="D544" s="7" t="str">
        <f>PROPER(C544)</f>
        <v>Roadcyc</v>
      </c>
      <c r="E544" s="4" t="s">
        <v>1315</v>
      </c>
      <c r="F544" s="9"/>
      <c r="G544" s="16"/>
      <c r="H544" s="16" t="str">
        <f>IF(regexMatch(A544,".*_([0-9]+$)"), CONCATENATE(" ",VALUE(TRIM(CLEAN(RegexFindGroup(A544,".*_([0-9]*)"))))), "")</f>
        <v xml:space="preserve"> 1</v>
      </c>
      <c r="I544" s="16" t="str">
        <f>IF(regexMatch(A544,"cs_.*")," (CS)", (IF(regexMatch(A544,"ig_.*"), " (IG)", "")))</f>
        <v/>
      </c>
      <c r="J544" s="10" t="str">
        <f t="shared" si="17"/>
        <v>Road Cyclist</v>
      </c>
    </row>
    <row r="545" spans="1:10" x14ac:dyDescent="0.25">
      <c r="A545" s="6" t="s">
        <v>872</v>
      </c>
      <c r="B545" s="6" t="str">
        <f t="shared" si="18"/>
        <v>s_m_y_robber_01</v>
      </c>
      <c r="C545" s="6" t="s">
        <v>873</v>
      </c>
      <c r="D545" s="7" t="str">
        <f>PROPER(C545)</f>
        <v>Robber</v>
      </c>
      <c r="E545" s="4" t="s">
        <v>1211</v>
      </c>
      <c r="F545" s="9"/>
      <c r="G545" s="16"/>
      <c r="H545" s="16" t="str">
        <f>IF(regexMatch(A545,".*_([0-9]+$)"), CONCATENATE(" ",VALUE(TRIM(CLEAN(RegexFindGroup(A545,".*_([0-9]*)"))))), "")</f>
        <v xml:space="preserve"> 1</v>
      </c>
      <c r="I545" s="16" t="str">
        <f>IF(regexMatch(A545,"cs_.*")," (CS)", (IF(regexMatch(A545,"ig_.*"), " (IG)", "")))</f>
        <v/>
      </c>
      <c r="J545" s="10" t="str">
        <f t="shared" si="17"/>
        <v>Robber</v>
      </c>
    </row>
    <row r="546" spans="1:10" x14ac:dyDescent="0.25">
      <c r="A546" s="6" t="s">
        <v>874</v>
      </c>
      <c r="B546" s="6" t="str">
        <f t="shared" si="18"/>
        <v>csb_roccopelosi</v>
      </c>
      <c r="C546" s="6" t="s">
        <v>875</v>
      </c>
      <c r="D546" s="7" t="str">
        <f>PROPER(C546)</f>
        <v>Roccopelosi</v>
      </c>
      <c r="E546" s="4" t="s">
        <v>1256</v>
      </c>
      <c r="F546" s="9" t="str">
        <f>IF(regexMatch(A546,"[A-Za-z]*_y_.*")," Young",(IF(regexMatch(A546,"[A-Za-z]*_o_.*")," Old", "")))</f>
        <v/>
      </c>
      <c r="G546" s="16" t="str">
        <f>IF(regexMatch(A546,"[A-Za-z]*_f_.*")," Female", (IF(regexMatch(A546,"[A-Za-z]*_m_.*"), " Male", "")))</f>
        <v/>
      </c>
      <c r="H546" s="16" t="str">
        <f>IF(regexMatch(A546,".*_([0-9]+$)"), CONCATENATE(" ",VALUE(TRIM(CLEAN(RegexFindGroup(A546,".*_([0-9]*)"))))), "")</f>
        <v/>
      </c>
      <c r="I546" s="16" t="str">
        <f>IF(regexMatch(A546,"cs_.*")," (CS)", (IF(regexMatch(A546,"ig_.*"), " (IG)", "")))</f>
        <v/>
      </c>
      <c r="J546" s="10" t="str">
        <f t="shared" si="17"/>
        <v>Rocco Pelosi</v>
      </c>
    </row>
    <row r="547" spans="1:10" x14ac:dyDescent="0.25">
      <c r="A547" s="6" t="s">
        <v>97</v>
      </c>
      <c r="B547" s="6" t="str">
        <f t="shared" si="18"/>
        <v xml:space="preserve">	ig_roccopelosi</v>
      </c>
      <c r="C547" s="6" t="s">
        <v>96</v>
      </c>
      <c r="D547" s="7" t="str">
        <f>PROPER(C547)</f>
        <v xml:space="preserve">	Roccopelosi</v>
      </c>
      <c r="E547" s="4" t="s">
        <v>1256</v>
      </c>
      <c r="F547" s="9" t="str">
        <f>IF(regexMatch(A547,"[A-Za-z]*_y_.*")," Young",(IF(regexMatch(A547,"[A-Za-z]*_o_.*")," Old", "")))</f>
        <v/>
      </c>
      <c r="G547" s="16" t="str">
        <f>IF(regexMatch(A547,"[A-Za-z]*_f_.*")," Female", (IF(regexMatch(A547,"[A-Za-z]*_m_.*"), " Male", "")))</f>
        <v/>
      </c>
      <c r="H547" s="16" t="str">
        <f>IF(regexMatch(A547,".*_([0-9]+$)"), CONCATENATE(" ",VALUE(TRIM(CLEAN(RegexFindGroup(A547,".*_([0-9]*)"))))), "")</f>
        <v/>
      </c>
      <c r="I547" s="16" t="str">
        <f>IF(regexMatch(A547,"cs_.*")," (CS)", (IF(regexMatch(A547,"ig_.*"), " (IG)", "")))</f>
        <v xml:space="preserve"> (IG)</v>
      </c>
      <c r="J547" s="10" t="str">
        <f t="shared" si="17"/>
        <v>Rocco Pelosi (IG)</v>
      </c>
    </row>
    <row r="548" spans="1:10" x14ac:dyDescent="0.25">
      <c r="A548" s="6" t="s">
        <v>881</v>
      </c>
      <c r="B548" s="6" t="str">
        <f t="shared" si="18"/>
        <v>a_f_y_rurmeth_01</v>
      </c>
      <c r="C548" s="6" t="s">
        <v>882</v>
      </c>
      <c r="D548" s="7" t="str">
        <f>PROPER(C548)</f>
        <v>Rurmeth</v>
      </c>
      <c r="E548" s="4" t="s">
        <v>1333</v>
      </c>
      <c r="F548" s="9"/>
      <c r="G548" s="16" t="str">
        <f>IF(regexMatch(A548,"[A-Za-z]*_f_.*")," Female", (IF(regexMatch(A548,"[A-Za-z]*_m_.*"), " Male", "")))</f>
        <v xml:space="preserve"> Female</v>
      </c>
      <c r="H548" s="16" t="str">
        <f>IF(regexMatch(A548,".*_([0-9]+$)"), CONCATENATE(" ",VALUE(TRIM(CLEAN(RegexFindGroup(A548,".*_([0-9]*)"))))), "")</f>
        <v xml:space="preserve"> 1</v>
      </c>
      <c r="I548" s="16" t="str">
        <f>IF(regexMatch(A548,"cs_.*")," (CS)", (IF(regexMatch(A548,"ig_.*"), " (IG)", "")))</f>
        <v/>
      </c>
      <c r="J548" s="10" t="str">
        <f t="shared" si="17"/>
        <v>Rural Meth Addict Female</v>
      </c>
    </row>
    <row r="549" spans="1:10" x14ac:dyDescent="0.25">
      <c r="A549" s="6" t="s">
        <v>883</v>
      </c>
      <c r="B549" s="6" t="str">
        <f t="shared" si="18"/>
        <v>a_m_m_rurmeth_01</v>
      </c>
      <c r="C549" s="6" t="s">
        <v>882</v>
      </c>
      <c r="D549" s="7" t="str">
        <f>PROPER(C549)</f>
        <v>Rurmeth</v>
      </c>
      <c r="E549" s="4" t="s">
        <v>1333</v>
      </c>
      <c r="F549" s="9" t="str">
        <f>IF(regexMatch(A549,"[A-Za-z]*_y_.*")," Young",(IF(regexMatch(A549,"[A-Za-z]*_o_.*")," Old", "")))</f>
        <v/>
      </c>
      <c r="G549" s="16" t="str">
        <f>IF(regexMatch(A549,"[A-Za-z]*_f_.*")," Female", (IF(regexMatch(A549,"[A-Za-z]*_m_.*"), " Male", "")))</f>
        <v xml:space="preserve"> Male</v>
      </c>
      <c r="H549" s="16" t="str">
        <f>IF(regexMatch(A549,".*_([0-9]+$)"), CONCATENATE(" ",VALUE(TRIM(CLEAN(RegexFindGroup(A549,".*_([0-9]*)"))))), "")</f>
        <v xml:space="preserve"> 1</v>
      </c>
      <c r="I549" s="16" t="str">
        <f>IF(regexMatch(A549,"cs_.*")," (CS)", (IF(regexMatch(A549,"ig_.*"), " (IG)", "")))</f>
        <v/>
      </c>
      <c r="J549" s="10" t="str">
        <f t="shared" si="17"/>
        <v>Rural Meth Addict Male</v>
      </c>
    </row>
    <row r="550" spans="1:10" x14ac:dyDescent="0.25">
      <c r="A550" s="6" t="s">
        <v>884</v>
      </c>
      <c r="B550" s="6" t="str">
        <f t="shared" si="18"/>
        <v>cs_russiandrunk</v>
      </c>
      <c r="C550" s="6" t="s">
        <v>885</v>
      </c>
      <c r="D550" s="7" t="str">
        <f>PROPER(C550)</f>
        <v>Russiandrunk</v>
      </c>
      <c r="E550" s="4" t="s">
        <v>1278</v>
      </c>
      <c r="F550" s="9" t="str">
        <f>IF(regexMatch(A550,"[A-Za-z]*_y_.*")," Young",(IF(regexMatch(A550,"[A-Za-z]*_o_.*")," Old", "")))</f>
        <v/>
      </c>
      <c r="G550" s="16" t="str">
        <f>IF(regexMatch(A550,"[A-Za-z]*_f_.*")," Female", (IF(regexMatch(A550,"[A-Za-z]*_m_.*"), " Male", "")))</f>
        <v/>
      </c>
      <c r="H550" s="16" t="str">
        <f>IF(regexMatch(A550,".*_([0-9]+$)"), CONCATENATE(" ",VALUE(TRIM(CLEAN(RegexFindGroup(A550,".*_([0-9]*)"))))), "")</f>
        <v/>
      </c>
      <c r="I550" s="16" t="str">
        <f>IF(regexMatch(A550,"cs_.*")," (CS)", (IF(regexMatch(A550,"ig_.*"), " (IG)", "")))</f>
        <v xml:space="preserve"> (CS)</v>
      </c>
      <c r="J550" s="10" t="str">
        <f t="shared" si="17"/>
        <v>Russian Drunk (CS)</v>
      </c>
    </row>
    <row r="551" spans="1:10" x14ac:dyDescent="0.25">
      <c r="A551" s="6" t="s">
        <v>886</v>
      </c>
      <c r="B551" s="6" t="str">
        <f t="shared" si="18"/>
        <v>ig_russiandrunk</v>
      </c>
      <c r="C551" s="6" t="s">
        <v>885</v>
      </c>
      <c r="D551" s="7" t="str">
        <f>PROPER(C551)</f>
        <v>Russiandrunk</v>
      </c>
      <c r="E551" s="4" t="s">
        <v>1278</v>
      </c>
      <c r="F551" s="9" t="str">
        <f>IF(regexMatch(A551,"[A-Za-z]*_y_.*")," Young",(IF(regexMatch(A551,"[A-Za-z]*_o_.*")," Old", "")))</f>
        <v/>
      </c>
      <c r="G551" s="16" t="str">
        <f>IF(regexMatch(A551,"[A-Za-z]*_f_.*")," Female", (IF(regexMatch(A551,"[A-Za-z]*_m_.*"), " Male", "")))</f>
        <v/>
      </c>
      <c r="H551" s="16" t="str">
        <f>IF(regexMatch(A551,".*_([0-9]+$)"), CONCATENATE(" ",VALUE(TRIM(CLEAN(RegexFindGroup(A551,".*_([0-9]*)"))))), "")</f>
        <v/>
      </c>
      <c r="I551" s="16" t="str">
        <f>IF(regexMatch(A551,"cs_.*")," (CS)", (IF(regexMatch(A551,"ig_.*"), " (IG)", "")))</f>
        <v xml:space="preserve"> (IG)</v>
      </c>
      <c r="J551" s="10" t="str">
        <f t="shared" si="17"/>
        <v>Russian Drunk (IG)</v>
      </c>
    </row>
    <row r="552" spans="1:10" x14ac:dyDescent="0.25">
      <c r="A552" s="6" t="s">
        <v>918</v>
      </c>
      <c r="B552" s="6" t="str">
        <f t="shared" si="18"/>
        <v>s_f_m_shop_high</v>
      </c>
      <c r="C552" s="6" t="s">
        <v>919</v>
      </c>
      <c r="D552" s="7" t="str">
        <f>PROPER(C552)</f>
        <v>Shop_High</v>
      </c>
      <c r="E552" s="4" t="s">
        <v>1467</v>
      </c>
      <c r="F552" s="9" t="str">
        <f>IF(regexMatch(A552,"[A-Za-z]*_y_.*")," Young",(IF(regexMatch(A552,"[A-Za-z]*_o_.*")," Old", "")))</f>
        <v/>
      </c>
      <c r="G552" s="16"/>
      <c r="H552" s="16" t="str">
        <f>IF(regexMatch(A552,".*_([0-9]+$)"), CONCATENATE(" ",VALUE(TRIM(CLEAN(RegexFindGroup(A552,".*_([0-9]*)"))))), "")</f>
        <v/>
      </c>
      <c r="I552" s="16" t="str">
        <f>IF(regexMatch(A552,"cs_.*")," (CS)", (IF(regexMatch(A552,"ig_.*"), " (IG)", "")))</f>
        <v/>
      </c>
      <c r="J552" s="10" t="str">
        <f t="shared" si="17"/>
        <v>Sales Assistant (High-End)</v>
      </c>
    </row>
    <row r="553" spans="1:10" x14ac:dyDescent="0.25">
      <c r="A553" s="6" t="s">
        <v>920</v>
      </c>
      <c r="B553" s="6" t="str">
        <f t="shared" si="18"/>
        <v>s_f_y_shop_low</v>
      </c>
      <c r="C553" s="6" t="s">
        <v>921</v>
      </c>
      <c r="D553" s="7" t="str">
        <f>PROPER(C553)</f>
        <v>Shop_Low</v>
      </c>
      <c r="E553" s="4" t="s">
        <v>1468</v>
      </c>
      <c r="F553" s="9"/>
      <c r="G553" s="16"/>
      <c r="H553" s="16" t="str">
        <f>IF(regexMatch(A553,".*_([0-9]+$)"), CONCATENATE(" ",VALUE(TRIM(CLEAN(RegexFindGroup(A553,".*_([0-9]*)"))))), "")</f>
        <v/>
      </c>
      <c r="I553" s="16" t="str">
        <f>IF(regexMatch(A553,"cs_.*")," (CS)", (IF(regexMatch(A553,"ig_.*"), " (IG)", "")))</f>
        <v/>
      </c>
      <c r="J553" s="10" t="str">
        <f t="shared" si="17"/>
        <v>Sales Assistant (Low-End)</v>
      </c>
    </row>
    <row r="554" spans="1:10" x14ac:dyDescent="0.25">
      <c r="A554" s="6" t="s">
        <v>922</v>
      </c>
      <c r="B554" s="6" t="str">
        <f t="shared" si="18"/>
        <v>s_m_y_shop_mask</v>
      </c>
      <c r="C554" s="6" t="s">
        <v>923</v>
      </c>
      <c r="D554" s="7" t="str">
        <f>PROPER(C554)</f>
        <v>Shop_Mask</v>
      </c>
      <c r="E554" s="4" t="s">
        <v>1470</v>
      </c>
      <c r="F554" s="9"/>
      <c r="G554" s="16"/>
      <c r="H554" s="16" t="str">
        <f>IF(regexMatch(A554,".*_([0-9]+$)"), CONCATENATE(" ",VALUE(TRIM(CLEAN(RegexFindGroup(A554,".*_([0-9]*)"))))), "")</f>
        <v/>
      </c>
      <c r="I554" s="16" t="str">
        <f>IF(regexMatch(A554,"cs_.*")," (CS)", (IF(regexMatch(A554,"ig_.*"), " (IG)", "")))</f>
        <v/>
      </c>
      <c r="J554" s="10" t="str">
        <f t="shared" si="17"/>
        <v>Sales Assistant (Mask Stall)</v>
      </c>
    </row>
    <row r="555" spans="1:10" x14ac:dyDescent="0.25">
      <c r="A555" s="6" t="s">
        <v>924</v>
      </c>
      <c r="B555" s="6" t="str">
        <f t="shared" si="18"/>
        <v>s_f_y_shop_mid</v>
      </c>
      <c r="C555" s="6" t="s">
        <v>925</v>
      </c>
      <c r="D555" s="7" t="str">
        <f>PROPER(C555)</f>
        <v>Shop_Mid</v>
      </c>
      <c r="E555" s="4" t="s">
        <v>1469</v>
      </c>
      <c r="F555" s="9"/>
      <c r="G555" s="16"/>
      <c r="H555" s="16" t="str">
        <f>IF(regexMatch(A555,".*_([0-9]+$)"), CONCATENATE(" ",VALUE(TRIM(CLEAN(RegexFindGroup(A555,".*_([0-9]*)"))))), "")</f>
        <v/>
      </c>
      <c r="I555" s="16" t="str">
        <f>IF(regexMatch(A555,"cs_.*")," (CS)", (IF(regexMatch(A555,"ig_.*"), " (IG)", "")))</f>
        <v/>
      </c>
      <c r="J555" s="10" t="str">
        <f t="shared" si="17"/>
        <v>Sales Assistant (Mid-Price)</v>
      </c>
    </row>
    <row r="556" spans="1:10" x14ac:dyDescent="0.25">
      <c r="A556" s="6" t="s">
        <v>887</v>
      </c>
      <c r="B556" s="6" t="str">
        <f t="shared" si="18"/>
        <v>a_f_m_salton_01</v>
      </c>
      <c r="C556" s="6" t="s">
        <v>888</v>
      </c>
      <c r="D556" s="7" t="str">
        <f>PROPER(C556)</f>
        <v>Salton</v>
      </c>
      <c r="E556" s="4" t="s">
        <v>1212</v>
      </c>
      <c r="F556" s="9" t="str">
        <f>IF(regexMatch(A556,"[A-Za-z]*_y_.*")," Young",(IF(regexMatch(A556,"[A-Za-z]*_o_.*")," Old", "")))</f>
        <v/>
      </c>
      <c r="G556" s="16" t="str">
        <f>IF(regexMatch(A556,"[A-Za-z]*_f_.*")," Female", (IF(regexMatch(A556,"[A-Za-z]*_m_.*"), " Male", "")))</f>
        <v xml:space="preserve"> Female</v>
      </c>
      <c r="H556" s="16" t="str">
        <f>IF(regexMatch(A556,".*_([0-9]+$)"), CONCATENATE(" ",VALUE(TRIM(CLEAN(RegexFindGroup(A556,".*_([0-9]*)"))))), "")</f>
        <v xml:space="preserve"> 1</v>
      </c>
      <c r="I556" s="16" t="str">
        <f>IF(regexMatch(A556,"cs_.*")," (CS)", (IF(regexMatch(A556,"ig_.*"), " (IG)", "")))</f>
        <v/>
      </c>
      <c r="J556" s="10" t="str">
        <f t="shared" si="17"/>
        <v>Salton Female</v>
      </c>
    </row>
    <row r="557" spans="1:10" x14ac:dyDescent="0.25">
      <c r="A557" s="6" t="s">
        <v>890</v>
      </c>
      <c r="B557" s="6" t="str">
        <f t="shared" si="18"/>
        <v>a_m_m_salton_01</v>
      </c>
      <c r="C557" s="6" t="s">
        <v>888</v>
      </c>
      <c r="D557" s="7" t="str">
        <f>PROPER(C557)</f>
        <v>Salton</v>
      </c>
      <c r="E557" s="4" t="s">
        <v>1212</v>
      </c>
      <c r="F557" s="9" t="str">
        <f>IF(regexMatch(A557,"[A-Za-z]*_y_.*")," Young",(IF(regexMatch(A557,"[A-Za-z]*_o_.*")," Old", "")))</f>
        <v/>
      </c>
      <c r="G557" s="16" t="str">
        <f>IF(regexMatch(A557,"[A-Za-z]*_f_.*")," Female", (IF(regexMatch(A557,"[A-Za-z]*_m_.*"), " Male", "")))</f>
        <v xml:space="preserve"> Male</v>
      </c>
      <c r="H557" s="16" t="str">
        <f>IF(regexMatch(A557,".*_([0-9]+$)"), CONCATENATE(" ",VALUE(TRIM(CLEAN(RegexFindGroup(A557,".*_([0-9]*)"))))), "")</f>
        <v xml:space="preserve"> 1</v>
      </c>
      <c r="I557" s="16" t="str">
        <f>IF(regexMatch(A557,"cs_.*")," (CS)", (IF(regexMatch(A557,"ig_.*"), " (IG)", "")))</f>
        <v/>
      </c>
      <c r="J557" s="10" t="str">
        <f t="shared" si="17"/>
        <v>Salton Male</v>
      </c>
    </row>
    <row r="558" spans="1:10" x14ac:dyDescent="0.25">
      <c r="A558" s="6" t="s">
        <v>891</v>
      </c>
      <c r="B558" s="6" t="str">
        <f t="shared" si="18"/>
        <v>a_m_m_salton_02</v>
      </c>
      <c r="C558" s="6" t="s">
        <v>888</v>
      </c>
      <c r="D558" s="7" t="str">
        <f>PROPER(C558)</f>
        <v>Salton</v>
      </c>
      <c r="E558" s="4" t="s">
        <v>1212</v>
      </c>
      <c r="F558" s="9" t="str">
        <f>IF(regexMatch(A558,"[A-Za-z]*_y_.*")," Young",(IF(regexMatch(A558,"[A-Za-z]*_o_.*")," Old", "")))</f>
        <v/>
      </c>
      <c r="G558" s="16" t="str">
        <f>IF(regexMatch(A558,"[A-Za-z]*_f_.*")," Female", (IF(regexMatch(A558,"[A-Za-z]*_m_.*"), " Male", "")))</f>
        <v xml:space="preserve"> Male</v>
      </c>
      <c r="H558" s="16" t="str">
        <f>IF(regexMatch(A558,".*_([0-9]+$)"), CONCATENATE(" ",VALUE(TRIM(CLEAN(RegexFindGroup(A558,".*_([0-9]*)"))))), "")</f>
        <v xml:space="preserve"> 2</v>
      </c>
      <c r="I558" s="16" t="str">
        <f>IF(regexMatch(A558,"cs_.*")," (CS)", (IF(regexMatch(A558,"ig_.*"), " (IG)", "")))</f>
        <v/>
      </c>
      <c r="J558" s="10" t="str">
        <f t="shared" si="17"/>
        <v>Salton Male 2</v>
      </c>
    </row>
    <row r="559" spans="1:10" x14ac:dyDescent="0.25">
      <c r="A559" s="6" t="s">
        <v>892</v>
      </c>
      <c r="B559" s="6" t="str">
        <f t="shared" si="18"/>
        <v>a_m_m_salton_03</v>
      </c>
      <c r="C559" s="6" t="s">
        <v>888</v>
      </c>
      <c r="D559" s="7" t="str">
        <f>PROPER(C559)</f>
        <v>Salton</v>
      </c>
      <c r="E559" s="4" t="s">
        <v>1212</v>
      </c>
      <c r="F559" s="9" t="str">
        <f>IF(regexMatch(A559,"[A-Za-z]*_y_.*")," Young",(IF(regexMatch(A559,"[A-Za-z]*_o_.*")," Old", "")))</f>
        <v/>
      </c>
      <c r="G559" s="16" t="str">
        <f>IF(regexMatch(A559,"[A-Za-z]*_f_.*")," Female", (IF(regexMatch(A559,"[A-Za-z]*_m_.*"), " Male", "")))</f>
        <v xml:space="preserve"> Male</v>
      </c>
      <c r="H559" s="16" t="str">
        <f>IF(regexMatch(A559,".*_([0-9]+$)"), CONCATENATE(" ",VALUE(TRIM(CLEAN(RegexFindGroup(A559,".*_([0-9]*)"))))), "")</f>
        <v xml:space="preserve"> 3</v>
      </c>
      <c r="I559" s="16" t="str">
        <f>IF(regexMatch(A559,"cs_.*")," (CS)", (IF(regexMatch(A559,"ig_.*"), " (IG)", "")))</f>
        <v/>
      </c>
      <c r="J559" s="10" t="str">
        <f t="shared" si="17"/>
        <v>Salton Male 3</v>
      </c>
    </row>
    <row r="560" spans="1:10" x14ac:dyDescent="0.25">
      <c r="A560" s="6" t="s">
        <v>893</v>
      </c>
      <c r="B560" s="6" t="str">
        <f t="shared" si="18"/>
        <v>a_m_m_salton_04</v>
      </c>
      <c r="C560" s="6" t="s">
        <v>888</v>
      </c>
      <c r="D560" s="7" t="str">
        <f>PROPER(C560)</f>
        <v>Salton</v>
      </c>
      <c r="E560" s="4" t="s">
        <v>1212</v>
      </c>
      <c r="F560" s="9" t="str">
        <f>IF(regexMatch(A560,"[A-Za-z]*_y_.*")," Young",(IF(regexMatch(A560,"[A-Za-z]*_o_.*")," Old", "")))</f>
        <v/>
      </c>
      <c r="G560" s="16" t="str">
        <f>IF(regexMatch(A560,"[A-Za-z]*_f_.*")," Female", (IF(regexMatch(A560,"[A-Za-z]*_m_.*"), " Male", "")))</f>
        <v xml:space="preserve"> Male</v>
      </c>
      <c r="H560" s="16" t="str">
        <f>IF(regexMatch(A560,".*_([0-9]+$)"), CONCATENATE(" ",VALUE(TRIM(CLEAN(RegexFindGroup(A560,".*_([0-9]*)"))))), "")</f>
        <v xml:space="preserve"> 4</v>
      </c>
      <c r="I560" s="16" t="str">
        <f>IF(regexMatch(A560,"cs_.*")," (CS)", (IF(regexMatch(A560,"ig_.*"), " (IG)", "")))</f>
        <v/>
      </c>
      <c r="J560" s="10" t="str">
        <f t="shared" si="17"/>
        <v>Salton Male 4</v>
      </c>
    </row>
    <row r="561" spans="1:10" x14ac:dyDescent="0.25">
      <c r="A561" s="6" t="s">
        <v>889</v>
      </c>
      <c r="B561" s="6" t="str">
        <f t="shared" si="18"/>
        <v>a_f_o_salton_01</v>
      </c>
      <c r="C561" s="6" t="s">
        <v>888</v>
      </c>
      <c r="D561" s="7" t="str">
        <f>PROPER(C561)</f>
        <v>Salton</v>
      </c>
      <c r="E561" s="4" t="s">
        <v>1212</v>
      </c>
      <c r="F561" s="9" t="str">
        <f>IF(regexMatch(A561,"[A-Za-z]*_y_.*")," Young",(IF(regexMatch(A561,"[A-Za-z]*_o_.*")," Old", "")))</f>
        <v xml:space="preserve"> Old</v>
      </c>
      <c r="G561" s="16" t="str">
        <f>IF(regexMatch(A561,"[A-Za-z]*_f_.*")," Female", (IF(regexMatch(A561,"[A-Za-z]*_m_.*"), " Male", "")))</f>
        <v xml:space="preserve"> Female</v>
      </c>
      <c r="H561" s="16" t="str">
        <f>IF(regexMatch(A561,".*_([0-9]+$)"), CONCATENATE(" ",VALUE(TRIM(CLEAN(RegexFindGroup(A561,".*_([0-9]*)"))))), "")</f>
        <v xml:space="preserve"> 1</v>
      </c>
      <c r="I561" s="16" t="str">
        <f>IF(regexMatch(A561,"cs_.*")," (CS)", (IF(regexMatch(A561,"ig_.*"), " (IG)", "")))</f>
        <v/>
      </c>
      <c r="J561" s="10" t="str">
        <f t="shared" si="17"/>
        <v>Salton Old Female</v>
      </c>
    </row>
    <row r="562" spans="1:10" x14ac:dyDescent="0.25">
      <c r="A562" s="6" t="s">
        <v>894</v>
      </c>
      <c r="B562" s="6" t="str">
        <f t="shared" si="18"/>
        <v>a_m_o_salton_01</v>
      </c>
      <c r="C562" s="6" t="s">
        <v>888</v>
      </c>
      <c r="D562" s="7" t="str">
        <f>PROPER(C562)</f>
        <v>Salton</v>
      </c>
      <c r="E562" s="4" t="s">
        <v>1212</v>
      </c>
      <c r="F562" s="9" t="str">
        <f>IF(regexMatch(A562,"[A-Za-z]*_y_.*")," Young",(IF(regexMatch(A562,"[A-Za-z]*_o_.*")," Old", "")))</f>
        <v xml:space="preserve"> Old</v>
      </c>
      <c r="G562" s="16" t="str">
        <f>IF(regexMatch(A562,"[A-Za-z]*_f_.*")," Female", (IF(regexMatch(A562,"[A-Za-z]*_m_.*"), " Male", "")))</f>
        <v xml:space="preserve"> Male</v>
      </c>
      <c r="H562" s="16" t="str">
        <f>IF(regexMatch(A562,".*_([0-9]+$)"), CONCATENATE(" ",VALUE(TRIM(CLEAN(RegexFindGroup(A562,".*_([0-9]*)"))))), "")</f>
        <v xml:space="preserve"> 1</v>
      </c>
      <c r="I562" s="16" t="str">
        <f>IF(regexMatch(A562,"cs_.*")," (CS)", (IF(regexMatch(A562,"ig_.*"), " (IG)", "")))</f>
        <v/>
      </c>
      <c r="J562" s="10" t="str">
        <f t="shared" si="17"/>
        <v>Salton Old Male</v>
      </c>
    </row>
    <row r="563" spans="1:10" x14ac:dyDescent="0.25">
      <c r="A563" s="6" t="s">
        <v>895</v>
      </c>
      <c r="B563" s="6" t="str">
        <f t="shared" si="18"/>
        <v>a_m_y_salton_01</v>
      </c>
      <c r="C563" s="6" t="s">
        <v>888</v>
      </c>
      <c r="D563" s="7" t="str">
        <f>PROPER(C563)</f>
        <v>Salton</v>
      </c>
      <c r="E563" s="4" t="s">
        <v>1212</v>
      </c>
      <c r="F563" s="9" t="str">
        <f>IF(regexMatch(A563,"[A-Za-z]*_y_.*")," Young",(IF(regexMatch(A563,"[A-Za-z]*_o_.*")," Old", "")))</f>
        <v xml:space="preserve"> Young</v>
      </c>
      <c r="G563" s="16" t="str">
        <f>IF(regexMatch(A563,"[A-Za-z]*_f_.*")," Female", (IF(regexMatch(A563,"[A-Za-z]*_m_.*"), " Male", "")))</f>
        <v xml:space="preserve"> Male</v>
      </c>
      <c r="H563" s="16" t="str">
        <f>IF(regexMatch(A563,".*_([0-9]+$)"), CONCATENATE(" ",VALUE(TRIM(CLEAN(RegexFindGroup(A563,".*_([0-9]*)"))))), "")</f>
        <v xml:space="preserve"> 1</v>
      </c>
      <c r="I563" s="16" t="str">
        <f>IF(regexMatch(A563,"cs_.*")," (CS)", (IF(regexMatch(A563,"ig_.*"), " (IG)", "")))</f>
        <v/>
      </c>
      <c r="J563" s="10" t="str">
        <f t="shared" si="17"/>
        <v>Salton Young Male</v>
      </c>
    </row>
    <row r="564" spans="1:10" x14ac:dyDescent="0.25">
      <c r="A564" s="6" t="s">
        <v>896</v>
      </c>
      <c r="B564" s="6" t="str">
        <f t="shared" si="18"/>
        <v>g_m_y_salvaboss_01</v>
      </c>
      <c r="C564" s="6" t="s">
        <v>897</v>
      </c>
      <c r="D564" s="7" t="str">
        <f>PROPER(C564)</f>
        <v>Salvaboss</v>
      </c>
      <c r="E564" s="4" t="s">
        <v>1387</v>
      </c>
      <c r="F564" s="9"/>
      <c r="G564" s="16"/>
      <c r="H564" s="16" t="str">
        <f>IF(regexMatch(A564,".*_([0-9]+$)"), CONCATENATE(" ",VALUE(TRIM(CLEAN(RegexFindGroup(A564,".*_([0-9]*)"))))), "")</f>
        <v xml:space="preserve"> 1</v>
      </c>
      <c r="I564" s="16" t="str">
        <f>IF(regexMatch(A564,"cs_.*")," (CS)", (IF(regexMatch(A564,"ig_.*"), " (IG)", "")))</f>
        <v/>
      </c>
      <c r="J564" s="10" t="str">
        <f t="shared" si="17"/>
        <v>Salvadoran Boss</v>
      </c>
    </row>
    <row r="565" spans="1:10" x14ac:dyDescent="0.25">
      <c r="A565" s="6" t="s">
        <v>898</v>
      </c>
      <c r="B565" s="6" t="str">
        <f t="shared" si="18"/>
        <v>g_m_y_salvagoon_01</v>
      </c>
      <c r="C565" s="6" t="s">
        <v>899</v>
      </c>
      <c r="D565" s="7" t="str">
        <f>PROPER(C565)</f>
        <v>Salvagoon</v>
      </c>
      <c r="E565" s="4" t="s">
        <v>1388</v>
      </c>
      <c r="F565" s="9"/>
      <c r="G565" s="16"/>
      <c r="H565" s="16" t="str">
        <f>IF(regexMatch(A565,".*_([0-9]+$)"), CONCATENATE(" ",VALUE(TRIM(CLEAN(RegexFindGroup(A565,".*_([0-9]*)"))))), "")</f>
        <v xml:space="preserve"> 1</v>
      </c>
      <c r="I565" s="16" t="str">
        <f>IF(regexMatch(A565,"cs_.*")," (CS)", (IF(regexMatch(A565,"ig_.*"), " (IG)", "")))</f>
        <v/>
      </c>
      <c r="J565" s="10" t="str">
        <f t="shared" si="17"/>
        <v>Salvadoran Goon</v>
      </c>
    </row>
    <row r="566" spans="1:10" x14ac:dyDescent="0.25">
      <c r="A566" s="6" t="s">
        <v>900</v>
      </c>
      <c r="B566" s="6" t="str">
        <f t="shared" si="18"/>
        <v>g_m_y_salvagoon_02</v>
      </c>
      <c r="C566" s="6" t="s">
        <v>899</v>
      </c>
      <c r="D566" s="7" t="str">
        <f>PROPER(C566)</f>
        <v>Salvagoon</v>
      </c>
      <c r="E566" s="4" t="s">
        <v>1388</v>
      </c>
      <c r="F566" s="9"/>
      <c r="G566" s="16"/>
      <c r="H566" s="16" t="str">
        <f>IF(regexMatch(A566,".*_([0-9]+$)"), CONCATENATE(" ",VALUE(TRIM(CLEAN(RegexFindGroup(A566,".*_([0-9]*)"))))), "")</f>
        <v xml:space="preserve"> 2</v>
      </c>
      <c r="I566" s="16" t="str">
        <f>IF(regexMatch(A566,"cs_.*")," (CS)", (IF(regexMatch(A566,"ig_.*"), " (IG)", "")))</f>
        <v/>
      </c>
      <c r="J566" s="10" t="str">
        <f t="shared" si="17"/>
        <v>Salvadoran Goon 2</v>
      </c>
    </row>
    <row r="567" spans="1:10" x14ac:dyDescent="0.25">
      <c r="A567" s="6" t="s">
        <v>901</v>
      </c>
      <c r="B567" s="6" t="str">
        <f t="shared" si="18"/>
        <v>g_m_y_salvagoon_03</v>
      </c>
      <c r="C567" s="6" t="s">
        <v>899</v>
      </c>
      <c r="D567" s="7" t="str">
        <f>PROPER(C567)</f>
        <v>Salvagoon</v>
      </c>
      <c r="E567" s="4" t="s">
        <v>1388</v>
      </c>
      <c r="F567" s="9"/>
      <c r="G567" s="16"/>
      <c r="H567" s="16" t="str">
        <f>IF(regexMatch(A567,".*_([0-9]+$)"), CONCATENATE(" ",VALUE(TRIM(CLEAN(RegexFindGroup(A567,".*_([0-9]*)"))))), "")</f>
        <v xml:space="preserve"> 3</v>
      </c>
      <c r="I567" s="16" t="str">
        <f>IF(regexMatch(A567,"cs_.*")," (CS)", (IF(regexMatch(A567,"ig_.*"), " (IG)", "")))</f>
        <v/>
      </c>
      <c r="J567" s="10" t="str">
        <f t="shared" si="17"/>
        <v>Salvadoran Goon 3</v>
      </c>
    </row>
    <row r="568" spans="1:10" x14ac:dyDescent="0.25">
      <c r="A568" s="6" t="s">
        <v>906</v>
      </c>
      <c r="B568" s="6" t="str">
        <f t="shared" si="18"/>
        <v>s_m_m_scientist_01</v>
      </c>
      <c r="C568" s="6" t="s">
        <v>907</v>
      </c>
      <c r="D568" s="7" t="str">
        <f>PROPER(C568)</f>
        <v>Scientist</v>
      </c>
      <c r="E568" s="4" t="s">
        <v>1213</v>
      </c>
      <c r="F568" s="9" t="str">
        <f>IF(regexMatch(A568,"[A-Za-z]*_y_.*")," Young",(IF(regexMatch(A568,"[A-Za-z]*_o_.*")," Old", "")))</f>
        <v/>
      </c>
      <c r="G568" s="16"/>
      <c r="H568" s="16" t="str">
        <f>IF(regexMatch(A568,".*_([0-9]+$)"), CONCATENATE(" ",VALUE(TRIM(CLEAN(RegexFindGroup(A568,".*_([0-9]*)"))))), "")</f>
        <v xml:space="preserve"> 1</v>
      </c>
      <c r="I568" s="16" t="str">
        <f>IF(regexMatch(A568,"cs_.*")," (CS)", (IF(regexMatch(A568,"ig_.*"), " (IG)", "")))</f>
        <v/>
      </c>
      <c r="J568" s="10" t="str">
        <f t="shared" si="17"/>
        <v>Scientist</v>
      </c>
    </row>
    <row r="569" spans="1:10" x14ac:dyDescent="0.25">
      <c r="A569" s="6" t="s">
        <v>908</v>
      </c>
      <c r="B569" s="6" t="str">
        <f t="shared" si="18"/>
        <v>csb_screen_writer</v>
      </c>
      <c r="C569" s="6" t="s">
        <v>909</v>
      </c>
      <c r="D569" s="7" t="str">
        <f>PROPER(C569)</f>
        <v>Screen_Writer</v>
      </c>
      <c r="E569" s="4" t="s">
        <v>1275</v>
      </c>
      <c r="F569" s="9" t="str">
        <f>IF(regexMatch(A569,"[A-Za-z]*_y_.*")," Young",(IF(regexMatch(A569,"[A-Za-z]*_o_.*")," Old", "")))</f>
        <v/>
      </c>
      <c r="G569" s="16" t="str">
        <f>IF(regexMatch(A569,"[A-Za-z]*_f_.*")," Female", (IF(regexMatch(A569,"[A-Za-z]*_m_.*"), " Male", "")))</f>
        <v/>
      </c>
      <c r="H569" s="16" t="str">
        <f>IF(regexMatch(A569,".*_([0-9]+$)"), CONCATENATE(" ",VALUE(TRIM(CLEAN(RegexFindGroup(A569,".*_([0-9]*)"))))), "")</f>
        <v/>
      </c>
      <c r="I569" s="16" t="str">
        <f>IF(regexMatch(A569,"cs_.*")," (CS)", (IF(regexMatch(A569,"ig_.*"), " (IG)", "")))</f>
        <v/>
      </c>
      <c r="J569" s="10" t="str">
        <f t="shared" si="17"/>
        <v>Screenwriter</v>
      </c>
    </row>
    <row r="570" spans="1:10" x14ac:dyDescent="0.25">
      <c r="A570" s="6" t="s">
        <v>910</v>
      </c>
      <c r="B570" s="6" t="str">
        <f t="shared" si="18"/>
        <v>ig_screen_writer</v>
      </c>
      <c r="C570" s="6" t="s">
        <v>909</v>
      </c>
      <c r="D570" s="7" t="str">
        <f>PROPER(C570)</f>
        <v>Screen_Writer</v>
      </c>
      <c r="E570" s="4" t="s">
        <v>1275</v>
      </c>
      <c r="F570" s="9" t="str">
        <f>IF(regexMatch(A570,"[A-Za-z]*_y_.*")," Young",(IF(regexMatch(A570,"[A-Za-z]*_o_.*")," Old", "")))</f>
        <v/>
      </c>
      <c r="G570" s="16" t="str">
        <f>IF(regexMatch(A570,"[A-Za-z]*_f_.*")," Female", (IF(regexMatch(A570,"[A-Za-z]*_m_.*"), " Male", "")))</f>
        <v/>
      </c>
      <c r="H570" s="16" t="str">
        <f>IF(regexMatch(A570,".*_([0-9]+$)"), CONCATENATE(" ",VALUE(TRIM(CLEAN(RegexFindGroup(A570,".*_([0-9]*)"))))), "")</f>
        <v/>
      </c>
      <c r="I570" s="16" t="str">
        <f>IF(regexMatch(A570,"cs_.*")," (CS)", (IF(regexMatch(A570,"ig_.*"), " (IG)", "")))</f>
        <v xml:space="preserve"> (IG)</v>
      </c>
      <c r="J570" s="10" t="str">
        <f t="shared" si="17"/>
        <v>Screenwriter (IG)</v>
      </c>
    </row>
    <row r="571" spans="1:10" x14ac:dyDescent="0.25">
      <c r="A571" s="6" t="s">
        <v>913</v>
      </c>
      <c r="B571" s="6" t="str">
        <f t="shared" si="18"/>
        <v>s_m_m_security_01</v>
      </c>
      <c r="C571" s="6" t="s">
        <v>914</v>
      </c>
      <c r="D571" s="7" t="str">
        <f>PROPER(C571)</f>
        <v>Security</v>
      </c>
      <c r="E571" s="4" t="s">
        <v>1436</v>
      </c>
      <c r="F571" s="9" t="str">
        <f>IF(regexMatch(A571,"[A-Za-z]*_y_.*")," Young",(IF(regexMatch(A571,"[A-Za-z]*_o_.*")," Old", "")))</f>
        <v/>
      </c>
      <c r="G571" s="16"/>
      <c r="H571" s="16" t="str">
        <f>IF(regexMatch(A571,".*_([0-9]+$)"), CONCATENATE(" ",VALUE(TRIM(CLEAN(RegexFindGroup(A571,".*_([0-9]*)"))))), "")</f>
        <v xml:space="preserve"> 1</v>
      </c>
      <c r="I571" s="16" t="str">
        <f>IF(regexMatch(A571,"cs_.*")," (CS)", (IF(regexMatch(A571,"ig_.*"), " (IG)", "")))</f>
        <v/>
      </c>
      <c r="J571" s="10" t="str">
        <f t="shared" si="17"/>
        <v>Security Guard</v>
      </c>
    </row>
    <row r="572" spans="1:10" x14ac:dyDescent="0.25">
      <c r="A572" s="6" t="s">
        <v>915</v>
      </c>
      <c r="B572" s="6" t="str">
        <f t="shared" si="18"/>
        <v>s_f_y_sheriff_01</v>
      </c>
      <c r="C572" s="6" t="s">
        <v>916</v>
      </c>
      <c r="D572" s="7" t="str">
        <f>PROPER(C572)</f>
        <v>Sheriff</v>
      </c>
      <c r="E572" s="4" t="s">
        <v>1214</v>
      </c>
      <c r="F572" s="9"/>
      <c r="G572" s="16" t="str">
        <f>IF(regexMatch(A572,"[A-Za-z]*_f_.*")," Female", (IF(regexMatch(A572,"[A-Za-z]*_m_.*"), " Male", "")))</f>
        <v xml:space="preserve"> Female</v>
      </c>
      <c r="H572" s="16" t="str">
        <f>IF(regexMatch(A572,".*_([0-9]+$)"), CONCATENATE(" ",VALUE(TRIM(CLEAN(RegexFindGroup(A572,".*_([0-9]*)"))))), "")</f>
        <v xml:space="preserve"> 1</v>
      </c>
      <c r="I572" s="16" t="str">
        <f>IF(regexMatch(A572,"cs_.*")," (CS)", (IF(regexMatch(A572,"ig_.*"), " (IG)", "")))</f>
        <v/>
      </c>
      <c r="J572" s="10" t="str">
        <f t="shared" si="17"/>
        <v>Sheriff Female</v>
      </c>
    </row>
    <row r="573" spans="1:10" x14ac:dyDescent="0.25">
      <c r="A573" s="6" t="s">
        <v>917</v>
      </c>
      <c r="B573" s="6" t="str">
        <f t="shared" si="18"/>
        <v>s_m_y_sheriff_01</v>
      </c>
      <c r="C573" s="6" t="s">
        <v>916</v>
      </c>
      <c r="D573" s="7" t="str">
        <f>PROPER(C573)</f>
        <v>Sheriff</v>
      </c>
      <c r="E573" s="4" t="s">
        <v>1214</v>
      </c>
      <c r="F573" s="9"/>
      <c r="G573" s="16" t="str">
        <f>IF(regexMatch(A573,"[A-Za-z]*_f_.*")," Female", (IF(regexMatch(A573,"[A-Za-z]*_m_.*"), " Male", "")))</f>
        <v xml:space="preserve"> Male</v>
      </c>
      <c r="H573" s="16" t="str">
        <f>IF(regexMatch(A573,".*_([0-9]+$)"), CONCATENATE(" ",VALUE(TRIM(CLEAN(RegexFindGroup(A573,".*_([0-9]*)"))))), "")</f>
        <v xml:space="preserve"> 1</v>
      </c>
      <c r="I573" s="16" t="str">
        <f>IF(regexMatch(A573,"cs_.*")," (CS)", (IF(regexMatch(A573,"ig_.*"), " (IG)", "")))</f>
        <v/>
      </c>
      <c r="J573" s="10" t="str">
        <f t="shared" si="17"/>
        <v>Sheriff Male</v>
      </c>
    </row>
    <row r="574" spans="1:10" x14ac:dyDescent="0.25">
      <c r="A574" s="6" t="s">
        <v>926</v>
      </c>
      <c r="B574" s="6" t="str">
        <f t="shared" si="18"/>
        <v>mp_m_shopkeep_01</v>
      </c>
      <c r="C574" s="6" t="s">
        <v>927</v>
      </c>
      <c r="D574" s="7" t="str">
        <f>PROPER(C574)</f>
        <v>Shopkeep</v>
      </c>
      <c r="E574" s="4" t="s">
        <v>1316</v>
      </c>
      <c r="F574" s="9" t="str">
        <f>IF(regexMatch(A574,"[A-Za-z]*_y_.*")," Young",(IF(regexMatch(A574,"[A-Za-z]*_o_.*")," Old", "")))</f>
        <v/>
      </c>
      <c r="G574" s="16"/>
      <c r="H574" s="16" t="str">
        <f>IF(regexMatch(A574,".*_([0-9]+$)"), CONCATENATE(" ",VALUE(TRIM(CLEAN(RegexFindGroup(A574,".*_([0-9]*)"))))), "")</f>
        <v xml:space="preserve"> 1</v>
      </c>
      <c r="I574" s="16" t="str">
        <f>IF(regexMatch(A574,"cs_.*")," (CS)", (IF(regexMatch(A574,"ig_.*"), " (IG)", "")))</f>
        <v/>
      </c>
      <c r="J574" s="10" t="str">
        <f t="shared" si="17"/>
        <v>Shopkeeper</v>
      </c>
    </row>
    <row r="575" spans="1:10" x14ac:dyDescent="0.25">
      <c r="A575" s="6" t="s">
        <v>928</v>
      </c>
      <c r="B575" s="6" t="str">
        <f t="shared" si="18"/>
        <v>cs_siemonyetarian</v>
      </c>
      <c r="C575" s="6" t="s">
        <v>929</v>
      </c>
      <c r="D575" s="7" t="str">
        <f>PROPER(C575)</f>
        <v>Siemonyetarian</v>
      </c>
      <c r="E575" s="4" t="s">
        <v>1371</v>
      </c>
      <c r="F575" s="9" t="str">
        <f>IF(regexMatch(A575,"[A-Za-z]*_y_.*")," Young",(IF(regexMatch(A575,"[A-Za-z]*_o_.*")," Old", "")))</f>
        <v/>
      </c>
      <c r="G575" s="16" t="str">
        <f>IF(regexMatch(A575,"[A-Za-z]*_f_.*")," Female", (IF(regexMatch(A575,"[A-Za-z]*_m_.*"), " Male", "")))</f>
        <v/>
      </c>
      <c r="H575" s="16" t="str">
        <f>IF(regexMatch(A575,".*_([0-9]+$)"), CONCATENATE(" ",VALUE(TRIM(CLEAN(RegexFindGroup(A575,".*_([0-9]*)"))))), "")</f>
        <v/>
      </c>
      <c r="I575" s="16" t="str">
        <f>IF(regexMatch(A575,"cs_.*")," (CS)", (IF(regexMatch(A575,"ig_.*"), " (IG)", "")))</f>
        <v xml:space="preserve"> (CS)</v>
      </c>
      <c r="J575" s="10" t="str">
        <f t="shared" si="17"/>
        <v>Simeon Yetarian (CS)</v>
      </c>
    </row>
    <row r="576" spans="1:10" x14ac:dyDescent="0.25">
      <c r="A576" s="6" t="s">
        <v>930</v>
      </c>
      <c r="B576" s="6" t="str">
        <f t="shared" si="18"/>
        <v>ig_siemonyetarian</v>
      </c>
      <c r="C576" s="6" t="s">
        <v>929</v>
      </c>
      <c r="D576" s="7" t="str">
        <f>PROPER(C576)</f>
        <v>Siemonyetarian</v>
      </c>
      <c r="E576" s="4" t="s">
        <v>1371</v>
      </c>
      <c r="F576" s="9" t="str">
        <f>IF(regexMatch(A576,"[A-Za-z]*_y_.*")," Young",(IF(regexMatch(A576,"[A-Za-z]*_o_.*")," Old", "")))</f>
        <v/>
      </c>
      <c r="G576" s="16" t="str">
        <f>IF(regexMatch(A576,"[A-Za-z]*_f_.*")," Female", (IF(regexMatch(A576,"[A-Za-z]*_m_.*"), " Male", "")))</f>
        <v/>
      </c>
      <c r="H576" s="16" t="str">
        <f>IF(regexMatch(A576,".*_([0-9]+$)"), CONCATENATE(" ",VALUE(TRIM(CLEAN(RegexFindGroup(A576,".*_([0-9]*)"))))), "")</f>
        <v/>
      </c>
      <c r="I576" s="16" t="str">
        <f>IF(regexMatch(A576,"cs_.*")," (CS)", (IF(regexMatch(A576,"ig_.*"), " (IG)", "")))</f>
        <v xml:space="preserve"> (IG)</v>
      </c>
      <c r="J576" s="10" t="str">
        <f t="shared" si="17"/>
        <v>Simeon Yetarian (IG)</v>
      </c>
    </row>
    <row r="577" spans="1:10" x14ac:dyDescent="0.25">
      <c r="A577" s="6" t="s">
        <v>931</v>
      </c>
      <c r="B577" s="6" t="str">
        <f t="shared" si="18"/>
        <v>a_f_y_skater_01</v>
      </c>
      <c r="C577" s="6" t="s">
        <v>932</v>
      </c>
      <c r="D577" s="7" t="str">
        <f>PROPER(C577)</f>
        <v>Skater</v>
      </c>
      <c r="E577" s="4" t="s">
        <v>1215</v>
      </c>
      <c r="F577" s="9"/>
      <c r="G577" s="16" t="str">
        <f>IF(regexMatch(A577,"[A-Za-z]*_f_.*")," Female", (IF(regexMatch(A577,"[A-Za-z]*_m_.*"), " Male", "")))</f>
        <v xml:space="preserve"> Female</v>
      </c>
      <c r="H577" s="16" t="str">
        <f>IF(regexMatch(A577,".*_([0-9]+$)"), CONCATENATE(" ",VALUE(TRIM(CLEAN(RegexFindGroup(A577,".*_([0-9]*)"))))), "")</f>
        <v xml:space="preserve"> 1</v>
      </c>
      <c r="I577" s="16" t="str">
        <f>IF(regexMatch(A577,"cs_.*")," (CS)", (IF(regexMatch(A577,"ig_.*"), " (IG)", "")))</f>
        <v/>
      </c>
      <c r="J577" s="10" t="str">
        <f t="shared" si="17"/>
        <v>Skater Female</v>
      </c>
    </row>
    <row r="578" spans="1:10" x14ac:dyDescent="0.25">
      <c r="A578" s="6" t="s">
        <v>101</v>
      </c>
      <c r="B578" s="6" t="str">
        <f t="shared" si="18"/>
        <v xml:space="preserve">	a_m_m_skater_01</v>
      </c>
      <c r="C578" s="6" t="s">
        <v>100</v>
      </c>
      <c r="D578" s="7" t="str">
        <f>PROPER(C578)</f>
        <v xml:space="preserve">	Skater</v>
      </c>
      <c r="E578" s="4" t="s">
        <v>1215</v>
      </c>
      <c r="F578" s="9" t="str">
        <f>IF(regexMatch(A578,"[A-Za-z]*_y_.*")," Young",(IF(regexMatch(A578,"[A-Za-z]*_o_.*")," Old", "")))</f>
        <v/>
      </c>
      <c r="G578" s="16" t="str">
        <f>IF(regexMatch(A578,"[A-Za-z]*_f_.*")," Female", (IF(regexMatch(A578,"[A-Za-z]*_m_.*"), " Male", "")))</f>
        <v xml:space="preserve"> Male</v>
      </c>
      <c r="H578" s="16" t="str">
        <f>IF(regexMatch(A578,".*_([0-9]+$)"), CONCATENATE(" ",VALUE(TRIM(CLEAN(RegexFindGroup(A578,".*_([0-9]*)"))))), "")</f>
        <v xml:space="preserve"> 1</v>
      </c>
      <c r="I578" s="16" t="str">
        <f>IF(regexMatch(A578,"cs_.*")," (CS)", (IF(regexMatch(A578,"ig_.*"), " (IG)", "")))</f>
        <v/>
      </c>
      <c r="J578" s="10" t="str">
        <f t="shared" si="17"/>
        <v>Skater Male</v>
      </c>
    </row>
    <row r="579" spans="1:10" x14ac:dyDescent="0.25">
      <c r="A579" s="6" t="s">
        <v>933</v>
      </c>
      <c r="B579" s="6" t="str">
        <f t="shared" si="18"/>
        <v>a_m_y_skater_01</v>
      </c>
      <c r="C579" s="6" t="s">
        <v>932</v>
      </c>
      <c r="D579" s="7" t="str">
        <f>PROPER(C579)</f>
        <v>Skater</v>
      </c>
      <c r="E579" s="4" t="s">
        <v>1215</v>
      </c>
      <c r="F579" s="9" t="str">
        <f>IF(regexMatch(A579,"[A-Za-z]*_y_.*")," Young",(IF(regexMatch(A579,"[A-Za-z]*_o_.*")," Old", "")))</f>
        <v xml:space="preserve"> Young</v>
      </c>
      <c r="G579" s="16" t="str">
        <f>IF(regexMatch(A579,"[A-Za-z]*_f_.*")," Female", (IF(regexMatch(A579,"[A-Za-z]*_m_.*"), " Male", "")))</f>
        <v xml:space="preserve"> Male</v>
      </c>
      <c r="H579" s="16" t="str">
        <f>IF(regexMatch(A579,".*_([0-9]+$)"), CONCATENATE(" ",VALUE(TRIM(CLEAN(RegexFindGroup(A579,".*_([0-9]*)"))))), "")</f>
        <v xml:space="preserve"> 1</v>
      </c>
      <c r="I579" s="16" t="str">
        <f>IF(regexMatch(A579,"cs_.*")," (CS)", (IF(regexMatch(A579,"ig_.*"), " (IG)", "")))</f>
        <v/>
      </c>
      <c r="J579" s="10" t="str">
        <f t="shared" ref="J579:J642" si="19">TRIM(CONCATENATE(E579,F579,G579,IF(H579=" 1","",H579),I579))</f>
        <v>Skater Young Male</v>
      </c>
    </row>
    <row r="580" spans="1:10" x14ac:dyDescent="0.25">
      <c r="A580" s="6" t="s">
        <v>934</v>
      </c>
      <c r="B580" s="6" t="str">
        <f t="shared" ref="B580:B643" si="20">TRIM(A580)</f>
        <v>a_m_y_skater_02</v>
      </c>
      <c r="C580" s="6" t="s">
        <v>932</v>
      </c>
      <c r="D580" s="7" t="str">
        <f>PROPER(C580)</f>
        <v>Skater</v>
      </c>
      <c r="E580" s="4" t="s">
        <v>1215</v>
      </c>
      <c r="F580" s="9" t="str">
        <f>IF(regexMatch(A580,"[A-Za-z]*_y_.*")," Young",(IF(regexMatch(A580,"[A-Za-z]*_o_.*")," Old", "")))</f>
        <v xml:space="preserve"> Young</v>
      </c>
      <c r="G580" s="16" t="str">
        <f>IF(regexMatch(A580,"[A-Za-z]*_f_.*")," Female", (IF(regexMatch(A580,"[A-Za-z]*_m_.*"), " Male", "")))</f>
        <v xml:space="preserve"> Male</v>
      </c>
      <c r="H580" s="16" t="str">
        <f>IF(regexMatch(A580,".*_([0-9]+$)"), CONCATENATE(" ",VALUE(TRIM(CLEAN(RegexFindGroup(A580,".*_([0-9]*)"))))), "")</f>
        <v xml:space="preserve"> 2</v>
      </c>
      <c r="I580" s="16" t="str">
        <f>IF(regexMatch(A580,"cs_.*")," (CS)", (IF(regexMatch(A580,"ig_.*"), " (IG)", "")))</f>
        <v/>
      </c>
      <c r="J580" s="10" t="str">
        <f t="shared" si="19"/>
        <v>Skater Young Male 2</v>
      </c>
    </row>
    <row r="581" spans="1:10" x14ac:dyDescent="0.25">
      <c r="A581" s="6" t="s">
        <v>935</v>
      </c>
      <c r="B581" s="6" t="str">
        <f t="shared" si="20"/>
        <v>a_f_m_skidrow_01</v>
      </c>
      <c r="C581" s="6" t="s">
        <v>936</v>
      </c>
      <c r="D581" s="7" t="str">
        <f>PROPER(C581)</f>
        <v>Skidrow</v>
      </c>
      <c r="E581" s="4" t="s">
        <v>1454</v>
      </c>
      <c r="F581" s="9" t="str">
        <f>IF(regexMatch(A581,"[A-Za-z]*_y_.*")," Young",(IF(regexMatch(A581,"[A-Za-z]*_o_.*")," Old", "")))</f>
        <v/>
      </c>
      <c r="G581" s="16" t="str">
        <f>IF(regexMatch(A581,"[A-Za-z]*_f_.*")," Female", (IF(regexMatch(A581,"[A-Za-z]*_m_.*"), " Male", "")))</f>
        <v xml:space="preserve"> Female</v>
      </c>
      <c r="H581" s="16" t="str">
        <f>IF(regexMatch(A581,".*_([0-9]+$)"), CONCATENATE(" ",VALUE(TRIM(CLEAN(RegexFindGroup(A581,".*_([0-9]*)"))))), "")</f>
        <v xml:space="preserve"> 1</v>
      </c>
      <c r="I581" s="16" t="str">
        <f>IF(regexMatch(A581,"cs_.*")," (CS)", (IF(regexMatch(A581,"ig_.*"), " (IG)", "")))</f>
        <v/>
      </c>
      <c r="J581" s="10" t="str">
        <f t="shared" si="19"/>
        <v>Skid Row Female</v>
      </c>
    </row>
    <row r="582" spans="1:10" x14ac:dyDescent="0.25">
      <c r="A582" s="6" t="s">
        <v>937</v>
      </c>
      <c r="B582" s="6" t="str">
        <f t="shared" si="20"/>
        <v>a_m_m_skidrow_01</v>
      </c>
      <c r="C582" s="6" t="s">
        <v>936</v>
      </c>
      <c r="D582" s="7" t="str">
        <f>PROPER(C582)</f>
        <v>Skidrow</v>
      </c>
      <c r="E582" s="4" t="s">
        <v>1454</v>
      </c>
      <c r="F582" s="9" t="str">
        <f>IF(regexMatch(A582,"[A-Za-z]*_y_.*")," Young",(IF(regexMatch(A582,"[A-Za-z]*_o_.*")," Old", "")))</f>
        <v/>
      </c>
      <c r="G582" s="16" t="str">
        <f>IF(regexMatch(A582,"[A-Za-z]*_f_.*")," Female", (IF(regexMatch(A582,"[A-Za-z]*_m_.*"), " Male", "")))</f>
        <v xml:space="preserve"> Male</v>
      </c>
      <c r="H582" s="16" t="str">
        <f>IF(regexMatch(A582,".*_([0-9]+$)"), CONCATENATE(" ",VALUE(TRIM(CLEAN(RegexFindGroup(A582,".*_([0-9]*)"))))), "")</f>
        <v xml:space="preserve"> 1</v>
      </c>
      <c r="I582" s="16" t="str">
        <f>IF(regexMatch(A582,"cs_.*")," (CS)", (IF(regexMatch(A582,"ig_.*"), " (IG)", "")))</f>
        <v/>
      </c>
      <c r="J582" s="10" t="str">
        <f t="shared" si="19"/>
        <v>Skid Row Male</v>
      </c>
    </row>
    <row r="583" spans="1:10" x14ac:dyDescent="0.25">
      <c r="A583" s="6" t="s">
        <v>938</v>
      </c>
      <c r="B583" s="6" t="str">
        <f t="shared" si="20"/>
        <v>s_m_m_snowcop_01</v>
      </c>
      <c r="C583" s="6" t="s">
        <v>939</v>
      </c>
      <c r="D583" s="7" t="str">
        <f>PROPER(C583)</f>
        <v>Snowcop</v>
      </c>
      <c r="E583" s="4" t="s">
        <v>1336</v>
      </c>
      <c r="F583" s="9" t="str">
        <f>IF(regexMatch(A583,"[A-Za-z]*_y_.*")," Young",(IF(regexMatch(A583,"[A-Za-z]*_o_.*")," Old", "")))</f>
        <v/>
      </c>
      <c r="G583" s="16" t="str">
        <f>IF(regexMatch(A583,"[A-Za-z]*_f_.*")," Female", (IF(regexMatch(A583,"[A-Za-z]*_m_.*"), " Male", "")))</f>
        <v xml:space="preserve"> Male</v>
      </c>
      <c r="H583" s="16" t="str">
        <f>IF(regexMatch(A583,".*_([0-9]+$)"), CONCATENATE(" ",VALUE(TRIM(CLEAN(RegexFindGroup(A583,".*_([0-9]*)"))))), "")</f>
        <v xml:space="preserve"> 1</v>
      </c>
      <c r="I583" s="16" t="str">
        <f>IF(regexMatch(A583,"cs_.*")," (CS)", (IF(regexMatch(A583,"ig_.*"), " (IG)", "")))</f>
        <v/>
      </c>
      <c r="J583" s="10" t="str">
        <f t="shared" si="19"/>
        <v>Snow Cop Male</v>
      </c>
    </row>
    <row r="584" spans="1:10" x14ac:dyDescent="0.25">
      <c r="A584" s="6" t="s">
        <v>942</v>
      </c>
      <c r="B584" s="6" t="str">
        <f t="shared" si="20"/>
        <v>cs_solomon</v>
      </c>
      <c r="C584" s="6" t="s">
        <v>943</v>
      </c>
      <c r="D584" s="7" t="str">
        <f>PROPER(C584)</f>
        <v>Solomon</v>
      </c>
      <c r="E584" s="4" t="s">
        <v>1338</v>
      </c>
      <c r="F584" s="9" t="str">
        <f>IF(regexMatch(A584,"[A-Za-z]*_y_.*")," Young",(IF(regexMatch(A584,"[A-Za-z]*_o_.*")," Old", "")))</f>
        <v/>
      </c>
      <c r="G584" s="16" t="str">
        <f>IF(regexMatch(A584,"[A-Za-z]*_f_.*")," Female", (IF(regexMatch(A584,"[A-Za-z]*_m_.*"), " Male", "")))</f>
        <v/>
      </c>
      <c r="H584" s="16" t="str">
        <f>IF(regexMatch(A584,".*_([0-9]+$)"), CONCATENATE(" ",VALUE(TRIM(CLEAN(RegexFindGroup(A584,".*_([0-9]*)"))))), "")</f>
        <v/>
      </c>
      <c r="I584" s="16" t="str">
        <f>IF(regexMatch(A584,"cs_.*")," (CS)", (IF(regexMatch(A584,"ig_.*"), " (IG)", "")))</f>
        <v xml:space="preserve"> (CS)</v>
      </c>
      <c r="J584" s="10" t="str">
        <f t="shared" si="19"/>
        <v>Solomon Richards (CS)</v>
      </c>
    </row>
    <row r="585" spans="1:10" x14ac:dyDescent="0.25">
      <c r="A585" s="6" t="s">
        <v>944</v>
      </c>
      <c r="B585" s="6" t="str">
        <f t="shared" si="20"/>
        <v>ig_solomon</v>
      </c>
      <c r="C585" s="6" t="s">
        <v>943</v>
      </c>
      <c r="D585" s="7" t="str">
        <f>PROPER(C585)</f>
        <v>Solomon</v>
      </c>
      <c r="E585" s="4" t="s">
        <v>1338</v>
      </c>
      <c r="F585" s="9" t="str">
        <f>IF(regexMatch(A585,"[A-Za-z]*_y_.*")," Young",(IF(regexMatch(A585,"[A-Za-z]*_o_.*")," Old", "")))</f>
        <v/>
      </c>
      <c r="G585" s="16" t="str">
        <f>IF(regexMatch(A585,"[A-Za-z]*_f_.*")," Female", (IF(regexMatch(A585,"[A-Za-z]*_m_.*"), " Male", "")))</f>
        <v/>
      </c>
      <c r="H585" s="16" t="str">
        <f>IF(regexMatch(A585,".*_([0-9]+$)"), CONCATENATE(" ",VALUE(TRIM(CLEAN(RegexFindGroup(A585,".*_([0-9]*)"))))), "")</f>
        <v/>
      </c>
      <c r="I585" s="16" t="str">
        <f>IF(regexMatch(A585,"cs_.*")," (CS)", (IF(regexMatch(A585,"ig_.*"), " (IG)", "")))</f>
        <v xml:space="preserve"> (IG)</v>
      </c>
      <c r="J585" s="10" t="str">
        <f t="shared" si="19"/>
        <v>Solomon Richards (IG)</v>
      </c>
    </row>
    <row r="586" spans="1:10" x14ac:dyDescent="0.25">
      <c r="A586" s="6" t="s">
        <v>945</v>
      </c>
      <c r="B586" s="6" t="str">
        <f t="shared" si="20"/>
        <v>a_f_m_soucent_01</v>
      </c>
      <c r="C586" s="6" t="s">
        <v>946</v>
      </c>
      <c r="D586" s="7" t="str">
        <f>PROPER(C586)</f>
        <v>Soucent</v>
      </c>
      <c r="E586" s="4" t="s">
        <v>1339</v>
      </c>
      <c r="F586" s="9" t="str">
        <f>IF(regexMatch(A586,"[A-Za-z]*_y_.*")," Young",(IF(regexMatch(A586,"[A-Za-z]*_o_.*")," Old", "")))</f>
        <v/>
      </c>
      <c r="G586" s="16" t="str">
        <f>IF(regexMatch(A586,"[A-Za-z]*_f_.*")," Female", (IF(regexMatch(A586,"[A-Za-z]*_m_.*"), " Male", "")))</f>
        <v xml:space="preserve"> Female</v>
      </c>
      <c r="H586" s="16" t="str">
        <f>IF(regexMatch(A586,".*_([0-9]+$)"), CONCATENATE(" ",VALUE(TRIM(CLEAN(RegexFindGroup(A586,".*_([0-9]*)"))))), "")</f>
        <v xml:space="preserve"> 1</v>
      </c>
      <c r="I586" s="16" t="str">
        <f>IF(regexMatch(A586,"cs_.*")," (CS)", (IF(regexMatch(A586,"ig_.*"), " (IG)", "")))</f>
        <v/>
      </c>
      <c r="J586" s="10" t="str">
        <f t="shared" si="19"/>
        <v>South Central Female</v>
      </c>
    </row>
    <row r="587" spans="1:10" x14ac:dyDescent="0.25">
      <c r="A587" s="6" t="s">
        <v>947</v>
      </c>
      <c r="B587" s="6" t="str">
        <f t="shared" si="20"/>
        <v>a_f_m_soucent_02</v>
      </c>
      <c r="C587" s="6" t="s">
        <v>946</v>
      </c>
      <c r="D587" s="7" t="str">
        <f>PROPER(C587)</f>
        <v>Soucent</v>
      </c>
      <c r="E587" s="4" t="s">
        <v>1339</v>
      </c>
      <c r="F587" s="9" t="str">
        <f>IF(regexMatch(A587,"[A-Za-z]*_y_.*")," Young",(IF(regexMatch(A587,"[A-Za-z]*_o_.*")," Old", "")))</f>
        <v/>
      </c>
      <c r="G587" s="16" t="str">
        <f>IF(regexMatch(A587,"[A-Za-z]*_f_.*")," Female", (IF(regexMatch(A587,"[A-Za-z]*_m_.*"), " Male", "")))</f>
        <v xml:space="preserve"> Female</v>
      </c>
      <c r="H587" s="16" t="str">
        <f>IF(regexMatch(A587,".*_([0-9]+$)"), CONCATENATE(" ",VALUE(TRIM(CLEAN(RegexFindGroup(A587,".*_([0-9]*)"))))), "")</f>
        <v xml:space="preserve"> 2</v>
      </c>
      <c r="I587" s="16" t="str">
        <f>IF(regexMatch(A587,"cs_.*")," (CS)", (IF(regexMatch(A587,"ig_.*"), " (IG)", "")))</f>
        <v/>
      </c>
      <c r="J587" s="10" t="str">
        <f t="shared" si="19"/>
        <v>South Central Female 2</v>
      </c>
    </row>
    <row r="588" spans="1:10" x14ac:dyDescent="0.25">
      <c r="A588" s="6" t="s">
        <v>940</v>
      </c>
      <c r="B588" s="6" t="str">
        <f t="shared" si="20"/>
        <v>a_m_m_socenlat_01</v>
      </c>
      <c r="C588" s="6" t="s">
        <v>941</v>
      </c>
      <c r="D588" s="7" t="str">
        <f>PROPER(C588)</f>
        <v>Socenlat</v>
      </c>
      <c r="E588" s="4" t="s">
        <v>1337</v>
      </c>
      <c r="F588" s="9" t="str">
        <f>IF(regexMatch(A588,"[A-Za-z]*_y_.*")," Young",(IF(regexMatch(A588,"[A-Za-z]*_o_.*")," Old", "")))</f>
        <v/>
      </c>
      <c r="G588" s="16" t="str">
        <f>IF(regexMatch(A588,"[A-Za-z]*_f_.*")," Female", (IF(regexMatch(A588,"[A-Za-z]*_m_.*"), " Male", "")))</f>
        <v xml:space="preserve"> Male</v>
      </c>
      <c r="H588" s="16" t="str">
        <f>IF(regexMatch(A588,".*_([0-9]+$)"), CONCATENATE(" ",VALUE(TRIM(CLEAN(RegexFindGroup(A588,".*_([0-9]*)"))))), "")</f>
        <v xml:space="preserve"> 1</v>
      </c>
      <c r="I588" s="16" t="str">
        <f>IF(regexMatch(A588,"cs_.*")," (CS)", (IF(regexMatch(A588,"ig_.*"), " (IG)", "")))</f>
        <v/>
      </c>
      <c r="J588" s="10" t="str">
        <f t="shared" si="19"/>
        <v>South Central Latino Male</v>
      </c>
    </row>
    <row r="589" spans="1:10" x14ac:dyDescent="0.25">
      <c r="A589" s="6" t="s">
        <v>953</v>
      </c>
      <c r="B589" s="6" t="str">
        <f t="shared" si="20"/>
        <v>a_m_m_soucent_01</v>
      </c>
      <c r="C589" s="6" t="s">
        <v>946</v>
      </c>
      <c r="D589" s="7" t="str">
        <f>PROPER(C589)</f>
        <v>Soucent</v>
      </c>
      <c r="E589" s="4" t="s">
        <v>1339</v>
      </c>
      <c r="F589" s="9" t="str">
        <f>IF(regexMatch(A589,"[A-Za-z]*_y_.*")," Young",(IF(regexMatch(A589,"[A-Za-z]*_o_.*")," Old", "")))</f>
        <v/>
      </c>
      <c r="G589" s="16" t="str">
        <f>IF(regexMatch(A589,"[A-Za-z]*_f_.*")," Female", (IF(regexMatch(A589,"[A-Za-z]*_m_.*"), " Male", "")))</f>
        <v xml:space="preserve"> Male</v>
      </c>
      <c r="H589" s="16" t="str">
        <f>IF(regexMatch(A589,".*_([0-9]+$)"), CONCATENATE(" ",VALUE(TRIM(CLEAN(RegexFindGroup(A589,".*_([0-9]*)"))))), "")</f>
        <v xml:space="preserve"> 1</v>
      </c>
      <c r="I589" s="16" t="str">
        <f>IF(regexMatch(A589,"cs_.*")," (CS)", (IF(regexMatch(A589,"ig_.*"), " (IG)", "")))</f>
        <v/>
      </c>
      <c r="J589" s="10" t="str">
        <f t="shared" si="19"/>
        <v>South Central Male</v>
      </c>
    </row>
    <row r="590" spans="1:10" x14ac:dyDescent="0.25">
      <c r="A590" s="6" t="s">
        <v>954</v>
      </c>
      <c r="B590" s="6" t="str">
        <f t="shared" si="20"/>
        <v>a_m_m_soucent_02</v>
      </c>
      <c r="C590" s="6" t="s">
        <v>946</v>
      </c>
      <c r="D590" s="7" t="str">
        <f>PROPER(C590)</f>
        <v>Soucent</v>
      </c>
      <c r="E590" s="4" t="s">
        <v>1339</v>
      </c>
      <c r="F590" s="9" t="str">
        <f>IF(regexMatch(A590,"[A-Za-z]*_y_.*")," Young",(IF(regexMatch(A590,"[A-Za-z]*_o_.*")," Old", "")))</f>
        <v/>
      </c>
      <c r="G590" s="16" t="str">
        <f>IF(regexMatch(A590,"[A-Za-z]*_f_.*")," Female", (IF(regexMatch(A590,"[A-Za-z]*_m_.*"), " Male", "")))</f>
        <v xml:space="preserve"> Male</v>
      </c>
      <c r="H590" s="16" t="str">
        <f>IF(regexMatch(A590,".*_([0-9]+$)"), CONCATENATE(" ",VALUE(TRIM(CLEAN(RegexFindGroup(A590,".*_([0-9]*)"))))), "")</f>
        <v xml:space="preserve"> 2</v>
      </c>
      <c r="I590" s="16" t="str">
        <f>IF(regexMatch(A590,"cs_.*")," (CS)", (IF(regexMatch(A590,"ig_.*"), " (IG)", "")))</f>
        <v/>
      </c>
      <c r="J590" s="10" t="str">
        <f t="shared" si="19"/>
        <v>South Central Male 2</v>
      </c>
    </row>
    <row r="591" spans="1:10" x14ac:dyDescent="0.25">
      <c r="A591" s="6" t="s">
        <v>955</v>
      </c>
      <c r="B591" s="6" t="str">
        <f t="shared" si="20"/>
        <v>a_m_m_soucent_03</v>
      </c>
      <c r="C591" s="6" t="s">
        <v>946</v>
      </c>
      <c r="D591" s="7" t="str">
        <f>PROPER(C591)</f>
        <v>Soucent</v>
      </c>
      <c r="E591" s="4" t="s">
        <v>1339</v>
      </c>
      <c r="F591" s="9" t="str">
        <f>IF(regexMatch(A591,"[A-Za-z]*_y_.*")," Young",(IF(regexMatch(A591,"[A-Za-z]*_o_.*")," Old", "")))</f>
        <v/>
      </c>
      <c r="G591" s="16" t="str">
        <f>IF(regexMatch(A591,"[A-Za-z]*_f_.*")," Female", (IF(regexMatch(A591,"[A-Za-z]*_m_.*"), " Male", "")))</f>
        <v xml:space="preserve"> Male</v>
      </c>
      <c r="H591" s="16" t="str">
        <f>IF(regexMatch(A591,".*_([0-9]+$)"), CONCATENATE(" ",VALUE(TRIM(CLEAN(RegexFindGroup(A591,".*_([0-9]*)"))))), "")</f>
        <v xml:space="preserve"> 3</v>
      </c>
      <c r="I591" s="16" t="str">
        <f>IF(regexMatch(A591,"cs_.*")," (CS)", (IF(regexMatch(A591,"ig_.*"), " (IG)", "")))</f>
        <v/>
      </c>
      <c r="J591" s="10" t="str">
        <f t="shared" si="19"/>
        <v>South Central Male 3</v>
      </c>
    </row>
    <row r="592" spans="1:10" x14ac:dyDescent="0.25">
      <c r="A592" s="6" t="s">
        <v>956</v>
      </c>
      <c r="B592" s="6" t="str">
        <f t="shared" si="20"/>
        <v>a_m_m_soucent_04</v>
      </c>
      <c r="C592" s="6" t="s">
        <v>946</v>
      </c>
      <c r="D592" s="7" t="str">
        <f>PROPER(C592)</f>
        <v>Soucent</v>
      </c>
      <c r="E592" s="4" t="s">
        <v>1339</v>
      </c>
      <c r="F592" s="9" t="str">
        <f>IF(regexMatch(A592,"[A-Za-z]*_y_.*")," Young",(IF(regexMatch(A592,"[A-Za-z]*_o_.*")," Old", "")))</f>
        <v/>
      </c>
      <c r="G592" s="16" t="str">
        <f>IF(regexMatch(A592,"[A-Za-z]*_f_.*")," Female", (IF(regexMatch(A592,"[A-Za-z]*_m_.*"), " Male", "")))</f>
        <v xml:space="preserve"> Male</v>
      </c>
      <c r="H592" s="16" t="str">
        <f>IF(regexMatch(A592,".*_([0-9]+$)"), CONCATENATE(" ",VALUE(TRIM(CLEAN(RegexFindGroup(A592,".*_([0-9]*)"))))), "")</f>
        <v xml:space="preserve"> 4</v>
      </c>
      <c r="I592" s="16" t="str">
        <f>IF(regexMatch(A592,"cs_.*")," (CS)", (IF(regexMatch(A592,"ig_.*"), " (IG)", "")))</f>
        <v/>
      </c>
      <c r="J592" s="10" t="str">
        <f t="shared" si="19"/>
        <v>South Central Male 4</v>
      </c>
    </row>
    <row r="593" spans="1:10" x14ac:dyDescent="0.25">
      <c r="A593" s="6" t="s">
        <v>963</v>
      </c>
      <c r="B593" s="6" t="str">
        <f t="shared" si="20"/>
        <v>a_f_m_soucentmc_01</v>
      </c>
      <c r="C593" s="6" t="s">
        <v>964</v>
      </c>
      <c r="D593" s="7" t="str">
        <f>PROPER(C593)</f>
        <v>Soucentmc</v>
      </c>
      <c r="E593" s="4" t="s">
        <v>1340</v>
      </c>
      <c r="F593" s="9" t="str">
        <f>IF(regexMatch(A593,"[A-Za-z]*_y_.*")," Young",(IF(regexMatch(A593,"[A-Za-z]*_o_.*")," Old", "")))</f>
        <v/>
      </c>
      <c r="G593" s="16" t="str">
        <f>IF(regexMatch(A593,"[A-Za-z]*_f_.*")," Female", (IF(regexMatch(A593,"[A-Za-z]*_m_.*"), " Male", "")))</f>
        <v xml:space="preserve"> Female</v>
      </c>
      <c r="H593" s="16" t="str">
        <f>IF(regexMatch(A593,".*_([0-9]+$)"), CONCATENATE(" ",VALUE(TRIM(CLEAN(RegexFindGroup(A593,".*_([0-9]*)"))))), "")</f>
        <v xml:space="preserve"> 1</v>
      </c>
      <c r="I593" s="16" t="str">
        <f>IF(regexMatch(A593,"cs_.*")," (CS)", (IF(regexMatch(A593,"ig_.*"), " (IG)", "")))</f>
        <v/>
      </c>
      <c r="J593" s="10" t="str">
        <f t="shared" si="19"/>
        <v>South Central MC Female</v>
      </c>
    </row>
    <row r="594" spans="1:10" x14ac:dyDescent="0.25">
      <c r="A594" s="6" t="s">
        <v>948</v>
      </c>
      <c r="B594" s="6" t="str">
        <f t="shared" si="20"/>
        <v>a_f_o_soucent_01</v>
      </c>
      <c r="C594" s="6" t="s">
        <v>946</v>
      </c>
      <c r="D594" s="7" t="str">
        <f>PROPER(C594)</f>
        <v>Soucent</v>
      </c>
      <c r="E594" s="4" t="s">
        <v>1339</v>
      </c>
      <c r="F594" s="9" t="str">
        <f>IF(regexMatch(A594,"[A-Za-z]*_y_.*")," Young",(IF(regexMatch(A594,"[A-Za-z]*_o_.*")," Old", "")))</f>
        <v xml:space="preserve"> Old</v>
      </c>
      <c r="G594" s="16" t="str">
        <f>IF(regexMatch(A594,"[A-Za-z]*_f_.*")," Female", (IF(regexMatch(A594,"[A-Za-z]*_m_.*"), " Male", "")))</f>
        <v xml:space="preserve"> Female</v>
      </c>
      <c r="H594" s="16" t="str">
        <f>IF(regexMatch(A594,".*_([0-9]+$)"), CONCATENATE(" ",VALUE(TRIM(CLEAN(RegexFindGroup(A594,".*_([0-9]*)"))))), "")</f>
        <v xml:space="preserve"> 1</v>
      </c>
      <c r="I594" s="16" t="str">
        <f>IF(regexMatch(A594,"cs_.*")," (CS)", (IF(regexMatch(A594,"ig_.*"), " (IG)", "")))</f>
        <v/>
      </c>
      <c r="J594" s="10" t="str">
        <f t="shared" si="19"/>
        <v>South Central Old Female</v>
      </c>
    </row>
    <row r="595" spans="1:10" x14ac:dyDescent="0.25">
      <c r="A595" s="6" t="s">
        <v>949</v>
      </c>
      <c r="B595" s="6" t="str">
        <f t="shared" si="20"/>
        <v>a_f_o_soucent_02</v>
      </c>
      <c r="C595" s="6" t="s">
        <v>946</v>
      </c>
      <c r="D595" s="7" t="str">
        <f>PROPER(C595)</f>
        <v>Soucent</v>
      </c>
      <c r="E595" s="4" t="s">
        <v>1339</v>
      </c>
      <c r="F595" s="9" t="str">
        <f>IF(regexMatch(A595,"[A-Za-z]*_y_.*")," Young",(IF(regexMatch(A595,"[A-Za-z]*_o_.*")," Old", "")))</f>
        <v xml:space="preserve"> Old</v>
      </c>
      <c r="G595" s="16" t="str">
        <f>IF(regexMatch(A595,"[A-Za-z]*_f_.*")," Female", (IF(regexMatch(A595,"[A-Za-z]*_m_.*"), " Male", "")))</f>
        <v xml:space="preserve"> Female</v>
      </c>
      <c r="H595" s="16" t="str">
        <f>IF(regexMatch(A595,".*_([0-9]+$)"), CONCATENATE(" ",VALUE(TRIM(CLEAN(RegexFindGroup(A595,".*_([0-9]*)"))))), "")</f>
        <v xml:space="preserve"> 2</v>
      </c>
      <c r="I595" s="16" t="str">
        <f>IF(regexMatch(A595,"cs_.*")," (CS)", (IF(regexMatch(A595,"ig_.*"), " (IG)", "")))</f>
        <v/>
      </c>
      <c r="J595" s="10" t="str">
        <f t="shared" si="19"/>
        <v>South Central Old Female 2</v>
      </c>
    </row>
    <row r="596" spans="1:10" x14ac:dyDescent="0.25">
      <c r="A596" s="6" t="s">
        <v>103</v>
      </c>
      <c r="B596" s="6" t="str">
        <f t="shared" si="20"/>
        <v xml:space="preserve">	a_m_o_soucent_01</v>
      </c>
      <c r="C596" s="6" t="s">
        <v>102</v>
      </c>
      <c r="D596" s="7" t="str">
        <f>PROPER(C596)</f>
        <v xml:space="preserve">	Soucent</v>
      </c>
      <c r="E596" s="4" t="s">
        <v>1339</v>
      </c>
      <c r="F596" s="9" t="str">
        <f>IF(regexMatch(A596,"[A-Za-z]*_y_.*")," Young",(IF(regexMatch(A596,"[A-Za-z]*_o_.*")," Old", "")))</f>
        <v xml:space="preserve"> Old</v>
      </c>
      <c r="G596" s="16" t="str">
        <f>IF(regexMatch(A596,"[A-Za-z]*_f_.*")," Female", (IF(regexMatch(A596,"[A-Za-z]*_m_.*"), " Male", "")))</f>
        <v xml:space="preserve"> Male</v>
      </c>
      <c r="H596" s="16" t="str">
        <f>IF(regexMatch(A596,".*_([0-9]+$)"), CONCATENATE(" ",VALUE(TRIM(CLEAN(RegexFindGroup(A596,".*_([0-9]*)"))))), "")</f>
        <v xml:space="preserve"> 1</v>
      </c>
      <c r="I596" s="16" t="str">
        <f>IF(regexMatch(A596,"cs_.*")," (CS)", (IF(regexMatch(A596,"ig_.*"), " (IG)", "")))</f>
        <v/>
      </c>
      <c r="J596" s="10" t="str">
        <f t="shared" si="19"/>
        <v>South Central Old Male</v>
      </c>
    </row>
    <row r="597" spans="1:10" x14ac:dyDescent="0.25">
      <c r="A597" s="6" t="s">
        <v>957</v>
      </c>
      <c r="B597" s="6" t="str">
        <f t="shared" si="20"/>
        <v>a_m_o_soucent_02</v>
      </c>
      <c r="C597" s="6" t="s">
        <v>946</v>
      </c>
      <c r="D597" s="7" t="str">
        <f>PROPER(C597)</f>
        <v>Soucent</v>
      </c>
      <c r="E597" s="4" t="s">
        <v>1339</v>
      </c>
      <c r="F597" s="9" t="str">
        <f>IF(regexMatch(A597,"[A-Za-z]*_y_.*")," Young",(IF(regexMatch(A597,"[A-Za-z]*_o_.*")," Old", "")))</f>
        <v xml:space="preserve"> Old</v>
      </c>
      <c r="G597" s="16" t="str">
        <f>IF(regexMatch(A597,"[A-Za-z]*_f_.*")," Female", (IF(regexMatch(A597,"[A-Za-z]*_m_.*"), " Male", "")))</f>
        <v xml:space="preserve"> Male</v>
      </c>
      <c r="H597" s="16" t="str">
        <f>IF(regexMatch(A597,".*_([0-9]+$)"), CONCATENATE(" ",VALUE(TRIM(CLEAN(RegexFindGroup(A597,".*_([0-9]*)"))))), "")</f>
        <v xml:space="preserve"> 2</v>
      </c>
      <c r="I597" s="16" t="str">
        <f>IF(regexMatch(A597,"cs_.*")," (CS)", (IF(regexMatch(A597,"ig_.*"), " (IG)", "")))</f>
        <v/>
      </c>
      <c r="J597" s="10" t="str">
        <f t="shared" si="19"/>
        <v>South Central Old Male 2</v>
      </c>
    </row>
    <row r="598" spans="1:10" x14ac:dyDescent="0.25">
      <c r="A598" s="6" t="s">
        <v>958</v>
      </c>
      <c r="B598" s="6" t="str">
        <f t="shared" si="20"/>
        <v>a_m_o_soucent_03</v>
      </c>
      <c r="C598" s="6" t="s">
        <v>946</v>
      </c>
      <c r="D598" s="7" t="str">
        <f>PROPER(C598)</f>
        <v>Soucent</v>
      </c>
      <c r="E598" s="4" t="s">
        <v>1339</v>
      </c>
      <c r="F598" s="9" t="str">
        <f>IF(regexMatch(A598,"[A-Za-z]*_y_.*")," Young",(IF(regexMatch(A598,"[A-Za-z]*_o_.*")," Old", "")))</f>
        <v xml:space="preserve"> Old</v>
      </c>
      <c r="G598" s="16" t="str">
        <f>IF(regexMatch(A598,"[A-Za-z]*_f_.*")," Female", (IF(regexMatch(A598,"[A-Za-z]*_m_.*"), " Male", "")))</f>
        <v xml:space="preserve"> Male</v>
      </c>
      <c r="H598" s="16" t="str">
        <f>IF(regexMatch(A598,".*_([0-9]+$)"), CONCATENATE(" ",VALUE(TRIM(CLEAN(RegexFindGroup(A598,".*_([0-9]*)"))))), "")</f>
        <v xml:space="preserve"> 3</v>
      </c>
      <c r="I598" s="16" t="str">
        <f>IF(regexMatch(A598,"cs_.*")," (CS)", (IF(regexMatch(A598,"ig_.*"), " (IG)", "")))</f>
        <v/>
      </c>
      <c r="J598" s="10" t="str">
        <f t="shared" si="19"/>
        <v>South Central Old Male 3</v>
      </c>
    </row>
    <row r="599" spans="1:10" x14ac:dyDescent="0.25">
      <c r="A599" s="6" t="s">
        <v>950</v>
      </c>
      <c r="B599" s="6" t="str">
        <f t="shared" si="20"/>
        <v>a_f_y_soucent_01</v>
      </c>
      <c r="C599" s="6" t="s">
        <v>946</v>
      </c>
      <c r="D599" s="7" t="str">
        <f>PROPER(C599)</f>
        <v>Soucent</v>
      </c>
      <c r="E599" s="4" t="s">
        <v>1339</v>
      </c>
      <c r="F599" s="9" t="str">
        <f>IF(regexMatch(A599,"[A-Za-z]*_y_.*")," Young",(IF(regexMatch(A599,"[A-Za-z]*_o_.*")," Old", "")))</f>
        <v xml:space="preserve"> Young</v>
      </c>
      <c r="G599" s="16" t="str">
        <f>IF(regexMatch(A599,"[A-Za-z]*_f_.*")," Female", (IF(regexMatch(A599,"[A-Za-z]*_m_.*"), " Male", "")))</f>
        <v xml:space="preserve"> Female</v>
      </c>
      <c r="H599" s="16" t="str">
        <f>IF(regexMatch(A599,".*_([0-9]+$)"), CONCATENATE(" ",VALUE(TRIM(CLEAN(RegexFindGroup(A599,".*_([0-9]*)"))))), "")</f>
        <v xml:space="preserve"> 1</v>
      </c>
      <c r="I599" s="16" t="str">
        <f>IF(regexMatch(A599,"cs_.*")," (CS)", (IF(regexMatch(A599,"ig_.*"), " (IG)", "")))</f>
        <v/>
      </c>
      <c r="J599" s="10" t="str">
        <f t="shared" si="19"/>
        <v>South Central Young Female</v>
      </c>
    </row>
    <row r="600" spans="1:10" x14ac:dyDescent="0.25">
      <c r="A600" s="6" t="s">
        <v>951</v>
      </c>
      <c r="B600" s="6" t="str">
        <f t="shared" si="20"/>
        <v>a_f_y_soucent_02</v>
      </c>
      <c r="C600" s="6" t="s">
        <v>946</v>
      </c>
      <c r="D600" s="7" t="str">
        <f>PROPER(C600)</f>
        <v>Soucent</v>
      </c>
      <c r="E600" s="4" t="s">
        <v>1339</v>
      </c>
      <c r="F600" s="9" t="str">
        <f>IF(regexMatch(A600,"[A-Za-z]*_y_.*")," Young",(IF(regexMatch(A600,"[A-Za-z]*_o_.*")," Old", "")))</f>
        <v xml:space="preserve"> Young</v>
      </c>
      <c r="G600" s="16" t="str">
        <f>IF(regexMatch(A600,"[A-Za-z]*_f_.*")," Female", (IF(regexMatch(A600,"[A-Za-z]*_m_.*"), " Male", "")))</f>
        <v xml:space="preserve"> Female</v>
      </c>
      <c r="H600" s="16" t="str">
        <f>IF(regexMatch(A600,".*_([0-9]+$)"), CONCATENATE(" ",VALUE(TRIM(CLEAN(RegexFindGroup(A600,".*_([0-9]*)"))))), "")</f>
        <v xml:space="preserve"> 2</v>
      </c>
      <c r="I600" s="16" t="str">
        <f>IF(regexMatch(A600,"cs_.*")," (CS)", (IF(regexMatch(A600,"ig_.*"), " (IG)", "")))</f>
        <v/>
      </c>
      <c r="J600" s="10" t="str">
        <f t="shared" si="19"/>
        <v>South Central Young Female 2</v>
      </c>
    </row>
    <row r="601" spans="1:10" x14ac:dyDescent="0.25">
      <c r="A601" s="6" t="s">
        <v>952</v>
      </c>
      <c r="B601" s="6" t="str">
        <f t="shared" si="20"/>
        <v>a_f_y_soucent_03</v>
      </c>
      <c r="C601" s="6" t="s">
        <v>946</v>
      </c>
      <c r="D601" s="7" t="str">
        <f>PROPER(C601)</f>
        <v>Soucent</v>
      </c>
      <c r="E601" s="4" t="s">
        <v>1339</v>
      </c>
      <c r="F601" s="9" t="str">
        <f>IF(regexMatch(A601,"[A-Za-z]*_y_.*")," Young",(IF(regexMatch(A601,"[A-Za-z]*_o_.*")," Old", "")))</f>
        <v xml:space="preserve"> Young</v>
      </c>
      <c r="G601" s="16" t="str">
        <f>IF(regexMatch(A601,"[A-Za-z]*_f_.*")," Female", (IF(regexMatch(A601,"[A-Za-z]*_m_.*"), " Male", "")))</f>
        <v xml:space="preserve"> Female</v>
      </c>
      <c r="H601" s="16" t="str">
        <f>IF(regexMatch(A601,".*_([0-9]+$)"), CONCATENATE(" ",VALUE(TRIM(CLEAN(RegexFindGroup(A601,".*_([0-9]*)"))))), "")</f>
        <v xml:space="preserve"> 3</v>
      </c>
      <c r="I601" s="16" t="str">
        <f>IF(regexMatch(A601,"cs_.*")," (CS)", (IF(regexMatch(A601,"ig_.*"), " (IG)", "")))</f>
        <v/>
      </c>
      <c r="J601" s="10" t="str">
        <f t="shared" si="19"/>
        <v>South Central Young Female 3</v>
      </c>
    </row>
    <row r="602" spans="1:10" x14ac:dyDescent="0.25">
      <c r="A602" s="6" t="s">
        <v>959</v>
      </c>
      <c r="B602" s="6" t="str">
        <f t="shared" si="20"/>
        <v>a_m_y_soucent_01</v>
      </c>
      <c r="C602" s="6" t="s">
        <v>946</v>
      </c>
      <c r="D602" s="7" t="str">
        <f>PROPER(C602)</f>
        <v>Soucent</v>
      </c>
      <c r="E602" s="4" t="s">
        <v>1339</v>
      </c>
      <c r="F602" s="9" t="str">
        <f>IF(regexMatch(A602,"[A-Za-z]*_y_.*")," Young",(IF(regexMatch(A602,"[A-Za-z]*_o_.*")," Old", "")))</f>
        <v xml:space="preserve"> Young</v>
      </c>
      <c r="G602" s="16" t="str">
        <f>IF(regexMatch(A602,"[A-Za-z]*_f_.*")," Female", (IF(regexMatch(A602,"[A-Za-z]*_m_.*"), " Male", "")))</f>
        <v xml:space="preserve"> Male</v>
      </c>
      <c r="H602" s="16" t="str">
        <f>IF(regexMatch(A602,".*_([0-9]+$)"), CONCATENATE(" ",VALUE(TRIM(CLEAN(RegexFindGroup(A602,".*_([0-9]*)"))))), "")</f>
        <v xml:space="preserve"> 1</v>
      </c>
      <c r="I602" s="16" t="str">
        <f>IF(regexMatch(A602,"cs_.*")," (CS)", (IF(regexMatch(A602,"ig_.*"), " (IG)", "")))</f>
        <v/>
      </c>
      <c r="J602" s="10" t="str">
        <f t="shared" si="19"/>
        <v>South Central Young Male</v>
      </c>
    </row>
    <row r="603" spans="1:10" x14ac:dyDescent="0.25">
      <c r="A603" s="6" t="s">
        <v>960</v>
      </c>
      <c r="B603" s="6" t="str">
        <f t="shared" si="20"/>
        <v>a_m_y_soucent_02</v>
      </c>
      <c r="C603" s="6" t="s">
        <v>946</v>
      </c>
      <c r="D603" s="7" t="str">
        <f>PROPER(C603)</f>
        <v>Soucent</v>
      </c>
      <c r="E603" s="4" t="s">
        <v>1339</v>
      </c>
      <c r="F603" s="9" t="str">
        <f>IF(regexMatch(A603,"[A-Za-z]*_y_.*")," Young",(IF(regexMatch(A603,"[A-Za-z]*_o_.*")," Old", "")))</f>
        <v xml:space="preserve"> Young</v>
      </c>
      <c r="G603" s="16" t="str">
        <f>IF(regexMatch(A603,"[A-Za-z]*_f_.*")," Female", (IF(regexMatch(A603,"[A-Za-z]*_m_.*"), " Male", "")))</f>
        <v xml:space="preserve"> Male</v>
      </c>
      <c r="H603" s="16" t="str">
        <f>IF(regexMatch(A603,".*_([0-9]+$)"), CONCATENATE(" ",VALUE(TRIM(CLEAN(RegexFindGroup(A603,".*_([0-9]*)"))))), "")</f>
        <v xml:space="preserve"> 2</v>
      </c>
      <c r="I603" s="16" t="str">
        <f>IF(regexMatch(A603,"cs_.*")," (CS)", (IF(regexMatch(A603,"ig_.*"), " (IG)", "")))</f>
        <v/>
      </c>
      <c r="J603" s="10" t="str">
        <f t="shared" si="19"/>
        <v>South Central Young Male 2</v>
      </c>
    </row>
    <row r="604" spans="1:10" x14ac:dyDescent="0.25">
      <c r="A604" s="6" t="s">
        <v>961</v>
      </c>
      <c r="B604" s="6" t="str">
        <f t="shared" si="20"/>
        <v>a_m_y_soucent_03</v>
      </c>
      <c r="C604" s="6" t="s">
        <v>946</v>
      </c>
      <c r="D604" s="7" t="str">
        <f>PROPER(C604)</f>
        <v>Soucent</v>
      </c>
      <c r="E604" s="4" t="s">
        <v>1339</v>
      </c>
      <c r="F604" s="9" t="str">
        <f>IF(regexMatch(A604,"[A-Za-z]*_y_.*")," Young",(IF(regexMatch(A604,"[A-Za-z]*_o_.*")," Old", "")))</f>
        <v xml:space="preserve"> Young</v>
      </c>
      <c r="G604" s="16" t="str">
        <f>IF(regexMatch(A604,"[A-Za-z]*_f_.*")," Female", (IF(regexMatch(A604,"[A-Za-z]*_m_.*"), " Male", "")))</f>
        <v xml:space="preserve"> Male</v>
      </c>
      <c r="H604" s="16" t="str">
        <f>IF(regexMatch(A604,".*_([0-9]+$)"), CONCATENATE(" ",VALUE(TRIM(CLEAN(RegexFindGroup(A604,".*_([0-9]*)"))))), "")</f>
        <v xml:space="preserve"> 3</v>
      </c>
      <c r="I604" s="16" t="str">
        <f>IF(regexMatch(A604,"cs_.*")," (CS)", (IF(regexMatch(A604,"ig_.*"), " (IG)", "")))</f>
        <v/>
      </c>
      <c r="J604" s="10" t="str">
        <f t="shared" si="19"/>
        <v>South Central Young Male 3</v>
      </c>
    </row>
    <row r="605" spans="1:10" x14ac:dyDescent="0.25">
      <c r="A605" s="6" t="s">
        <v>962</v>
      </c>
      <c r="B605" s="6" t="str">
        <f t="shared" si="20"/>
        <v>a_m_y_soucent_04</v>
      </c>
      <c r="C605" s="6" t="s">
        <v>946</v>
      </c>
      <c r="D605" s="7" t="str">
        <f>PROPER(C605)</f>
        <v>Soucent</v>
      </c>
      <c r="E605" s="4" t="s">
        <v>1339</v>
      </c>
      <c r="F605" s="9" t="str">
        <f>IF(regexMatch(A605,"[A-Za-z]*_y_.*")," Young",(IF(regexMatch(A605,"[A-Za-z]*_o_.*")," Old", "")))</f>
        <v xml:space="preserve"> Young</v>
      </c>
      <c r="G605" s="16" t="str">
        <f>IF(regexMatch(A605,"[A-Za-z]*_f_.*")," Female", (IF(regexMatch(A605,"[A-Za-z]*_m_.*"), " Male", "")))</f>
        <v xml:space="preserve"> Male</v>
      </c>
      <c r="H605" s="16" t="str">
        <f>IF(regexMatch(A605,".*_([0-9]+$)"), CONCATENATE(" ",VALUE(TRIM(CLEAN(RegexFindGroup(A605,".*_([0-9]*)"))))), "")</f>
        <v xml:space="preserve"> 4</v>
      </c>
      <c r="I605" s="16" t="str">
        <f>IF(regexMatch(A605,"cs_.*")," (CS)", (IF(regexMatch(A605,"ig_.*"), " (IG)", "")))</f>
        <v/>
      </c>
      <c r="J605" s="10" t="str">
        <f t="shared" si="19"/>
        <v>South Central Young Male 4</v>
      </c>
    </row>
    <row r="606" spans="1:10" x14ac:dyDescent="0.25">
      <c r="A606" s="6" t="s">
        <v>902</v>
      </c>
      <c r="B606" s="6" t="str">
        <f t="shared" si="20"/>
        <v>u_m_y_sbike</v>
      </c>
      <c r="C606" s="6" t="s">
        <v>903</v>
      </c>
      <c r="D606" s="7" t="str">
        <f>PROPER(C606)</f>
        <v>Sbike</v>
      </c>
      <c r="E606" s="4" t="s">
        <v>1276</v>
      </c>
      <c r="F606" s="9"/>
      <c r="G606" s="16"/>
      <c r="H606" s="16" t="str">
        <f>IF(regexMatch(A606,".*_([0-9]+$)"), CONCATENATE(" ",VALUE(TRIM(CLEAN(RegexFindGroup(A606,".*_([0-9]*)"))))), "")</f>
        <v/>
      </c>
      <c r="I606" s="16" t="str">
        <f>IF(regexMatch(A606,"cs_.*")," (CS)", (IF(regexMatch(A606,"ig_.*"), " (IG)", "")))</f>
        <v/>
      </c>
      <c r="J606" s="10" t="str">
        <f t="shared" si="19"/>
        <v>Sports Biker</v>
      </c>
    </row>
    <row r="607" spans="1:10" x14ac:dyDescent="0.25">
      <c r="A607" s="6" t="s">
        <v>965</v>
      </c>
      <c r="B607" s="6" t="str">
        <f t="shared" si="20"/>
        <v>u_m_m_spyactor</v>
      </c>
      <c r="C607" s="6" t="s">
        <v>966</v>
      </c>
      <c r="D607" s="7" t="str">
        <f>PROPER(C607)</f>
        <v>Spyactor</v>
      </c>
      <c r="E607" s="4" t="s">
        <v>1270</v>
      </c>
      <c r="F607" s="9"/>
      <c r="G607" s="16"/>
      <c r="H607" s="16" t="str">
        <f>IF(regexMatch(A607,".*_([0-9]+$)"), CONCATENATE(" ",VALUE(TRIM(CLEAN(RegexFindGroup(A607,".*_([0-9]*)"))))), "")</f>
        <v/>
      </c>
      <c r="I607" s="16" t="str">
        <f>IF(regexMatch(A607,"cs_.*")," (CS)", (IF(regexMatch(A607,"ig_.*"), " (IG)", "")))</f>
        <v/>
      </c>
      <c r="J607" s="10" t="str">
        <f t="shared" si="19"/>
        <v>Spy Actor</v>
      </c>
    </row>
    <row r="608" spans="1:10" x14ac:dyDescent="0.25">
      <c r="A608" s="6" t="s">
        <v>105</v>
      </c>
      <c r="B608" s="6" t="str">
        <f t="shared" si="20"/>
        <v xml:space="preserve">	u_f_y_spyactress</v>
      </c>
      <c r="C608" s="6" t="s">
        <v>104</v>
      </c>
      <c r="D608" s="7" t="str">
        <f>PROPER(C608)</f>
        <v xml:space="preserve">	Spyactress</v>
      </c>
      <c r="E608" s="4" t="s">
        <v>1257</v>
      </c>
      <c r="F608" s="9"/>
      <c r="G608" s="16"/>
      <c r="H608" s="16" t="str">
        <f>IF(regexMatch(A608,".*_([0-9]+$)"), CONCATENATE(" ",VALUE(TRIM(CLEAN(RegexFindGroup(A608,".*_([0-9]*)"))))), "")</f>
        <v/>
      </c>
      <c r="I608" s="16" t="str">
        <f>IF(regexMatch(A608,"cs_.*")," (CS)", (IF(regexMatch(A608,"ig_.*"), " (IG)", "")))</f>
        <v/>
      </c>
      <c r="J608" s="10" t="str">
        <f t="shared" si="19"/>
        <v>Spy Actress</v>
      </c>
    </row>
    <row r="609" spans="1:10" x14ac:dyDescent="0.25">
      <c r="A609" s="6" t="s">
        <v>967</v>
      </c>
      <c r="B609" s="6" t="str">
        <f t="shared" si="20"/>
        <v>u_m_y_staggrm_01</v>
      </c>
      <c r="C609" s="6" t="s">
        <v>968</v>
      </c>
      <c r="D609" s="7" t="str">
        <f>PROPER(C609)</f>
        <v>Staggrm</v>
      </c>
      <c r="E609" s="4" t="s">
        <v>1356</v>
      </c>
      <c r="F609" s="9"/>
      <c r="G609" s="16"/>
      <c r="H609" s="16" t="str">
        <f>IF(regexMatch(A609,".*_([0-9]+$)"), CONCATENATE(" ",VALUE(TRIM(CLEAN(RegexFindGroup(A609,".*_([0-9]*)"))))), "")</f>
        <v xml:space="preserve"> 1</v>
      </c>
      <c r="I609" s="16" t="str">
        <f>IF(regexMatch(A609,"cs_.*")," (CS)", (IF(regexMatch(A609,"ig_.*"), " (IG)", "")))</f>
        <v/>
      </c>
      <c r="J609" s="10" t="str">
        <f t="shared" si="19"/>
        <v>Stag Party Groom</v>
      </c>
    </row>
    <row r="610" spans="1:10" x14ac:dyDescent="0.25">
      <c r="A610" s="6" t="s">
        <v>971</v>
      </c>
      <c r="B610" s="6" t="str">
        <f t="shared" si="20"/>
        <v>cs_stevehains</v>
      </c>
      <c r="C610" s="6" t="s">
        <v>972</v>
      </c>
      <c r="D610" s="7" t="str">
        <f>PROPER(C610)</f>
        <v>Stevehains</v>
      </c>
      <c r="E610" s="4" t="s">
        <v>1269</v>
      </c>
      <c r="F610" s="9" t="str">
        <f>IF(regexMatch(A610,"[A-Za-z]*_y_.*")," Young",(IF(regexMatch(A610,"[A-Za-z]*_o_.*")," Old", "")))</f>
        <v/>
      </c>
      <c r="G610" s="16" t="str">
        <f>IF(regexMatch(A610,"[A-Za-z]*_f_.*")," Female", (IF(regexMatch(A610,"[A-Za-z]*_m_.*"), " Male", "")))</f>
        <v/>
      </c>
      <c r="H610" s="16" t="str">
        <f>IF(regexMatch(A610,".*_([0-9]+$)"), CONCATENATE(" ",VALUE(TRIM(CLEAN(RegexFindGroup(A610,".*_([0-9]*)"))))), "")</f>
        <v/>
      </c>
      <c r="I610" s="16" t="str">
        <f>IF(regexMatch(A610,"cs_.*")," (CS)", (IF(regexMatch(A610,"ig_.*"), " (IG)", "")))</f>
        <v xml:space="preserve"> (CS)</v>
      </c>
      <c r="J610" s="10" t="str">
        <f t="shared" si="19"/>
        <v>Steve Haines (CS)</v>
      </c>
    </row>
    <row r="611" spans="1:10" x14ac:dyDescent="0.25">
      <c r="A611" s="6" t="s">
        <v>973</v>
      </c>
      <c r="B611" s="6" t="str">
        <f t="shared" si="20"/>
        <v>ig_stevehains</v>
      </c>
      <c r="C611" s="6" t="s">
        <v>972</v>
      </c>
      <c r="D611" s="7" t="str">
        <f>PROPER(C611)</f>
        <v>Stevehains</v>
      </c>
      <c r="E611" s="4" t="s">
        <v>1269</v>
      </c>
      <c r="F611" s="9" t="str">
        <f>IF(regexMatch(A611,"[A-Za-z]*_y_.*")," Young",(IF(regexMatch(A611,"[A-Za-z]*_o_.*")," Old", "")))</f>
        <v/>
      </c>
      <c r="G611" s="16" t="str">
        <f>IF(regexMatch(A611,"[A-Za-z]*_f_.*")," Female", (IF(regexMatch(A611,"[A-Za-z]*_m_.*"), " Male", "")))</f>
        <v/>
      </c>
      <c r="H611" s="16" t="str">
        <f>IF(regexMatch(A611,".*_([0-9]+$)"), CONCATENATE(" ",VALUE(TRIM(CLEAN(RegexFindGroup(A611,".*_([0-9]*)"))))), "")</f>
        <v/>
      </c>
      <c r="I611" s="16" t="str">
        <f>IF(regexMatch(A611,"cs_.*")," (CS)", (IF(regexMatch(A611,"ig_.*"), " (IG)", "")))</f>
        <v xml:space="preserve"> (IG)</v>
      </c>
      <c r="J611" s="10" t="str">
        <f t="shared" si="19"/>
        <v>Steve Haines (IG)</v>
      </c>
    </row>
    <row r="612" spans="1:10" x14ac:dyDescent="0.25">
      <c r="A612" s="6" t="s">
        <v>987</v>
      </c>
      <c r="B612" s="6" t="str">
        <f t="shared" si="20"/>
        <v>s_m_m_strperf_01</v>
      </c>
      <c r="C612" s="6" t="s">
        <v>988</v>
      </c>
      <c r="D612" s="7" t="str">
        <f>PROPER(C612)</f>
        <v>Strperf</v>
      </c>
      <c r="E612" s="4" t="s">
        <v>1266</v>
      </c>
      <c r="F612" s="9"/>
      <c r="G612" s="16"/>
      <c r="H612" s="16" t="str">
        <f>IF(regexMatch(A612,".*_([0-9]+$)"), CONCATENATE(" ",VALUE(TRIM(CLEAN(RegexFindGroup(A612,".*_([0-9]*)"))))), "")</f>
        <v xml:space="preserve"> 1</v>
      </c>
      <c r="I612" s="16" t="str">
        <f>IF(regexMatch(A612,"cs_.*")," (CS)", (IF(regexMatch(A612,"ig_.*"), " (IG)", "")))</f>
        <v/>
      </c>
      <c r="J612" s="10" t="str">
        <f t="shared" si="19"/>
        <v>Street Performer</v>
      </c>
    </row>
    <row r="613" spans="1:10" x14ac:dyDescent="0.25">
      <c r="A613" s="6" t="s">
        <v>989</v>
      </c>
      <c r="B613" s="6" t="str">
        <f t="shared" si="20"/>
        <v>s_m_m_strpreach_01</v>
      </c>
      <c r="C613" s="6" t="s">
        <v>990</v>
      </c>
      <c r="D613" s="7" t="str">
        <f>PROPER(C613)</f>
        <v>Strpreach</v>
      </c>
      <c r="E613" s="4" t="s">
        <v>1267</v>
      </c>
      <c r="F613" s="9"/>
      <c r="G613" s="16"/>
      <c r="H613" s="16" t="str">
        <f>IF(regexMatch(A613,".*_([0-9]+$)"), CONCATENATE(" ",VALUE(TRIM(CLEAN(RegexFindGroup(A613,".*_([0-9]*)"))))), "")</f>
        <v xml:space="preserve"> 1</v>
      </c>
      <c r="I613" s="16" t="str">
        <f>IF(regexMatch(A613,"cs_.*")," (CS)", (IF(regexMatch(A613,"ig_.*"), " (IG)", "")))</f>
        <v/>
      </c>
      <c r="J613" s="10" t="str">
        <f t="shared" si="19"/>
        <v>Street Preacher</v>
      </c>
    </row>
    <row r="614" spans="1:10" x14ac:dyDescent="0.25">
      <c r="A614" s="6" t="s">
        <v>991</v>
      </c>
      <c r="B614" s="6" t="str">
        <f t="shared" si="20"/>
        <v>g_m_y_strpunk_01</v>
      </c>
      <c r="C614" s="6" t="s">
        <v>992</v>
      </c>
      <c r="D614" s="7" t="str">
        <f>PROPER(C614)</f>
        <v>Strpunk</v>
      </c>
      <c r="E614" s="4" t="s">
        <v>1268</v>
      </c>
      <c r="F614" s="9"/>
      <c r="G614" s="16"/>
      <c r="H614" s="16" t="str">
        <f>IF(regexMatch(A614,".*_([0-9]+$)"), CONCATENATE(" ",VALUE(TRIM(CLEAN(RegexFindGroup(A614,".*_([0-9]*)"))))), "")</f>
        <v xml:space="preserve"> 1</v>
      </c>
      <c r="I614" s="16" t="str">
        <f>IF(regexMatch(A614,"cs_.*")," (CS)", (IF(regexMatch(A614,"ig_.*"), " (IG)", "")))</f>
        <v/>
      </c>
      <c r="J614" s="10" t="str">
        <f t="shared" si="19"/>
        <v>Street Punk</v>
      </c>
    </row>
    <row r="615" spans="1:10" x14ac:dyDescent="0.25">
      <c r="A615" s="6" t="s">
        <v>993</v>
      </c>
      <c r="B615" s="6" t="str">
        <f t="shared" si="20"/>
        <v>g_m_y_strpunk_02</v>
      </c>
      <c r="C615" s="6" t="s">
        <v>992</v>
      </c>
      <c r="D615" s="7" t="str">
        <f>PROPER(C615)</f>
        <v>Strpunk</v>
      </c>
      <c r="E615" s="4" t="s">
        <v>1268</v>
      </c>
      <c r="F615" s="9"/>
      <c r="G615" s="16"/>
      <c r="H615" s="16" t="str">
        <f>IF(regexMatch(A615,".*_([0-9]+$)"), CONCATENATE(" ",VALUE(TRIM(CLEAN(RegexFindGroup(A615,".*_([0-9]*)"))))), "")</f>
        <v xml:space="preserve"> 2</v>
      </c>
      <c r="I615" s="16" t="str">
        <f>IF(regexMatch(A615,"cs_.*")," (CS)", (IF(regexMatch(A615,"ig_.*"), " (IG)", "")))</f>
        <v/>
      </c>
      <c r="J615" s="10" t="str">
        <f t="shared" si="19"/>
        <v>Street Punk 2</v>
      </c>
    </row>
    <row r="616" spans="1:10" x14ac:dyDescent="0.25">
      <c r="A616" s="6" t="s">
        <v>994</v>
      </c>
      <c r="B616" s="6" t="str">
        <f t="shared" si="20"/>
        <v>s_m_m_strvend_01</v>
      </c>
      <c r="C616" s="6" t="s">
        <v>995</v>
      </c>
      <c r="D616" s="7" t="str">
        <f>PROPER(C616)</f>
        <v>Strvend</v>
      </c>
      <c r="E616" s="4" t="s">
        <v>1264</v>
      </c>
      <c r="F616" s="9"/>
      <c r="G616" s="16"/>
      <c r="H616" s="16" t="str">
        <f>IF(regexMatch(A616,".*_([0-9]+$)"), CONCATENATE(" ",VALUE(TRIM(CLEAN(RegexFindGroup(A616,".*_([0-9]*)"))))), "")</f>
        <v xml:space="preserve"> 1</v>
      </c>
      <c r="I616" s="16" t="str">
        <f>IF(regexMatch(A616,"cs_.*")," (CS)", (IF(regexMatch(A616,"ig_.*"), " (IG)", "")))</f>
        <v/>
      </c>
      <c r="J616" s="10" t="str">
        <f t="shared" si="19"/>
        <v>Street Vendor</v>
      </c>
    </row>
    <row r="617" spans="1:10" x14ac:dyDescent="0.25">
      <c r="A617" s="6" t="s">
        <v>996</v>
      </c>
      <c r="B617" s="6" t="str">
        <f t="shared" si="20"/>
        <v>s_m_y_strvend_01</v>
      </c>
      <c r="C617" s="6" t="s">
        <v>995</v>
      </c>
      <c r="D617" s="7" t="str">
        <f>PROPER(C617)</f>
        <v>Strvend</v>
      </c>
      <c r="E617" s="4" t="s">
        <v>1264</v>
      </c>
      <c r="F617" s="9" t="str">
        <f>IF(regexMatch(A617,"[A-Za-z]*_y_.*")," Young",(IF(regexMatch(A617,"[A-Za-z]*_o_.*")," Old", "")))</f>
        <v xml:space="preserve"> Young</v>
      </c>
      <c r="G617" s="16"/>
      <c r="H617" s="16" t="str">
        <f>IF(regexMatch(A617,".*_([0-9]+$)"), CONCATENATE(" ",VALUE(TRIM(CLEAN(RegexFindGroup(A617,".*_([0-9]*)"))))), "")</f>
        <v xml:space="preserve"> 1</v>
      </c>
      <c r="I617" s="16" t="str">
        <f>IF(regexMatch(A617,"cs_.*")," (CS)", (IF(regexMatch(A617,"ig_.*"), " (IG)", "")))</f>
        <v/>
      </c>
      <c r="J617" s="10" t="str">
        <f t="shared" si="19"/>
        <v>Street Vendor Young</v>
      </c>
    </row>
    <row r="618" spans="1:10" x14ac:dyDescent="0.25">
      <c r="A618" s="6" t="s">
        <v>977</v>
      </c>
      <c r="B618" s="6" t="str">
        <f t="shared" si="20"/>
        <v>cs_stretch</v>
      </c>
      <c r="C618" s="6" t="s">
        <v>978</v>
      </c>
      <c r="D618" s="7" t="str">
        <f>PROPER(C618)</f>
        <v>Stretch</v>
      </c>
      <c r="E618" s="4" t="s">
        <v>1216</v>
      </c>
      <c r="F618" s="9" t="str">
        <f>IF(regexMatch(A618,"[A-Za-z]*_y_.*")," Young",(IF(regexMatch(A618,"[A-Za-z]*_o_.*")," Old", "")))</f>
        <v/>
      </c>
      <c r="G618" s="16" t="str">
        <f>IF(regexMatch(A618,"[A-Za-z]*_f_.*")," Female", (IF(regexMatch(A618,"[A-Za-z]*_m_.*"), " Male", "")))</f>
        <v/>
      </c>
      <c r="H618" s="16" t="str">
        <f>IF(regexMatch(A618,".*_([0-9]+$)"), CONCATENATE(" ",VALUE(TRIM(CLEAN(RegexFindGroup(A618,".*_([0-9]*)"))))), "")</f>
        <v/>
      </c>
      <c r="I618" s="16" t="str">
        <f>IF(regexMatch(A618,"cs_.*")," (CS)", (IF(regexMatch(A618,"ig_.*"), " (IG)", "")))</f>
        <v xml:space="preserve"> (CS)</v>
      </c>
      <c r="J618" s="10" t="str">
        <f t="shared" si="19"/>
        <v>Stretch (CS)</v>
      </c>
    </row>
    <row r="619" spans="1:10" x14ac:dyDescent="0.25">
      <c r="A619" s="6" t="s">
        <v>979</v>
      </c>
      <c r="B619" s="6" t="str">
        <f t="shared" si="20"/>
        <v>ig_stretch</v>
      </c>
      <c r="C619" s="6" t="s">
        <v>978</v>
      </c>
      <c r="D619" s="7" t="str">
        <f>PROPER(C619)</f>
        <v>Stretch</v>
      </c>
      <c r="E619" s="4" t="s">
        <v>1216</v>
      </c>
      <c r="F619" s="9" t="str">
        <f>IF(regexMatch(A619,"[A-Za-z]*_y_.*")," Young",(IF(regexMatch(A619,"[A-Za-z]*_o_.*")," Old", "")))</f>
        <v/>
      </c>
      <c r="G619" s="16" t="str">
        <f>IF(regexMatch(A619,"[A-Za-z]*_f_.*")," Female", (IF(regexMatch(A619,"[A-Za-z]*_m_.*"), " Male", "")))</f>
        <v/>
      </c>
      <c r="H619" s="16" t="str">
        <f>IF(regexMatch(A619,".*_([0-9]+$)"), CONCATENATE(" ",VALUE(TRIM(CLEAN(RegexFindGroup(A619,".*_([0-9]*)"))))), "")</f>
        <v/>
      </c>
      <c r="I619" s="16" t="str">
        <f>IF(regexMatch(A619,"cs_.*")," (CS)", (IF(regexMatch(A619,"ig_.*"), " (IG)", "")))</f>
        <v xml:space="preserve"> (IG)</v>
      </c>
      <c r="J619" s="10" t="str">
        <f t="shared" si="19"/>
        <v>Stretch (IG)</v>
      </c>
    </row>
    <row r="620" spans="1:10" x14ac:dyDescent="0.25">
      <c r="A620" s="6" t="s">
        <v>980</v>
      </c>
      <c r="B620" s="6" t="str">
        <f t="shared" si="20"/>
        <v>csb_stripper_01</v>
      </c>
      <c r="C620" s="6" t="s">
        <v>981</v>
      </c>
      <c r="D620" s="7" t="str">
        <f>PROPER(C620)</f>
        <v>Stripper</v>
      </c>
      <c r="E620" s="4" t="s">
        <v>1217</v>
      </c>
      <c r="F620" s="9" t="str">
        <f>IF(regexMatch(A620,"[A-Za-z]*_y_.*")," Young",(IF(regexMatch(A620,"[A-Za-z]*_o_.*")," Old", "")))</f>
        <v/>
      </c>
      <c r="G620" s="16" t="str">
        <f>IF(regexMatch(A620,"[A-Za-z]*_f_.*")," Female", (IF(regexMatch(A620,"[A-Za-z]*_m_.*"), " Male", "")))</f>
        <v/>
      </c>
      <c r="H620" s="16" t="str">
        <f>IF(regexMatch(A620,".*_([0-9]+$)"), CONCATENATE(" ",VALUE(TRIM(CLEAN(RegexFindGroup(A620,".*_([0-9]*)"))))), "")</f>
        <v xml:space="preserve"> 1</v>
      </c>
      <c r="I620" s="16" t="str">
        <f>IF(regexMatch(A620,"cs_.*")," (CS)", (IF(regexMatch(A620,"ig_.*"), " (IG)", "")))</f>
        <v/>
      </c>
      <c r="J620" s="10" t="str">
        <f t="shared" si="19"/>
        <v>Stripper</v>
      </c>
    </row>
    <row r="621" spans="1:10" x14ac:dyDescent="0.25">
      <c r="A621" s="6" t="s">
        <v>983</v>
      </c>
      <c r="B621" s="6" t="str">
        <f t="shared" si="20"/>
        <v>s_f_y_stripper_01</v>
      </c>
      <c r="C621" s="6" t="s">
        <v>981</v>
      </c>
      <c r="D621" s="7" t="str">
        <f>PROPER(C621)</f>
        <v>Stripper</v>
      </c>
      <c r="E621" s="4" t="s">
        <v>1217</v>
      </c>
      <c r="F621" s="9"/>
      <c r="G621" s="16"/>
      <c r="H621" s="16" t="str">
        <f>IF(regexMatch(A621,".*_([0-9]+$)"), CONCATENATE(" ",VALUE(TRIM(CLEAN(RegexFindGroup(A621,".*_([0-9]*)"))))), "")</f>
        <v xml:space="preserve"> 1</v>
      </c>
      <c r="I621" s="16" t="str">
        <f>IF(regexMatch(A621,"cs_.*")," (CS)", (IF(regexMatch(A621,"ig_.*"), " (IG)", "")))</f>
        <v/>
      </c>
      <c r="J621" s="10" t="str">
        <f t="shared" si="19"/>
        <v>Stripper</v>
      </c>
    </row>
    <row r="622" spans="1:10" x14ac:dyDescent="0.25">
      <c r="A622" s="6" t="s">
        <v>982</v>
      </c>
      <c r="B622" s="6" t="str">
        <f t="shared" si="20"/>
        <v>csb_stripper_02</v>
      </c>
      <c r="C622" s="6" t="s">
        <v>981</v>
      </c>
      <c r="D622" s="7" t="str">
        <f>PROPER(C622)</f>
        <v>Stripper</v>
      </c>
      <c r="E622" s="4" t="s">
        <v>1217</v>
      </c>
      <c r="F622" s="9" t="str">
        <f>IF(regexMatch(A622,"[A-Za-z]*_y_.*")," Young",(IF(regexMatch(A622,"[A-Za-z]*_o_.*")," Old", "")))</f>
        <v/>
      </c>
      <c r="G622" s="16" t="str">
        <f>IF(regexMatch(A622,"[A-Za-z]*_f_.*")," Female", (IF(regexMatch(A622,"[A-Za-z]*_m_.*"), " Male", "")))</f>
        <v/>
      </c>
      <c r="H622" s="16" t="str">
        <f>IF(regexMatch(A622,".*_([0-9]+$)"), CONCATENATE(" ",VALUE(TRIM(CLEAN(RegexFindGroup(A622,".*_([0-9]*)"))))), "")</f>
        <v xml:space="preserve"> 2</v>
      </c>
      <c r="I622" s="16" t="str">
        <f>IF(regexMatch(A622,"cs_.*")," (CS)", (IF(regexMatch(A622,"ig_.*"), " (IG)", "")))</f>
        <v/>
      </c>
      <c r="J622" s="10" t="str">
        <f t="shared" si="19"/>
        <v>Stripper 2</v>
      </c>
    </row>
    <row r="623" spans="1:10" x14ac:dyDescent="0.25">
      <c r="A623" s="6" t="s">
        <v>984</v>
      </c>
      <c r="B623" s="6" t="str">
        <f t="shared" si="20"/>
        <v>s_f_y_stripper_02</v>
      </c>
      <c r="C623" s="6" t="s">
        <v>981</v>
      </c>
      <c r="D623" s="7" t="str">
        <f>PROPER(C623)</f>
        <v>Stripper</v>
      </c>
      <c r="E623" s="4" t="s">
        <v>1217</v>
      </c>
      <c r="F623" s="9"/>
      <c r="G623" s="16"/>
      <c r="H623" s="16" t="str">
        <f>IF(regexMatch(A623,".*_([0-9]+$)"), CONCATENATE(" ",VALUE(TRIM(CLEAN(RegexFindGroup(A623,".*_([0-9]*)"))))), "")</f>
        <v xml:space="preserve"> 2</v>
      </c>
      <c r="I623" s="16" t="str">
        <f>IF(regexMatch(A623,"cs_.*")," (CS)", (IF(regexMatch(A623,"ig_.*"), " (IG)", "")))</f>
        <v/>
      </c>
      <c r="J623" s="10" t="str">
        <f t="shared" si="19"/>
        <v>Stripper 2</v>
      </c>
    </row>
    <row r="624" spans="1:10" x14ac:dyDescent="0.25">
      <c r="A624" s="6" t="s">
        <v>109</v>
      </c>
      <c r="B624" s="6" t="str">
        <f t="shared" si="20"/>
        <v xml:space="preserve">	s_f_y_stripperlite</v>
      </c>
      <c r="C624" s="6" t="s">
        <v>108</v>
      </c>
      <c r="D624" s="7" t="str">
        <f>PROPER(C624)</f>
        <v xml:space="preserve">	Stripperlite</v>
      </c>
      <c r="E624" s="4" t="s">
        <v>1271</v>
      </c>
      <c r="F624" s="9"/>
      <c r="G624" s="16"/>
      <c r="H624" s="16" t="str">
        <f>IF(regexMatch(A624,".*_([0-9]+$)"), CONCATENATE(" ",VALUE(TRIM(CLEAN(RegexFindGroup(A624,".*_([0-9]*)"))))), "")</f>
        <v/>
      </c>
      <c r="I624" s="16" t="str">
        <f>IF(regexMatch(A624,"cs_.*")," (CS)", (IF(regexMatch(A624,"ig_.*"), " (IG)", "")))</f>
        <v/>
      </c>
      <c r="J624" s="10" t="str">
        <f t="shared" si="19"/>
        <v>Stripper Lite</v>
      </c>
    </row>
    <row r="625" spans="1:10" x14ac:dyDescent="0.25">
      <c r="A625" s="6" t="s">
        <v>985</v>
      </c>
      <c r="B625" s="6" t="str">
        <f t="shared" si="20"/>
        <v>mp_f_stripperlite</v>
      </c>
      <c r="C625" s="6" t="s">
        <v>986</v>
      </c>
      <c r="D625" s="7" t="str">
        <f>PROPER(C625)</f>
        <v>Stripperlite</v>
      </c>
      <c r="E625" s="4" t="s">
        <v>1271</v>
      </c>
      <c r="F625" s="9"/>
      <c r="G625" s="16"/>
      <c r="H625" s="16" t="str">
        <f>IF(regexMatch(A625,".*_([0-9]+$)"), CONCATENATE(" ",VALUE(TRIM(CLEAN(RegexFindGroup(A625,".*_([0-9]*)"))))), "")</f>
        <v/>
      </c>
      <c r="I625" s="16" t="str">
        <f>IF(regexMatch(A625,"cs_.*")," (CS)", (IF(regexMatch(A625,"ig_.*"), " (IG)", "")))</f>
        <v/>
      </c>
      <c r="J625" s="10" t="str">
        <f t="shared" si="19"/>
        <v>Stripper Lite</v>
      </c>
    </row>
    <row r="626" spans="1:10" x14ac:dyDescent="0.25">
      <c r="A626" s="6" t="s">
        <v>1000</v>
      </c>
      <c r="B626" s="6" t="str">
        <f t="shared" si="20"/>
        <v>a_m_y_sunbathe_01</v>
      </c>
      <c r="C626" s="6" t="s">
        <v>1001</v>
      </c>
      <c r="D626" s="7" t="str">
        <f>PROPER(C626)</f>
        <v>Sunbathe</v>
      </c>
      <c r="E626" s="4" t="s">
        <v>1243</v>
      </c>
      <c r="F626" s="9"/>
      <c r="G626" s="16" t="str">
        <f>IF(regexMatch(A626,"[A-Za-z]*_f_.*")," Female", (IF(regexMatch(A626,"[A-Za-z]*_m_.*"), " Male", "")))</f>
        <v xml:space="preserve"> Male</v>
      </c>
      <c r="H626" s="16" t="str">
        <f>IF(regexMatch(A626,".*_([0-9]+$)"), CONCATENATE(" ",VALUE(TRIM(CLEAN(RegexFindGroup(A626,".*_([0-9]*)"))))), "")</f>
        <v xml:space="preserve"> 1</v>
      </c>
      <c r="I626" s="16" t="str">
        <f>IF(regexMatch(A626,"cs_.*")," (CS)", (IF(regexMatch(A626,"ig_.*"), " (IG)", "")))</f>
        <v/>
      </c>
      <c r="J626" s="10" t="str">
        <f t="shared" si="19"/>
        <v>Sunbather Male</v>
      </c>
    </row>
    <row r="627" spans="1:10" x14ac:dyDescent="0.25">
      <c r="A627" s="6" t="s">
        <v>1002</v>
      </c>
      <c r="B627" s="6" t="str">
        <f t="shared" si="20"/>
        <v>a_m_y_surfer_01</v>
      </c>
      <c r="C627" s="6" t="s">
        <v>1003</v>
      </c>
      <c r="D627" s="7" t="str">
        <f>PROPER(C627)</f>
        <v>Surfer</v>
      </c>
      <c r="E627" s="4" t="s">
        <v>1218</v>
      </c>
      <c r="F627" s="9"/>
      <c r="G627" s="16"/>
      <c r="H627" s="16" t="str">
        <f>IF(regexMatch(A627,".*_([0-9]+$)"), CONCATENATE(" ",VALUE(TRIM(CLEAN(RegexFindGroup(A627,".*_([0-9]*)"))))), "")</f>
        <v xml:space="preserve"> 1</v>
      </c>
      <c r="I627" s="16" t="str">
        <f>IF(regexMatch(A627,"cs_.*")," (CS)", (IF(regexMatch(A627,"ig_.*"), " (IG)", "")))</f>
        <v/>
      </c>
      <c r="J627" s="10" t="str">
        <f t="shared" si="19"/>
        <v>Surfer</v>
      </c>
    </row>
    <row r="628" spans="1:10" x14ac:dyDescent="0.25">
      <c r="A628" s="6" t="s">
        <v>1004</v>
      </c>
      <c r="B628" s="6" t="str">
        <f t="shared" si="20"/>
        <v>s_m_y_swat_01</v>
      </c>
      <c r="C628" s="6" t="s">
        <v>1005</v>
      </c>
      <c r="D628" s="7" t="str">
        <f>PROPER(C628)</f>
        <v>Swat</v>
      </c>
      <c r="E628" s="4" t="s">
        <v>1005</v>
      </c>
      <c r="F628" s="9"/>
      <c r="G628" s="16"/>
      <c r="H628" s="16" t="str">
        <f>IF(regexMatch(A628,".*_([0-9]+$)"), CONCATENATE(" ",VALUE(TRIM(CLEAN(RegexFindGroup(A628,".*_([0-9]*)"))))), "")</f>
        <v xml:space="preserve"> 1</v>
      </c>
      <c r="I628" s="16" t="str">
        <f>IF(regexMatch(A628,"cs_.*")," (CS)", (IF(regexMatch(A628,"ig_.*"), " (IG)", "")))</f>
        <v/>
      </c>
      <c r="J628" s="10" t="str">
        <f t="shared" si="19"/>
        <v>SWAT</v>
      </c>
    </row>
    <row r="629" spans="1:10" x14ac:dyDescent="0.25">
      <c r="A629" s="6" t="s">
        <v>1006</v>
      </c>
      <c r="B629" s="6" t="str">
        <f t="shared" si="20"/>
        <v>s_f_m_sweatshop_01</v>
      </c>
      <c r="C629" s="6" t="s">
        <v>1007</v>
      </c>
      <c r="D629" s="7" t="str">
        <f>PROPER(C629)</f>
        <v>Sweatshop</v>
      </c>
      <c r="E629" s="4" t="s">
        <v>1479</v>
      </c>
      <c r="F629" s="9" t="str">
        <f>IF(regexMatch(A629,"[A-Za-z]*_y_.*")," Young",(IF(regexMatch(A629,"[A-Za-z]*_o_.*")," Old", "")))</f>
        <v/>
      </c>
      <c r="G629" s="16"/>
      <c r="H629" s="16" t="str">
        <f>IF(regexMatch(A629,".*_([0-9]+$)"), CONCATENATE(" ",VALUE(TRIM(CLEAN(RegexFindGroup(A629,".*_([0-9]*)"))))), "")</f>
        <v xml:space="preserve"> 1</v>
      </c>
      <c r="I629" s="16" t="str">
        <f>IF(regexMatch(A629,"cs_.*")," (CS)", (IF(regexMatch(A629,"ig_.*"), " (IG)", "")))</f>
        <v/>
      </c>
      <c r="J629" s="10" t="str">
        <f t="shared" si="19"/>
        <v>Sweatshop Worker</v>
      </c>
    </row>
    <row r="630" spans="1:10" x14ac:dyDescent="0.25">
      <c r="A630" s="6" t="s">
        <v>1008</v>
      </c>
      <c r="B630" s="6" t="str">
        <f t="shared" si="20"/>
        <v>s_f_y_sweatshop_01</v>
      </c>
      <c r="C630" s="6" t="s">
        <v>1007</v>
      </c>
      <c r="D630" s="7" t="str">
        <f>PROPER(C630)</f>
        <v>Sweatshop</v>
      </c>
      <c r="E630" s="4" t="s">
        <v>1479</v>
      </c>
      <c r="F630" s="9" t="str">
        <f>IF(regexMatch(A630,"[A-Za-z]*_y_.*")," Young",(IF(regexMatch(A630,"[A-Za-z]*_o_.*")," Old", "")))</f>
        <v xml:space="preserve"> Young</v>
      </c>
      <c r="G630" s="16"/>
      <c r="H630" s="16" t="str">
        <f>IF(regexMatch(A630,".*_([0-9]+$)"), CONCATENATE(" ",VALUE(TRIM(CLEAN(RegexFindGroup(A630,".*_([0-9]*)"))))), "")</f>
        <v xml:space="preserve"> 1</v>
      </c>
      <c r="I630" s="16" t="str">
        <f>IF(regexMatch(A630,"cs_.*")," (CS)", (IF(regexMatch(A630,"ig_.*"), " (IG)", "")))</f>
        <v/>
      </c>
      <c r="J630" s="10" t="str">
        <f t="shared" si="19"/>
        <v>Sweatshop Worker Young</v>
      </c>
    </row>
    <row r="631" spans="1:10" x14ac:dyDescent="0.25">
      <c r="A631" s="6" t="s">
        <v>1009</v>
      </c>
      <c r="B631" s="6" t="str">
        <f t="shared" si="20"/>
        <v>ig_talina</v>
      </c>
      <c r="C631" s="6" t="s">
        <v>1010</v>
      </c>
      <c r="D631" s="7" t="str">
        <f>PROPER(C631)</f>
        <v>Talina</v>
      </c>
      <c r="E631" s="4" t="s">
        <v>1219</v>
      </c>
      <c r="F631" s="9" t="str">
        <f>IF(regexMatch(A631,"[A-Za-z]*_y_.*")," Young",(IF(regexMatch(A631,"[A-Za-z]*_o_.*")," Old", "")))</f>
        <v/>
      </c>
      <c r="G631" s="16" t="str">
        <f>IF(regexMatch(A631,"[A-Za-z]*_f_.*")," Female", (IF(regexMatch(A631,"[A-Za-z]*_m_.*"), " Male", "")))</f>
        <v/>
      </c>
      <c r="H631" s="16" t="str">
        <f>IF(regexMatch(A631,".*_([0-9]+$)"), CONCATENATE(" ",VALUE(TRIM(CLEAN(RegexFindGroup(A631,".*_([0-9]*)"))))), "")</f>
        <v/>
      </c>
      <c r="I631" s="16" t="str">
        <f>IF(regexMatch(A631,"cs_.*")," (CS)", (IF(regexMatch(A631,"ig_.*"), " (IG)", "")))</f>
        <v xml:space="preserve"> (IG)</v>
      </c>
      <c r="J631" s="10" t="str">
        <f t="shared" si="19"/>
        <v>Talina (IG)</v>
      </c>
    </row>
    <row r="632" spans="1:10" x14ac:dyDescent="0.25">
      <c r="A632" s="6" t="s">
        <v>111</v>
      </c>
      <c r="B632" s="6" t="str">
        <f t="shared" si="20"/>
        <v xml:space="preserve">	cs_tanisha</v>
      </c>
      <c r="C632" s="6" t="s">
        <v>110</v>
      </c>
      <c r="D632" s="7" t="str">
        <f>PROPER(C632)</f>
        <v xml:space="preserve">	Tanisha</v>
      </c>
      <c r="E632" s="4" t="s">
        <v>1220</v>
      </c>
      <c r="F632" s="9" t="str">
        <f>IF(regexMatch(A632,"[A-Za-z]*_y_.*")," Young",(IF(regexMatch(A632,"[A-Za-z]*_o_.*")," Old", "")))</f>
        <v/>
      </c>
      <c r="G632" s="16" t="str">
        <f>IF(regexMatch(A632,"[A-Za-z]*_f_.*")," Female", (IF(regexMatch(A632,"[A-Za-z]*_m_.*"), " Male", "")))</f>
        <v/>
      </c>
      <c r="H632" s="16" t="str">
        <f>IF(regexMatch(A632,".*_([0-9]+$)"), CONCATENATE(" ",VALUE(TRIM(CLEAN(RegexFindGroup(A632,".*_([0-9]*)"))))), "")</f>
        <v/>
      </c>
      <c r="I632" s="16" t="str">
        <f>IF(regexMatch(A632,"cs_.*")," (CS)", (IF(regexMatch(A632,"ig_.*"), " (IG)", "")))</f>
        <v xml:space="preserve"> (CS)</v>
      </c>
      <c r="J632" s="10" t="str">
        <f t="shared" si="19"/>
        <v>Tanisha (CS)</v>
      </c>
    </row>
    <row r="633" spans="1:10" x14ac:dyDescent="0.25">
      <c r="A633" s="6" t="s">
        <v>1011</v>
      </c>
      <c r="B633" s="6" t="str">
        <f t="shared" si="20"/>
        <v>ig_tanisha</v>
      </c>
      <c r="C633" s="6" t="s">
        <v>1012</v>
      </c>
      <c r="D633" s="7" t="str">
        <f>PROPER(C633)</f>
        <v>Tanisha</v>
      </c>
      <c r="E633" s="4" t="s">
        <v>1220</v>
      </c>
      <c r="F633" s="9" t="str">
        <f>IF(regexMatch(A633,"[A-Za-z]*_y_.*")," Young",(IF(regexMatch(A633,"[A-Za-z]*_o_.*")," Old", "")))</f>
        <v/>
      </c>
      <c r="G633" s="16" t="str">
        <f>IF(regexMatch(A633,"[A-Za-z]*_f_.*")," Female", (IF(regexMatch(A633,"[A-Za-z]*_m_.*"), " Male", "")))</f>
        <v/>
      </c>
      <c r="H633" s="16" t="str">
        <f>IF(regexMatch(A633,".*_([0-9]+$)"), CONCATENATE(" ",VALUE(TRIM(CLEAN(RegexFindGroup(A633,".*_([0-9]*)"))))), "")</f>
        <v/>
      </c>
      <c r="I633" s="16" t="str">
        <f>IF(regexMatch(A633,"cs_.*")," (CS)", (IF(regexMatch(A633,"ig_.*"), " (IG)", "")))</f>
        <v xml:space="preserve"> (IG)</v>
      </c>
      <c r="J633" s="10" t="str">
        <f t="shared" si="19"/>
        <v>Tanisha (IG)</v>
      </c>
    </row>
    <row r="634" spans="1:10" x14ac:dyDescent="0.25">
      <c r="A634" s="6" t="s">
        <v>1013</v>
      </c>
      <c r="B634" s="6" t="str">
        <f t="shared" si="20"/>
        <v>cs_taocheng</v>
      </c>
      <c r="C634" s="6" t="s">
        <v>1014</v>
      </c>
      <c r="D634" s="7" t="str">
        <f>PROPER(C634)</f>
        <v>Taocheng</v>
      </c>
      <c r="E634" s="4" t="s">
        <v>1263</v>
      </c>
      <c r="F634" s="9" t="str">
        <f>IF(regexMatch(A634,"[A-Za-z]*_y_.*")," Young",(IF(regexMatch(A634,"[A-Za-z]*_o_.*")," Old", "")))</f>
        <v/>
      </c>
      <c r="G634" s="16" t="str">
        <f>IF(regexMatch(A634,"[A-Za-z]*_f_.*")," Female", (IF(regexMatch(A634,"[A-Za-z]*_m_.*"), " Male", "")))</f>
        <v/>
      </c>
      <c r="H634" s="16" t="str">
        <f>IF(regexMatch(A634,".*_([0-9]+$)"), CONCATENATE(" ",VALUE(TRIM(CLEAN(RegexFindGroup(A634,".*_([0-9]*)"))))), "")</f>
        <v/>
      </c>
      <c r="I634" s="16" t="str">
        <f>IF(regexMatch(A634,"cs_.*")," (CS)", (IF(regexMatch(A634,"ig_.*"), " (IG)", "")))</f>
        <v xml:space="preserve"> (CS)</v>
      </c>
      <c r="J634" s="10" t="str">
        <f t="shared" si="19"/>
        <v>Tao Cheng (CS)</v>
      </c>
    </row>
    <row r="635" spans="1:10" x14ac:dyDescent="0.25">
      <c r="A635" s="6" t="s">
        <v>1015</v>
      </c>
      <c r="B635" s="6" t="str">
        <f t="shared" si="20"/>
        <v>ig_taocheng</v>
      </c>
      <c r="C635" s="6" t="s">
        <v>1014</v>
      </c>
      <c r="D635" s="7" t="str">
        <f>PROPER(C635)</f>
        <v>Taocheng</v>
      </c>
      <c r="E635" s="4" t="s">
        <v>1263</v>
      </c>
      <c r="F635" s="9" t="str">
        <f>IF(regexMatch(A635,"[A-Za-z]*_y_.*")," Young",(IF(regexMatch(A635,"[A-Za-z]*_o_.*")," Old", "")))</f>
        <v/>
      </c>
      <c r="G635" s="16" t="str">
        <f>IF(regexMatch(A635,"[A-Za-z]*_f_.*")," Female", (IF(regexMatch(A635,"[A-Za-z]*_m_.*"), " Male", "")))</f>
        <v/>
      </c>
      <c r="H635" s="16" t="str">
        <f>IF(regexMatch(A635,".*_([0-9]+$)"), CONCATENATE(" ",VALUE(TRIM(CLEAN(RegexFindGroup(A635,".*_([0-9]*)"))))), "")</f>
        <v/>
      </c>
      <c r="I635" s="16" t="str">
        <f>IF(regexMatch(A635,"cs_.*")," (CS)", (IF(regexMatch(A635,"ig_.*"), " (IG)", "")))</f>
        <v xml:space="preserve"> (IG)</v>
      </c>
      <c r="J635" s="10" t="str">
        <f t="shared" si="19"/>
        <v>Tao Cheng (IG)</v>
      </c>
    </row>
    <row r="636" spans="1:10" x14ac:dyDescent="0.25">
      <c r="A636" s="6" t="s">
        <v>1016</v>
      </c>
      <c r="B636" s="6" t="str">
        <f t="shared" si="20"/>
        <v>cs_taostranslator</v>
      </c>
      <c r="C636" s="6" t="s">
        <v>1017</v>
      </c>
      <c r="D636" s="7" t="str">
        <f>PROPER(C636)</f>
        <v>Taostranslator</v>
      </c>
      <c r="E636" s="4" t="s">
        <v>1241</v>
      </c>
      <c r="F636" s="9" t="str">
        <f>IF(regexMatch(A636,"[A-Za-z]*_y_.*")," Young",(IF(regexMatch(A636,"[A-Za-z]*_o_.*")," Old", "")))</f>
        <v/>
      </c>
      <c r="G636" s="16" t="str">
        <f>IF(regexMatch(A636,"[A-Za-z]*_f_.*")," Female", (IF(regexMatch(A636,"[A-Za-z]*_m_.*"), " Male", "")))</f>
        <v/>
      </c>
      <c r="H636" s="16" t="str">
        <f>IF(regexMatch(A636,".*_([0-9]+$)"), CONCATENATE(" ",VALUE(TRIM(CLEAN(RegexFindGroup(A636,".*_([0-9]*)"))))), "")</f>
        <v/>
      </c>
      <c r="I636" s="16" t="str">
        <f>IF(regexMatch(A636,"cs_.*")," (CS)", (IF(regexMatch(A636,"ig_.*"), " (IG)", "")))</f>
        <v xml:space="preserve"> (CS)</v>
      </c>
      <c r="J636" s="10" t="str">
        <f t="shared" si="19"/>
        <v>Tao's Translator (CS)</v>
      </c>
    </row>
    <row r="637" spans="1:10" x14ac:dyDescent="0.25">
      <c r="A637" s="6" t="s">
        <v>113</v>
      </c>
      <c r="B637" s="6" t="str">
        <f t="shared" si="20"/>
        <v xml:space="preserve">	ig_taostranslator</v>
      </c>
      <c r="C637" s="6" t="s">
        <v>112</v>
      </c>
      <c r="D637" s="7" t="str">
        <f>PROPER(C637)</f>
        <v xml:space="preserve">	Taostranslator</v>
      </c>
      <c r="E637" s="4" t="s">
        <v>1241</v>
      </c>
      <c r="F637" s="9" t="str">
        <f>IF(regexMatch(A637,"[A-Za-z]*_y_.*")," Young",(IF(regexMatch(A637,"[A-Za-z]*_o_.*")," Old", "")))</f>
        <v/>
      </c>
      <c r="G637" s="16" t="str">
        <f>IF(regexMatch(A637,"[A-Za-z]*_f_.*")," Female", (IF(regexMatch(A637,"[A-Za-z]*_m_.*"), " Male", "")))</f>
        <v/>
      </c>
      <c r="H637" s="16" t="str">
        <f>IF(regexMatch(A637,".*_([0-9]+$)"), CONCATENATE(" ",VALUE(TRIM(CLEAN(RegexFindGroup(A637,".*_([0-9]*)"))))), "")</f>
        <v/>
      </c>
      <c r="I637" s="16" t="str">
        <f>IF(regexMatch(A637,"cs_.*")," (CS)", (IF(regexMatch(A637,"ig_.*"), " (IG)", "")))</f>
        <v xml:space="preserve"> (IG)</v>
      </c>
      <c r="J637" s="10" t="str">
        <f t="shared" si="19"/>
        <v>Tao's Translator (IG)</v>
      </c>
    </row>
    <row r="638" spans="1:10" x14ac:dyDescent="0.25">
      <c r="A638" s="6" t="s">
        <v>1020</v>
      </c>
      <c r="B638" s="6" t="str">
        <f t="shared" si="20"/>
        <v>u_m_y_tattoo_01</v>
      </c>
      <c r="C638" s="6" t="s">
        <v>1021</v>
      </c>
      <c r="D638" s="7" t="str">
        <f>PROPER(C638)</f>
        <v>Tattoo</v>
      </c>
      <c r="E638" s="4" t="s">
        <v>1265</v>
      </c>
      <c r="F638" s="9"/>
      <c r="G638" s="16"/>
      <c r="H638" s="16" t="str">
        <f>IF(regexMatch(A638,".*_([0-9]+$)"), CONCATENATE(" ",VALUE(TRIM(CLEAN(RegexFindGroup(A638,".*_([0-9]*)"))))), "")</f>
        <v xml:space="preserve"> 1</v>
      </c>
      <c r="I638" s="16" t="str">
        <f>IF(regexMatch(A638,"cs_.*")," (CS)", (IF(regexMatch(A638,"ig_.*"), " (IG)", "")))</f>
        <v/>
      </c>
      <c r="J638" s="10" t="str">
        <f t="shared" si="19"/>
        <v>Tattoo Artist</v>
      </c>
    </row>
    <row r="639" spans="1:10" x14ac:dyDescent="0.25">
      <c r="A639" s="6" t="s">
        <v>1024</v>
      </c>
      <c r="B639" s="6" t="str">
        <f t="shared" si="20"/>
        <v>cs_tenniscoach</v>
      </c>
      <c r="C639" s="6" t="s">
        <v>1025</v>
      </c>
      <c r="D639" s="7" t="str">
        <f>PROPER(C639)</f>
        <v>Tenniscoach</v>
      </c>
      <c r="E639" s="4" t="s">
        <v>1262</v>
      </c>
      <c r="F639" s="9" t="str">
        <f>IF(regexMatch(A639,"[A-Za-z]*_y_.*")," Young",(IF(regexMatch(A639,"[A-Za-z]*_o_.*")," Old", "")))</f>
        <v/>
      </c>
      <c r="G639" s="16" t="str">
        <f>IF(regexMatch(A639,"[A-Za-z]*_f_.*")," Female", (IF(regexMatch(A639,"[A-Za-z]*_m_.*"), " Male", "")))</f>
        <v/>
      </c>
      <c r="H639" s="16" t="str">
        <f>IF(regexMatch(A639,".*_([0-9]+$)"), CONCATENATE(" ",VALUE(TRIM(CLEAN(RegexFindGroup(A639,".*_([0-9]*)"))))), "")</f>
        <v/>
      </c>
      <c r="I639" s="16" t="str">
        <f>IF(regexMatch(A639,"cs_.*")," (CS)", (IF(regexMatch(A639,"ig_.*"), " (IG)", "")))</f>
        <v xml:space="preserve"> (CS)</v>
      </c>
      <c r="J639" s="10" t="str">
        <f t="shared" si="19"/>
        <v>Tennis Coach (CS)</v>
      </c>
    </row>
    <row r="640" spans="1:10" x14ac:dyDescent="0.25">
      <c r="A640" s="6" t="s">
        <v>1026</v>
      </c>
      <c r="B640" s="6" t="str">
        <f t="shared" si="20"/>
        <v>ig_tenniscoach</v>
      </c>
      <c r="C640" s="6" t="s">
        <v>1025</v>
      </c>
      <c r="D640" s="7" t="str">
        <f>PROPER(C640)</f>
        <v>Tenniscoach</v>
      </c>
      <c r="E640" s="4" t="s">
        <v>1262</v>
      </c>
      <c r="F640" s="9" t="str">
        <f>IF(regexMatch(A640,"[A-Za-z]*_y_.*")," Young",(IF(regexMatch(A640,"[A-Za-z]*_o_.*")," Old", "")))</f>
        <v/>
      </c>
      <c r="G640" s="16" t="str">
        <f>IF(regexMatch(A640,"[A-Za-z]*_f_.*")," Female", (IF(regexMatch(A640,"[A-Za-z]*_m_.*"), " Male", "")))</f>
        <v/>
      </c>
      <c r="H640" s="16" t="str">
        <f>IF(regexMatch(A640,".*_([0-9]+$)"), CONCATENATE(" ",VALUE(TRIM(CLEAN(RegexFindGroup(A640,".*_([0-9]*)"))))), "")</f>
        <v/>
      </c>
      <c r="I640" s="16" t="str">
        <f>IF(regexMatch(A640,"cs_.*")," (CS)", (IF(regexMatch(A640,"ig_.*"), " (IG)", "")))</f>
        <v xml:space="preserve"> (IG)</v>
      </c>
      <c r="J640" s="10" t="str">
        <f t="shared" si="19"/>
        <v>Tennis Coach (IG)</v>
      </c>
    </row>
    <row r="641" spans="1:10" x14ac:dyDescent="0.25">
      <c r="A641" s="6" t="s">
        <v>115</v>
      </c>
      <c r="B641" s="6" t="str">
        <f t="shared" si="20"/>
        <v xml:space="preserve">	a_f_y_tennis_01</v>
      </c>
      <c r="C641" s="6" t="s">
        <v>114</v>
      </c>
      <c r="D641" s="7" t="str">
        <f>PROPER(C641)</f>
        <v xml:space="preserve">	Tennis</v>
      </c>
      <c r="E641" s="4" t="s">
        <v>1433</v>
      </c>
      <c r="F641" s="9"/>
      <c r="G641" s="16" t="str">
        <f>IF(regexMatch(A641,"[A-Za-z]*_f_.*")," Female", (IF(regexMatch(A641,"[A-Za-z]*_m_.*"), " Male", "")))</f>
        <v xml:space="preserve"> Female</v>
      </c>
      <c r="H641" s="16" t="str">
        <f>IF(regexMatch(A641,".*_([0-9]+$)"), CONCATENATE(" ",VALUE(TRIM(CLEAN(RegexFindGroup(A641,".*_([0-9]*)"))))), "")</f>
        <v xml:space="preserve"> 1</v>
      </c>
      <c r="I641" s="16" t="str">
        <f>IF(regexMatch(A641,"cs_.*")," (CS)", (IF(regexMatch(A641,"ig_.*"), " (IG)", "")))</f>
        <v/>
      </c>
      <c r="J641" s="10" t="str">
        <f t="shared" si="19"/>
        <v>Tennis Player Female</v>
      </c>
    </row>
    <row r="642" spans="1:10" x14ac:dyDescent="0.25">
      <c r="A642" s="6" t="s">
        <v>1022</v>
      </c>
      <c r="B642" s="6" t="str">
        <f t="shared" si="20"/>
        <v>a_m_m_tennis_01</v>
      </c>
      <c r="C642" s="6" t="s">
        <v>1023</v>
      </c>
      <c r="D642" s="7" t="str">
        <f>PROPER(C642)</f>
        <v>Tennis</v>
      </c>
      <c r="E642" s="4" t="s">
        <v>1433</v>
      </c>
      <c r="F642" s="9" t="str">
        <f>IF(regexMatch(A642,"[A-Za-z]*_y_.*")," Young",(IF(regexMatch(A642,"[A-Za-z]*_o_.*")," Old", "")))</f>
        <v/>
      </c>
      <c r="G642" s="16" t="str">
        <f>IF(regexMatch(A642,"[A-Za-z]*_f_.*")," Female", (IF(regexMatch(A642,"[A-Za-z]*_m_.*"), " Male", "")))</f>
        <v xml:space="preserve"> Male</v>
      </c>
      <c r="H642" s="16" t="str">
        <f>IF(regexMatch(A642,".*_([0-9]+$)"), CONCATENATE(" ",VALUE(TRIM(CLEAN(RegexFindGroup(A642,".*_([0-9]*)"))))), "")</f>
        <v xml:space="preserve"> 1</v>
      </c>
      <c r="I642" s="16" t="str">
        <f>IF(regexMatch(A642,"cs_.*")," (CS)", (IF(regexMatch(A642,"ig_.*"), " (IG)", "")))</f>
        <v/>
      </c>
      <c r="J642" s="10" t="str">
        <f t="shared" si="19"/>
        <v>Tennis Player Male</v>
      </c>
    </row>
    <row r="643" spans="1:10" x14ac:dyDescent="0.25">
      <c r="A643" s="6" t="s">
        <v>1027</v>
      </c>
      <c r="B643" s="6" t="str">
        <f t="shared" si="20"/>
        <v>cs_terry</v>
      </c>
      <c r="C643" s="6" t="s">
        <v>1028</v>
      </c>
      <c r="D643" s="7" t="str">
        <f>PROPER(C643)</f>
        <v>Terry</v>
      </c>
      <c r="E643" s="4" t="s">
        <v>1221</v>
      </c>
      <c r="F643" s="9" t="str">
        <f>IF(regexMatch(A643,"[A-Za-z]*_y_.*")," Young",(IF(regexMatch(A643,"[A-Za-z]*_o_.*")," Old", "")))</f>
        <v/>
      </c>
      <c r="G643" s="16" t="str">
        <f>IF(regexMatch(A643,"[A-Za-z]*_f_.*")," Female", (IF(regexMatch(A643,"[A-Za-z]*_m_.*"), " Male", "")))</f>
        <v/>
      </c>
      <c r="H643" s="16" t="str">
        <f>IF(regexMatch(A643,".*_([0-9]+$)"), CONCATENATE(" ",VALUE(TRIM(CLEAN(RegexFindGroup(A643,".*_([0-9]*)"))))), "")</f>
        <v/>
      </c>
      <c r="I643" s="16" t="str">
        <f>IF(regexMatch(A643,"cs_.*")," (CS)", (IF(regexMatch(A643,"ig_.*"), " (IG)", "")))</f>
        <v xml:space="preserve"> (CS)</v>
      </c>
      <c r="J643" s="10" t="str">
        <f t="shared" ref="J643:J674" si="21">TRIM(CONCATENATE(E643,F643,G643,IF(H643=" 1","",H643),I643))</f>
        <v>Terry (CS)</v>
      </c>
    </row>
    <row r="644" spans="1:10" x14ac:dyDescent="0.25">
      <c r="A644" s="6" t="s">
        <v>1029</v>
      </c>
      <c r="B644" s="6" t="str">
        <f t="shared" ref="B644:B701" si="22">TRIM(A644)</f>
        <v>ig_terry</v>
      </c>
      <c r="C644" s="6" t="s">
        <v>1028</v>
      </c>
      <c r="D644" s="7" t="str">
        <f>PROPER(C644)</f>
        <v>Terry</v>
      </c>
      <c r="E644" s="4" t="s">
        <v>1221</v>
      </c>
      <c r="F644" s="9" t="str">
        <f>IF(regexMatch(A644,"[A-Za-z]*_y_.*")," Young",(IF(regexMatch(A644,"[A-Za-z]*_o_.*")," Old", "")))</f>
        <v/>
      </c>
      <c r="G644" s="16" t="str">
        <f>IF(regexMatch(A644,"[A-Za-z]*_f_.*")," Female", (IF(regexMatch(A644,"[A-Za-z]*_m_.*"), " Male", "")))</f>
        <v/>
      </c>
      <c r="H644" s="16" t="str">
        <f>IF(regexMatch(A644,".*_([0-9]+$)"), CONCATENATE(" ",VALUE(TRIM(CLEAN(RegexFindGroup(A644,".*_([0-9]*)"))))), "")</f>
        <v/>
      </c>
      <c r="I644" s="16" t="str">
        <f>IF(regexMatch(A644,"cs_.*")," (CS)", (IF(regexMatch(A644,"ig_.*"), " (IG)", "")))</f>
        <v xml:space="preserve"> (IG)</v>
      </c>
      <c r="J644" s="10" t="str">
        <f t="shared" si="21"/>
        <v>Terry (IG)</v>
      </c>
    </row>
    <row r="645" spans="1:10" x14ac:dyDescent="0.25">
      <c r="A645" s="6" t="s">
        <v>671</v>
      </c>
      <c r="B645" s="6" t="str">
        <f t="shared" si="22"/>
        <v>g_f_y_lost_01</v>
      </c>
      <c r="C645" s="6" t="s">
        <v>672</v>
      </c>
      <c r="D645" s="7" t="str">
        <f>PROPER(C645)</f>
        <v>Lost</v>
      </c>
      <c r="E645" s="4" t="s">
        <v>1448</v>
      </c>
      <c r="F645" s="9"/>
      <c r="G645" s="16" t="str">
        <f>IF(regexMatch(A645,"[A-Za-z]*_f_.*")," Female", (IF(regexMatch(A645,"[A-Za-z]*_m_.*"), " Male", "")))</f>
        <v xml:space="preserve"> Female</v>
      </c>
      <c r="H645" s="16" t="str">
        <f>IF(regexMatch(A645,".*_([0-9]+$)"), CONCATENATE(" ",VALUE(TRIM(CLEAN(RegexFindGroup(A645,".*_([0-9]*)"))))), "")</f>
        <v xml:space="preserve"> 1</v>
      </c>
      <c r="I645" s="16" t="str">
        <f>IF(regexMatch(A645,"cs_.*")," (CS)", (IF(regexMatch(A645,"ig_.*"), " (IG)", "")))</f>
        <v/>
      </c>
      <c r="J645" s="10" t="str">
        <f t="shared" si="21"/>
        <v>The Lost MC Female</v>
      </c>
    </row>
    <row r="646" spans="1:10" x14ac:dyDescent="0.25">
      <c r="A646" s="6" t="s">
        <v>71</v>
      </c>
      <c r="B646" s="6" t="str">
        <f t="shared" si="22"/>
        <v xml:space="preserve">	g_m_y_lost_01</v>
      </c>
      <c r="C646" s="6" t="s">
        <v>70</v>
      </c>
      <c r="D646" s="7" t="str">
        <f>PROPER(C646)</f>
        <v xml:space="preserve">	Lost</v>
      </c>
      <c r="E646" s="4" t="s">
        <v>1448</v>
      </c>
      <c r="F646" s="9"/>
      <c r="G646" s="16" t="str">
        <f>IF(regexMatch(A646,"[A-Za-z]*_f_.*")," Female", (IF(regexMatch(A646,"[A-Za-z]*_m_.*"), " Male", "")))</f>
        <v xml:space="preserve"> Male</v>
      </c>
      <c r="H646" s="16" t="str">
        <f>IF(regexMatch(A646,".*_([0-9]+$)"), CONCATENATE(" ",VALUE(TRIM(CLEAN(RegexFindGroup(A646,".*_([0-9]*)"))))), "")</f>
        <v xml:space="preserve"> 1</v>
      </c>
      <c r="I646" s="16" t="str">
        <f>IF(regexMatch(A646,"cs_.*")," (CS)", (IF(regexMatch(A646,"ig_.*"), " (IG)", "")))</f>
        <v/>
      </c>
      <c r="J646" s="10" t="str">
        <f t="shared" si="21"/>
        <v>The Lost MC Male</v>
      </c>
    </row>
    <row r="647" spans="1:10" x14ac:dyDescent="0.25">
      <c r="A647" s="6" t="s">
        <v>673</v>
      </c>
      <c r="B647" s="6" t="str">
        <f t="shared" si="22"/>
        <v>g_m_y_lost_02</v>
      </c>
      <c r="C647" s="6" t="s">
        <v>672</v>
      </c>
      <c r="D647" s="7" t="str">
        <f>PROPER(C647)</f>
        <v>Lost</v>
      </c>
      <c r="E647" s="4" t="s">
        <v>1448</v>
      </c>
      <c r="F647" s="9"/>
      <c r="G647" s="16" t="str">
        <f>IF(regexMatch(A647,"[A-Za-z]*_f_.*")," Female", (IF(regexMatch(A647,"[A-Za-z]*_m_.*"), " Male", "")))</f>
        <v xml:space="preserve"> Male</v>
      </c>
      <c r="H647" s="16" t="str">
        <f>IF(regexMatch(A647,".*_([0-9]+$)"), CONCATENATE(" ",VALUE(TRIM(CLEAN(RegexFindGroup(A647,".*_([0-9]*)"))))), "")</f>
        <v xml:space="preserve"> 2</v>
      </c>
      <c r="I647" s="16" t="str">
        <f>IF(regexMatch(A647,"cs_.*")," (CS)", (IF(regexMatch(A647,"ig_.*"), " (IG)", "")))</f>
        <v/>
      </c>
      <c r="J647" s="10" t="str">
        <f t="shared" si="21"/>
        <v>The Lost MC Male 2</v>
      </c>
    </row>
    <row r="648" spans="1:10" x14ac:dyDescent="0.25">
      <c r="A648" s="6" t="s">
        <v>674</v>
      </c>
      <c r="B648" s="6" t="str">
        <f t="shared" si="22"/>
        <v>g_m_y_lost_03</v>
      </c>
      <c r="C648" s="6" t="s">
        <v>672</v>
      </c>
      <c r="D648" s="7" t="str">
        <f>PROPER(C648)</f>
        <v>Lost</v>
      </c>
      <c r="E648" s="4" t="s">
        <v>1448</v>
      </c>
      <c r="F648" s="9"/>
      <c r="G648" s="16" t="str">
        <f>IF(regexMatch(A648,"[A-Za-z]*_f_.*")," Female", (IF(regexMatch(A648,"[A-Za-z]*_m_.*"), " Male", "")))</f>
        <v xml:space="preserve"> Male</v>
      </c>
      <c r="H648" s="16" t="str">
        <f>IF(regexMatch(A648,".*_([0-9]+$)"), CONCATENATE(" ",VALUE(TRIM(CLEAN(RegexFindGroup(A648,".*_([0-9]*)"))))), "")</f>
        <v xml:space="preserve"> 3</v>
      </c>
      <c r="I648" s="16" t="str">
        <f>IF(regexMatch(A648,"cs_.*")," (CS)", (IF(regexMatch(A648,"ig_.*"), " (IG)", "")))</f>
        <v/>
      </c>
      <c r="J648" s="10" t="str">
        <f t="shared" si="21"/>
        <v>The Lost MC Male 3</v>
      </c>
    </row>
    <row r="649" spans="1:10" x14ac:dyDescent="0.25">
      <c r="A649" s="6" t="s">
        <v>1030</v>
      </c>
      <c r="B649" s="6" t="str">
        <f t="shared" si="22"/>
        <v>cs_tom</v>
      </c>
      <c r="C649" s="6" t="s">
        <v>1031</v>
      </c>
      <c r="D649" s="7" t="str">
        <f>PROPER(C649)</f>
        <v>Tom</v>
      </c>
      <c r="E649" s="4" t="s">
        <v>1222</v>
      </c>
      <c r="F649" s="9" t="str">
        <f>IF(regexMatch(A649,"[A-Za-z]*_y_.*")," Young",(IF(regexMatch(A649,"[A-Za-z]*_o_.*")," Old", "")))</f>
        <v/>
      </c>
      <c r="G649" s="16" t="str">
        <f>IF(regexMatch(A649,"[A-Za-z]*_f_.*")," Female", (IF(regexMatch(A649,"[A-Za-z]*_m_.*"), " Male", "")))</f>
        <v/>
      </c>
      <c r="H649" s="16" t="str">
        <f>IF(regexMatch(A649,".*_([0-9]+$)"), CONCATENATE(" ",VALUE(TRIM(CLEAN(RegexFindGroup(A649,".*_([0-9]*)"))))), "")</f>
        <v/>
      </c>
      <c r="I649" s="16" t="str">
        <f>IF(regexMatch(A649,"cs_.*")," (CS)", (IF(regexMatch(A649,"ig_.*"), " (IG)", "")))</f>
        <v xml:space="preserve"> (CS)</v>
      </c>
      <c r="J649" s="10" t="str">
        <f t="shared" si="21"/>
        <v>Tom (CS)</v>
      </c>
    </row>
    <row r="650" spans="1:10" x14ac:dyDescent="0.25">
      <c r="A650" s="6" t="s">
        <v>1035</v>
      </c>
      <c r="B650" s="6" t="str">
        <f t="shared" si="22"/>
        <v>csb_tonya</v>
      </c>
      <c r="C650" s="6" t="s">
        <v>1036</v>
      </c>
      <c r="D650" s="7" t="str">
        <f>PROPER(C650)</f>
        <v>Tonya</v>
      </c>
      <c r="E650" s="4" t="s">
        <v>1223</v>
      </c>
      <c r="F650" s="9" t="str">
        <f>IF(regexMatch(A650,"[A-Za-z]*_y_.*")," Young",(IF(regexMatch(A650,"[A-Za-z]*_o_.*")," Old", "")))</f>
        <v/>
      </c>
      <c r="G650" s="16" t="str">
        <f>IF(regexMatch(A650,"[A-Za-z]*_f_.*")," Female", (IF(regexMatch(A650,"[A-Za-z]*_m_.*"), " Male", "")))</f>
        <v/>
      </c>
      <c r="H650" s="16" t="str">
        <f>IF(regexMatch(A650,".*_([0-9]+$)"), CONCATENATE(" ",VALUE(TRIM(CLEAN(RegexFindGroup(A650,".*_([0-9]*)"))))), "")</f>
        <v/>
      </c>
      <c r="I650" s="16" t="str">
        <f>IF(regexMatch(A650,"cs_.*")," (CS)", (IF(regexMatch(A650,"ig_.*"), " (IG)", "")))</f>
        <v/>
      </c>
      <c r="J650" s="10" t="str">
        <f t="shared" si="21"/>
        <v>Tonya</v>
      </c>
    </row>
    <row r="651" spans="1:10" x14ac:dyDescent="0.25">
      <c r="A651" s="6" t="s">
        <v>1037</v>
      </c>
      <c r="B651" s="6" t="str">
        <f t="shared" si="22"/>
        <v>ig_tonya</v>
      </c>
      <c r="C651" s="6" t="s">
        <v>1036</v>
      </c>
      <c r="D651" s="7" t="str">
        <f>PROPER(C651)</f>
        <v>Tonya</v>
      </c>
      <c r="E651" s="4" t="s">
        <v>1223</v>
      </c>
      <c r="F651" s="9" t="str">
        <f>IF(regexMatch(A651,"[A-Za-z]*_y_.*")," Young",(IF(regexMatch(A651,"[A-Za-z]*_o_.*")," Old", "")))</f>
        <v/>
      </c>
      <c r="G651" s="16" t="str">
        <f>IF(regexMatch(A651,"[A-Za-z]*_f_.*")," Female", (IF(regexMatch(A651,"[A-Za-z]*_m_.*"), " Male", "")))</f>
        <v/>
      </c>
      <c r="H651" s="16" t="str">
        <f>IF(regexMatch(A651,".*_([0-9]+$)"), CONCATENATE(" ",VALUE(TRIM(CLEAN(RegexFindGroup(A651,".*_([0-9]*)"))))), "")</f>
        <v/>
      </c>
      <c r="I651" s="16" t="str">
        <f>IF(regexMatch(A651,"cs_.*")," (CS)", (IF(regexMatch(A651,"ig_.*"), " (IG)", "")))</f>
        <v xml:space="preserve"> (IG)</v>
      </c>
      <c r="J651" s="10" t="str">
        <f t="shared" si="21"/>
        <v>Tonya (IG)</v>
      </c>
    </row>
    <row r="652" spans="1:10" x14ac:dyDescent="0.25">
      <c r="A652" s="6" t="s">
        <v>1038</v>
      </c>
      <c r="B652" s="6" t="str">
        <f t="shared" si="22"/>
        <v>a_f_y_topless_01</v>
      </c>
      <c r="C652" s="6" t="s">
        <v>1039</v>
      </c>
      <c r="D652" s="7" t="str">
        <f>PROPER(C652)</f>
        <v>Topless</v>
      </c>
      <c r="E652" s="4" t="s">
        <v>1224</v>
      </c>
      <c r="F652" s="9"/>
      <c r="G652" s="16"/>
      <c r="H652" s="16" t="str">
        <f>IF(regexMatch(A652,".*_([0-9]+$)"), CONCATENATE(" ",VALUE(TRIM(CLEAN(RegexFindGroup(A652,".*_([0-9]*)"))))), "")</f>
        <v xml:space="preserve"> 1</v>
      </c>
      <c r="I652" s="16" t="str">
        <f>IF(regexMatch(A652,"cs_.*")," (CS)", (IF(regexMatch(A652,"ig_.*"), " (IG)", "")))</f>
        <v/>
      </c>
      <c r="J652" s="10" t="str">
        <f t="shared" si="21"/>
        <v>Topless</v>
      </c>
    </row>
    <row r="653" spans="1:10" x14ac:dyDescent="0.25">
      <c r="A653" s="6" t="s">
        <v>1040</v>
      </c>
      <c r="B653" s="6" t="str">
        <f t="shared" si="22"/>
        <v>a_f_m_tourist_01</v>
      </c>
      <c r="C653" s="6" t="s">
        <v>1041</v>
      </c>
      <c r="D653" s="7" t="str">
        <f>PROPER(C653)</f>
        <v>Tourist</v>
      </c>
      <c r="E653" s="4" t="s">
        <v>1225</v>
      </c>
      <c r="F653" s="9" t="str">
        <f>IF(regexMatch(A653,"[A-Za-z]*_y_.*")," Young",(IF(regexMatch(A653,"[A-Za-z]*_o_.*")," Old", "")))</f>
        <v/>
      </c>
      <c r="G653" s="16" t="str">
        <f>IF(regexMatch(A653,"[A-Za-z]*_f_.*")," Female", (IF(regexMatch(A653,"[A-Za-z]*_m_.*"), " Male", "")))</f>
        <v xml:space="preserve"> Female</v>
      </c>
      <c r="H653" s="16" t="str">
        <f>IF(regexMatch(A653,".*_([0-9]+$)"), CONCATENATE(" ",VALUE(TRIM(CLEAN(RegexFindGroup(A653,".*_([0-9]*)"))))), "")</f>
        <v xml:space="preserve"> 1</v>
      </c>
      <c r="I653" s="16" t="str">
        <f>IF(regexMatch(A653,"cs_.*")," (CS)", (IF(regexMatch(A653,"ig_.*"), " (IG)", "")))</f>
        <v/>
      </c>
      <c r="J653" s="10" t="str">
        <f t="shared" si="21"/>
        <v>Tourist Female</v>
      </c>
    </row>
    <row r="654" spans="1:10" x14ac:dyDescent="0.25">
      <c r="A654" s="6" t="s">
        <v>1044</v>
      </c>
      <c r="B654" s="6" t="str">
        <f t="shared" si="22"/>
        <v>a_m_m_tourist_01</v>
      </c>
      <c r="C654" s="6" t="s">
        <v>1041</v>
      </c>
      <c r="D654" s="7" t="str">
        <f>PROPER(C654)</f>
        <v>Tourist</v>
      </c>
      <c r="E654" s="4" t="s">
        <v>1225</v>
      </c>
      <c r="F654" s="9" t="str">
        <f>IF(regexMatch(A654,"[A-Za-z]*_y_.*")," Young",(IF(regexMatch(A654,"[A-Za-z]*_o_.*")," Old", "")))</f>
        <v/>
      </c>
      <c r="G654" s="16" t="str">
        <f>IF(regexMatch(A654,"[A-Za-z]*_f_.*")," Female", (IF(regexMatch(A654,"[A-Za-z]*_m_.*"), " Male", "")))</f>
        <v xml:space="preserve"> Male</v>
      </c>
      <c r="H654" s="16" t="str">
        <f>IF(regexMatch(A654,".*_([0-9]+$)"), CONCATENATE(" ",VALUE(TRIM(CLEAN(RegexFindGroup(A654,".*_([0-9]*)"))))), "")</f>
        <v xml:space="preserve"> 1</v>
      </c>
      <c r="I654" s="16" t="str">
        <f>IF(regexMatch(A654,"cs_.*")," (CS)", (IF(regexMatch(A654,"ig_.*"), " (IG)", "")))</f>
        <v/>
      </c>
      <c r="J654" s="10" t="str">
        <f t="shared" si="21"/>
        <v>Tourist Male</v>
      </c>
    </row>
    <row r="655" spans="1:10" x14ac:dyDescent="0.25">
      <c r="A655" s="6" t="s">
        <v>1042</v>
      </c>
      <c r="B655" s="6" t="str">
        <f t="shared" si="22"/>
        <v>a_f_y_tourist_01</v>
      </c>
      <c r="C655" s="6" t="s">
        <v>1041</v>
      </c>
      <c r="D655" s="7" t="str">
        <f>PROPER(C655)</f>
        <v>Tourist</v>
      </c>
      <c r="E655" s="4" t="s">
        <v>1225</v>
      </c>
      <c r="F655" s="9" t="str">
        <f>IF(regexMatch(A655,"[A-Za-z]*_y_.*")," Young",(IF(regexMatch(A655,"[A-Za-z]*_o_.*")," Old", "")))</f>
        <v xml:space="preserve"> Young</v>
      </c>
      <c r="G655" s="16" t="str">
        <f>IF(regexMatch(A655,"[A-Za-z]*_f_.*")," Female", (IF(regexMatch(A655,"[A-Za-z]*_m_.*"), " Male", "")))</f>
        <v xml:space="preserve"> Female</v>
      </c>
      <c r="H655" s="16" t="str">
        <f>IF(regexMatch(A655,".*_([0-9]+$)"), CONCATENATE(" ",VALUE(TRIM(CLEAN(RegexFindGroup(A655,".*_([0-9]*)"))))), "")</f>
        <v xml:space="preserve"> 1</v>
      </c>
      <c r="I655" s="16" t="str">
        <f>IF(regexMatch(A655,"cs_.*")," (CS)", (IF(regexMatch(A655,"ig_.*"), " (IG)", "")))</f>
        <v/>
      </c>
      <c r="J655" s="10" t="str">
        <f t="shared" si="21"/>
        <v>Tourist Young Female</v>
      </c>
    </row>
    <row r="656" spans="1:10" x14ac:dyDescent="0.25">
      <c r="A656" s="6" t="s">
        <v>1043</v>
      </c>
      <c r="B656" s="6" t="str">
        <f t="shared" si="22"/>
        <v>a_f_y_tourist_02</v>
      </c>
      <c r="C656" s="6" t="s">
        <v>1041</v>
      </c>
      <c r="D656" s="7" t="str">
        <f>PROPER(C656)</f>
        <v>Tourist</v>
      </c>
      <c r="E656" s="4" t="s">
        <v>1225</v>
      </c>
      <c r="F656" s="9" t="str">
        <f>IF(regexMatch(A656,"[A-Za-z]*_y_.*")," Young",(IF(regexMatch(A656,"[A-Za-z]*_o_.*")," Old", "")))</f>
        <v xml:space="preserve"> Young</v>
      </c>
      <c r="G656" s="16" t="str">
        <f>IF(regexMatch(A656,"[A-Za-z]*_f_.*")," Female", (IF(regexMatch(A656,"[A-Za-z]*_m_.*"), " Male", "")))</f>
        <v xml:space="preserve"> Female</v>
      </c>
      <c r="H656" s="16" t="str">
        <f>IF(regexMatch(A656,".*_([0-9]+$)"), CONCATENATE(" ",VALUE(TRIM(CLEAN(RegexFindGroup(A656,".*_([0-9]*)"))))), "")</f>
        <v xml:space="preserve"> 2</v>
      </c>
      <c r="I656" s="16" t="str">
        <f>IF(regexMatch(A656,"cs_.*")," (CS)", (IF(regexMatch(A656,"ig_.*"), " (IG)", "")))</f>
        <v/>
      </c>
      <c r="J656" s="10" t="str">
        <f t="shared" si="21"/>
        <v>Tourist Young Female 2</v>
      </c>
    </row>
    <row r="657" spans="1:10" x14ac:dyDescent="0.25">
      <c r="A657" s="6" t="s">
        <v>1045</v>
      </c>
      <c r="B657" s="6" t="str">
        <f t="shared" si="22"/>
        <v>cs_tracydisanto</v>
      </c>
      <c r="C657" s="6" t="s">
        <v>1046</v>
      </c>
      <c r="D657" s="7" t="str">
        <f>PROPER(C657)</f>
        <v>Tracydisanto</v>
      </c>
      <c r="E657" s="4" t="s">
        <v>1272</v>
      </c>
      <c r="F657" s="9" t="str">
        <f>IF(regexMatch(A657,"[A-Za-z]*_y_.*")," Young",(IF(regexMatch(A657,"[A-Za-z]*_o_.*")," Old", "")))</f>
        <v/>
      </c>
      <c r="G657" s="16" t="str">
        <f>IF(regexMatch(A657,"[A-Za-z]*_f_.*")," Female", (IF(regexMatch(A657,"[A-Za-z]*_m_.*"), " Male", "")))</f>
        <v/>
      </c>
      <c r="H657" s="16" t="str">
        <f>IF(regexMatch(A657,".*_([0-9]+$)"), CONCATENATE(" ",VALUE(TRIM(CLEAN(RegexFindGroup(A657,".*_([0-9]*)"))))), "")</f>
        <v/>
      </c>
      <c r="I657" s="16" t="str">
        <f>IF(regexMatch(A657,"cs_.*")," (CS)", (IF(regexMatch(A657,"ig_.*"), " (IG)", "")))</f>
        <v xml:space="preserve"> (CS)</v>
      </c>
      <c r="J657" s="10" t="str">
        <f t="shared" si="21"/>
        <v>Tracey De Santa (CS)</v>
      </c>
    </row>
    <row r="658" spans="1:10" x14ac:dyDescent="0.25">
      <c r="A658" s="6" t="s">
        <v>1047</v>
      </c>
      <c r="B658" s="6" t="str">
        <f t="shared" si="22"/>
        <v>ig_tracydisanto</v>
      </c>
      <c r="C658" s="6" t="s">
        <v>1046</v>
      </c>
      <c r="D658" s="7" t="str">
        <f>PROPER(C658)</f>
        <v>Tracydisanto</v>
      </c>
      <c r="E658" s="4" t="s">
        <v>1272</v>
      </c>
      <c r="F658" s="9" t="str">
        <f>IF(regexMatch(A658,"[A-Za-z]*_y_.*")," Young",(IF(regexMatch(A658,"[A-Za-z]*_o_.*")," Old", "")))</f>
        <v/>
      </c>
      <c r="G658" s="16" t="str">
        <f>IF(regexMatch(A658,"[A-Za-z]*_f_.*")," Female", (IF(regexMatch(A658,"[A-Za-z]*_m_.*"), " Male", "")))</f>
        <v/>
      </c>
      <c r="H658" s="16" t="str">
        <f>IF(regexMatch(A658,".*_([0-9]+$)"), CONCATENATE(" ",VALUE(TRIM(CLEAN(RegexFindGroup(A658,".*_([0-9]*)"))))), "")</f>
        <v/>
      </c>
      <c r="I658" s="16" t="str">
        <f>IF(regexMatch(A658,"cs_.*")," (CS)", (IF(regexMatch(A658,"ig_.*"), " (IG)", "")))</f>
        <v xml:space="preserve"> (IG)</v>
      </c>
      <c r="J658" s="10" t="str">
        <f t="shared" si="21"/>
        <v>Tracey De Santa (IG)</v>
      </c>
    </row>
    <row r="659" spans="1:10" x14ac:dyDescent="0.25">
      <c r="A659" s="6" t="s">
        <v>1048</v>
      </c>
      <c r="B659" s="6" t="str">
        <f t="shared" si="22"/>
        <v>csb_trafficwarden</v>
      </c>
      <c r="C659" s="6" t="s">
        <v>1049</v>
      </c>
      <c r="D659" s="7" t="str">
        <f>PROPER(C659)</f>
        <v>Trafficwarden</v>
      </c>
      <c r="E659" s="4" t="s">
        <v>1261</v>
      </c>
      <c r="F659" s="9" t="str">
        <f>IF(regexMatch(A659,"[A-Za-z]*_y_.*")," Young",(IF(regexMatch(A659,"[A-Za-z]*_o_.*")," Old", "")))</f>
        <v/>
      </c>
      <c r="G659" s="16" t="str">
        <f>IF(regexMatch(A659,"[A-Za-z]*_f_.*")," Female", (IF(regexMatch(A659,"[A-Za-z]*_m_.*"), " Male", "")))</f>
        <v/>
      </c>
      <c r="H659" s="16" t="str">
        <f>IF(regexMatch(A659,".*_([0-9]+$)"), CONCATENATE(" ",VALUE(TRIM(CLEAN(RegexFindGroup(A659,".*_([0-9]*)"))))), "")</f>
        <v/>
      </c>
      <c r="I659" s="16" t="str">
        <f>IF(regexMatch(A659,"cs_.*")," (CS)", (IF(regexMatch(A659,"ig_.*"), " (IG)", "")))</f>
        <v/>
      </c>
      <c r="J659" s="10" t="str">
        <f t="shared" si="21"/>
        <v>Traffic Warden</v>
      </c>
    </row>
    <row r="660" spans="1:10" x14ac:dyDescent="0.25">
      <c r="A660" s="6" t="s">
        <v>1050</v>
      </c>
      <c r="B660" s="6" t="str">
        <f t="shared" si="22"/>
        <v>ig_trafficwarden</v>
      </c>
      <c r="C660" s="6" t="s">
        <v>1049</v>
      </c>
      <c r="D660" s="7" t="str">
        <f>PROPER(C660)</f>
        <v>Trafficwarden</v>
      </c>
      <c r="E660" s="4" t="s">
        <v>1261</v>
      </c>
      <c r="F660" s="9" t="str">
        <f>IF(regexMatch(A660,"[A-Za-z]*_y_.*")," Young",(IF(regexMatch(A660,"[A-Za-z]*_o_.*")," Old", "")))</f>
        <v/>
      </c>
      <c r="G660" s="16" t="str">
        <f>IF(regexMatch(A660,"[A-Za-z]*_f_.*")," Female", (IF(regexMatch(A660,"[A-Za-z]*_m_.*"), " Male", "")))</f>
        <v/>
      </c>
      <c r="H660" s="16" t="str">
        <f>IF(regexMatch(A660,".*_([0-9]+$)"), CONCATENATE(" ",VALUE(TRIM(CLEAN(RegexFindGroup(A660,".*_([0-9]*)"))))), "")</f>
        <v/>
      </c>
      <c r="I660" s="16" t="str">
        <f>IF(regexMatch(A660,"cs_.*")," (CS)", (IF(regexMatch(A660,"ig_.*"), " (IG)", "")))</f>
        <v xml:space="preserve"> (IG)</v>
      </c>
      <c r="J660" s="10" t="str">
        <f t="shared" si="21"/>
        <v>Traffic Warden (IG)</v>
      </c>
    </row>
    <row r="661" spans="1:10" x14ac:dyDescent="0.25">
      <c r="A661" s="6" t="s">
        <v>1051</v>
      </c>
      <c r="B661" s="6" t="str">
        <f t="shared" si="22"/>
        <v>a_f_m_tramp_01</v>
      </c>
      <c r="C661" s="6" t="s">
        <v>1052</v>
      </c>
      <c r="D661" s="7" t="str">
        <f>PROPER(C661)</f>
        <v>Tramp</v>
      </c>
      <c r="E661" s="4" t="s">
        <v>1226</v>
      </c>
      <c r="F661" s="9" t="str">
        <f>IF(regexMatch(A661,"[A-Za-z]*_y_.*")," Young",(IF(regexMatch(A661,"[A-Za-z]*_o_.*")," Old", "")))</f>
        <v/>
      </c>
      <c r="G661" s="16" t="str">
        <f>IF(regexMatch(A661,"[A-Za-z]*_f_.*")," Female", (IF(regexMatch(A661,"[A-Za-z]*_m_.*"), " Male", "")))</f>
        <v xml:space="preserve"> Female</v>
      </c>
      <c r="H661" s="16" t="str">
        <f>IF(regexMatch(A661,".*_([0-9]+$)"), CONCATENATE(" ",VALUE(TRIM(CLEAN(RegexFindGroup(A661,".*_([0-9]*)"))))), "")</f>
        <v xml:space="preserve"> 1</v>
      </c>
      <c r="I661" s="16" t="str">
        <f>IF(regexMatch(A661,"cs_.*")," (CS)", (IF(regexMatch(A661,"ig_.*"), " (IG)", "")))</f>
        <v/>
      </c>
      <c r="J661" s="10" t="str">
        <f t="shared" si="21"/>
        <v>Tramp Female</v>
      </c>
    </row>
    <row r="662" spans="1:10" x14ac:dyDescent="0.25">
      <c r="A662" s="6" t="s">
        <v>1053</v>
      </c>
      <c r="B662" s="6" t="str">
        <f t="shared" si="22"/>
        <v>a_m_m_tramp_01</v>
      </c>
      <c r="C662" s="6" t="s">
        <v>1052</v>
      </c>
      <c r="D662" s="7" t="str">
        <f>PROPER(C662)</f>
        <v>Tramp</v>
      </c>
      <c r="E662" s="4" t="s">
        <v>1226</v>
      </c>
      <c r="F662" s="9" t="str">
        <f>IF(regexMatch(A662,"[A-Za-z]*_y_.*")," Young",(IF(regexMatch(A662,"[A-Za-z]*_o_.*")," Old", "")))</f>
        <v/>
      </c>
      <c r="G662" s="16" t="str">
        <f>IF(regexMatch(A662,"[A-Za-z]*_f_.*")," Female", (IF(regexMatch(A662,"[A-Za-z]*_m_.*"), " Male", "")))</f>
        <v xml:space="preserve"> Male</v>
      </c>
      <c r="H662" s="16" t="str">
        <f>IF(regexMatch(A662,".*_([0-9]+$)"), CONCATENATE(" ",VALUE(TRIM(CLEAN(RegexFindGroup(A662,".*_([0-9]*)"))))), "")</f>
        <v xml:space="preserve"> 1</v>
      </c>
      <c r="I662" s="16" t="str">
        <f>IF(regexMatch(A662,"cs_.*")," (CS)", (IF(regexMatch(A662,"ig_.*"), " (IG)", "")))</f>
        <v/>
      </c>
      <c r="J662" s="10" t="str">
        <f t="shared" si="21"/>
        <v>Tramp Male</v>
      </c>
    </row>
    <row r="663" spans="1:10" x14ac:dyDescent="0.25">
      <c r="A663" s="6" t="s">
        <v>117</v>
      </c>
      <c r="B663" s="6" t="str">
        <f t="shared" si="22"/>
        <v xml:space="preserve">	u_m_o_tramp_01</v>
      </c>
      <c r="C663" s="6" t="s">
        <v>116</v>
      </c>
      <c r="D663" s="7" t="str">
        <f>PROPER(C663)</f>
        <v xml:space="preserve">	Tramp</v>
      </c>
      <c r="E663" s="4" t="s">
        <v>1226</v>
      </c>
      <c r="F663" s="9" t="str">
        <f>IF(regexMatch(A663,"[A-Za-z]*_y_.*")," Young",(IF(regexMatch(A663,"[A-Za-z]*_o_.*")," Old", "")))</f>
        <v xml:space="preserve"> Old</v>
      </c>
      <c r="G663" s="16" t="str">
        <f>IF(regexMatch(A663,"[A-Za-z]*_f_.*")," Female", (IF(regexMatch(A663,"[A-Za-z]*_m_.*"), " Male", "")))</f>
        <v xml:space="preserve"> Male</v>
      </c>
      <c r="H663" s="16" t="str">
        <f>IF(regexMatch(A663,".*_([0-9]+$)"), CONCATENATE(" ",VALUE(TRIM(CLEAN(RegexFindGroup(A663,".*_([0-9]*)"))))), "")</f>
        <v xml:space="preserve"> 1</v>
      </c>
      <c r="I663" s="16" t="str">
        <f>IF(regexMatch(A663,"cs_.*")," (CS)", (IF(regexMatch(A663,"ig_.*"), " (IG)", "")))</f>
        <v/>
      </c>
      <c r="J663" s="10" t="str">
        <f t="shared" si="21"/>
        <v>Tramp Old Male</v>
      </c>
    </row>
    <row r="664" spans="1:10" x14ac:dyDescent="0.25">
      <c r="A664" s="6" t="s">
        <v>1054</v>
      </c>
      <c r="B664" s="6" t="str">
        <f t="shared" si="22"/>
        <v>a_m_o_tramp_01</v>
      </c>
      <c r="C664" s="6" t="s">
        <v>1052</v>
      </c>
      <c r="D664" s="7" t="str">
        <f>PROPER(C664)</f>
        <v>Tramp</v>
      </c>
      <c r="E664" s="4" t="s">
        <v>1226</v>
      </c>
      <c r="F664" s="9" t="str">
        <f>IF(regexMatch(A664,"[A-Za-z]*_y_.*")," Young",(IF(regexMatch(A664,"[A-Za-z]*_o_.*")," Old", "")))</f>
        <v xml:space="preserve"> Old</v>
      </c>
      <c r="G664" s="16" t="str">
        <f>IF(regexMatch(A664,"[A-Za-z]*_f_.*")," Female", (IF(regexMatch(A664,"[A-Za-z]*_m_.*"), " Male", "")))</f>
        <v xml:space="preserve"> Male</v>
      </c>
      <c r="H664" s="16" t="str">
        <f>IF(regexMatch(A664,".*_([0-9]+$)"), CONCATENATE(" ",VALUE(TRIM(CLEAN(RegexFindGroup(A664,".*_([0-9]*)"))))), "")</f>
        <v xml:space="preserve"> 1</v>
      </c>
      <c r="I664" s="16" t="str">
        <f>IF(regexMatch(A664,"cs_.*")," (CS)", (IF(regexMatch(A664,"ig_.*"), " (IG)", "")))</f>
        <v/>
      </c>
      <c r="J664" s="10" t="str">
        <f t="shared" si="21"/>
        <v>Tramp Old Male</v>
      </c>
    </row>
    <row r="665" spans="1:10" x14ac:dyDescent="0.25">
      <c r="A665" s="6" t="s">
        <v>521</v>
      </c>
      <c r="B665" s="6" t="str">
        <f t="shared" si="22"/>
        <v>s_m_m_gentransport</v>
      </c>
      <c r="C665" s="6" t="s">
        <v>522</v>
      </c>
      <c r="D665" s="7" t="str">
        <f>PROPER(C665)</f>
        <v>Gentransport</v>
      </c>
      <c r="E665" s="4" t="s">
        <v>1471</v>
      </c>
      <c r="F665" s="9" t="str">
        <f>IF(regexMatch(A665,"[A-Za-z]*_y_.*")," Young",(IF(regexMatch(A665,"[A-Za-z]*_o_.*")," Old", "")))</f>
        <v/>
      </c>
      <c r="G665" s="16" t="str">
        <f>IF(regexMatch(A665,"[A-Za-z]*_f_.*")," Female", (IF(regexMatch(A665,"[A-Za-z]*_m_.*"), " Male", "")))</f>
        <v xml:space="preserve"> Male</v>
      </c>
      <c r="H665" s="16" t="str">
        <f>IF(regexMatch(A665,".*_([0-9]+$)"), CONCATENATE(" ",VALUE(TRIM(CLEAN(RegexFindGroup(A665,".*_([0-9]*)"))))), "")</f>
        <v/>
      </c>
      <c r="I665" s="16" t="str">
        <f>IF(regexMatch(A665,"cs_.*")," (CS)", (IF(regexMatch(A665,"ig_.*"), " (IG)", "")))</f>
        <v/>
      </c>
      <c r="J665" s="10" t="str">
        <f t="shared" si="21"/>
        <v>Transport Worker Male</v>
      </c>
    </row>
    <row r="666" spans="1:10" x14ac:dyDescent="0.25">
      <c r="A666" s="6" t="s">
        <v>1055</v>
      </c>
      <c r="B666" s="6" t="str">
        <f t="shared" si="22"/>
        <v>a_m_m_tranvest_01</v>
      </c>
      <c r="C666" s="6" t="s">
        <v>1056</v>
      </c>
      <c r="D666" s="7" t="str">
        <f>PROPER(C666)</f>
        <v>Tranvest</v>
      </c>
      <c r="E666" s="4" t="s">
        <v>1273</v>
      </c>
      <c r="F666" s="9" t="str">
        <f>IF(regexMatch(A666,"[A-Za-z]*_y_.*")," Young",(IF(regexMatch(A666,"[A-Za-z]*_o_.*")," Old", "")))</f>
        <v/>
      </c>
      <c r="G666" s="16" t="str">
        <f>IF(regexMatch(A666,"[A-Za-z]*_f_.*")," Female", (IF(regexMatch(A666,"[A-Za-z]*_m_.*"), " Male", "")))</f>
        <v xml:space="preserve"> Male</v>
      </c>
      <c r="H666" s="16" t="str">
        <f>IF(regexMatch(A666,".*_([0-9]+$)"), CONCATENATE(" ",VALUE(TRIM(CLEAN(RegexFindGroup(A666,".*_([0-9]*)"))))), "")</f>
        <v xml:space="preserve"> 1</v>
      </c>
      <c r="I666" s="16" t="str">
        <f>IF(regexMatch(A666,"cs_.*")," (CS)", (IF(regexMatch(A666,"ig_.*"), " (IG)", "")))</f>
        <v/>
      </c>
      <c r="J666" s="10" t="str">
        <f t="shared" si="21"/>
        <v>Transvestite Male</v>
      </c>
    </row>
    <row r="667" spans="1:10" x14ac:dyDescent="0.25">
      <c r="A667" s="6" t="s">
        <v>1057</v>
      </c>
      <c r="B667" s="6" t="str">
        <f t="shared" si="22"/>
        <v>a_m_m_tranvest_02</v>
      </c>
      <c r="C667" s="6" t="s">
        <v>1056</v>
      </c>
      <c r="D667" s="7" t="str">
        <f>PROPER(C667)</f>
        <v>Tranvest</v>
      </c>
      <c r="E667" s="4" t="s">
        <v>1273</v>
      </c>
      <c r="F667" s="9" t="str">
        <f>IF(regexMatch(A667,"[A-Za-z]*_y_.*")," Young",(IF(regexMatch(A667,"[A-Za-z]*_o_.*")," Old", "")))</f>
        <v/>
      </c>
      <c r="G667" s="16" t="str">
        <f>IF(regexMatch(A667,"[A-Za-z]*_f_.*")," Female", (IF(regexMatch(A667,"[A-Za-z]*_m_.*"), " Male", "")))</f>
        <v xml:space="preserve"> Male</v>
      </c>
      <c r="H667" s="16" t="str">
        <f>IF(regexMatch(A667,".*_([0-9]+$)"), CONCATENATE(" ",VALUE(TRIM(CLEAN(RegexFindGroup(A667,".*_([0-9]*)"))))), "")</f>
        <v xml:space="preserve"> 2</v>
      </c>
      <c r="I667" s="16" t="str">
        <f>IF(regexMatch(A667,"cs_.*")," (CS)", (IF(regexMatch(A667,"ig_.*"), " (IG)", "")))</f>
        <v/>
      </c>
      <c r="J667" s="10" t="str">
        <f t="shared" si="21"/>
        <v>Transvestite Male 2</v>
      </c>
    </row>
    <row r="668" spans="1:10" x14ac:dyDescent="0.25">
      <c r="A668" s="6" t="s">
        <v>1058</v>
      </c>
      <c r="B668" s="6" t="str">
        <f t="shared" si="22"/>
        <v>s_m_m_trucker_01</v>
      </c>
      <c r="C668" s="6" t="s">
        <v>1059</v>
      </c>
      <c r="D668" s="7" t="str">
        <f>PROPER(C668)</f>
        <v>Trucker</v>
      </c>
      <c r="E668" s="4" t="s">
        <v>1227</v>
      </c>
      <c r="F668" s="9" t="str">
        <f>IF(regexMatch(A668,"[A-Za-z]*_y_.*")," Young",(IF(regexMatch(A668,"[A-Za-z]*_o_.*")," Old", "")))</f>
        <v/>
      </c>
      <c r="G668" s="16" t="str">
        <f>IF(regexMatch(A668,"[A-Za-z]*_f_.*")," Female", (IF(regexMatch(A668,"[A-Za-z]*_m_.*"), " Male", "")))</f>
        <v xml:space="preserve"> Male</v>
      </c>
      <c r="H668" s="16" t="str">
        <f>IF(regexMatch(A668,".*_([0-9]+$)"), CONCATENATE(" ",VALUE(TRIM(CLEAN(RegexFindGroup(A668,".*_([0-9]*)"))))), "")</f>
        <v xml:space="preserve"> 1</v>
      </c>
      <c r="I668" s="16" t="str">
        <f>IF(regexMatch(A668,"cs_.*")," (CS)", (IF(regexMatch(A668,"ig_.*"), " (IG)", "")))</f>
        <v/>
      </c>
      <c r="J668" s="10" t="str">
        <f t="shared" si="21"/>
        <v>Trucker Male</v>
      </c>
    </row>
    <row r="669" spans="1:10" x14ac:dyDescent="0.25">
      <c r="A669" s="6" t="s">
        <v>1060</v>
      </c>
      <c r="B669" s="6" t="str">
        <f t="shared" si="22"/>
        <v>ig_tylerdix</v>
      </c>
      <c r="C669" s="6" t="s">
        <v>1061</v>
      </c>
      <c r="D669" s="7" t="str">
        <f>PROPER(C669)</f>
        <v>Tylerdix</v>
      </c>
      <c r="E669" s="4" t="s">
        <v>1389</v>
      </c>
      <c r="F669" s="9" t="str">
        <f>IF(regexMatch(A669,"[A-Za-z]*_y_.*")," Young",(IF(regexMatch(A669,"[A-Za-z]*_o_.*")," Old", "")))</f>
        <v/>
      </c>
      <c r="G669" s="16" t="str">
        <f>IF(regexMatch(A669,"[A-Za-z]*_f_.*")," Female", (IF(regexMatch(A669,"[A-Za-z]*_m_.*"), " Male", "")))</f>
        <v/>
      </c>
      <c r="H669" s="16" t="str">
        <f>IF(regexMatch(A669,".*_([0-9]+$)"), CONCATENATE(" ",VALUE(TRIM(CLEAN(RegexFindGroup(A669,".*_([0-9]*)"))))), "")</f>
        <v/>
      </c>
      <c r="I669" s="16" t="str">
        <f>IF(regexMatch(A669,"cs_.*")," (CS)", (IF(regexMatch(A669,"ig_.*"), " (IG)", "")))</f>
        <v xml:space="preserve"> (IG)</v>
      </c>
      <c r="J669" s="10" t="str">
        <f t="shared" si="21"/>
        <v>Tyler Dixon (IG)</v>
      </c>
    </row>
    <row r="670" spans="1:10" x14ac:dyDescent="0.25">
      <c r="A670" s="1" t="s">
        <v>1515</v>
      </c>
      <c r="B670" s="6" t="str">
        <f t="shared" si="22"/>
        <v>csb_undercover</v>
      </c>
      <c r="D670" s="7"/>
      <c r="E670" s="21" t="s">
        <v>1548</v>
      </c>
      <c r="F670" s="9"/>
      <c r="G670" s="16"/>
      <c r="H670" s="16" t="str">
        <f>IF(regexMatch(A670,".*_([0-9]+$)"), CONCATENATE(" ",VALUE(TRIM(CLEAN(RegexFindGroup(A670,".*_([0-9]*)"))))), "")</f>
        <v/>
      </c>
      <c r="I670" s="16"/>
      <c r="J670" s="10" t="str">
        <f t="shared" si="21"/>
        <v>Undercover Cop</v>
      </c>
    </row>
    <row r="671" spans="1:10" x14ac:dyDescent="0.25">
      <c r="A671" s="6" t="s">
        <v>87</v>
      </c>
      <c r="B671" s="6" t="str">
        <f t="shared" si="22"/>
        <v xml:space="preserve">	cs_paper</v>
      </c>
      <c r="C671" s="6" t="s">
        <v>86</v>
      </c>
      <c r="D671" s="7" t="str">
        <f>PROPER(C671)</f>
        <v xml:space="preserve">	Paper</v>
      </c>
      <c r="E671" s="4" t="s">
        <v>1450</v>
      </c>
      <c r="F671" s="9" t="str">
        <f>IF(regexMatch(A671,"[A-Za-z]*_y_.*")," Young",(IF(regexMatch(A671,"[A-Za-z]*_o_.*")," Old", "")))</f>
        <v/>
      </c>
      <c r="G671" s="16" t="str">
        <f>IF(regexMatch(A671,"[A-Za-z]*_f_.*")," Female", (IF(regexMatch(A671,"[A-Za-z]*_m_.*"), " Male", "")))</f>
        <v/>
      </c>
      <c r="H671" s="16" t="str">
        <f>IF(regexMatch(A671,".*_([0-9]+$)"), CONCATENATE(" ",VALUE(TRIM(CLEAN(RegexFindGroup(A671,".*_([0-9]*)"))))), "")</f>
        <v/>
      </c>
      <c r="I671" s="16" t="str">
        <f>IF(regexMatch(A671,"cs_.*")," (CS)", (IF(regexMatch(A671,"ig_.*"), " (IG)", "")))</f>
        <v xml:space="preserve"> (CS)</v>
      </c>
      <c r="J671" s="10" t="str">
        <f t="shared" si="21"/>
        <v>United Paper Man (CS)</v>
      </c>
    </row>
    <row r="672" spans="1:10" x14ac:dyDescent="0.25">
      <c r="A672" s="6" t="s">
        <v>807</v>
      </c>
      <c r="B672" s="6" t="str">
        <f t="shared" si="22"/>
        <v>ig_paper</v>
      </c>
      <c r="C672" s="6" t="s">
        <v>808</v>
      </c>
      <c r="D672" s="7" t="str">
        <f>PROPER(C672)</f>
        <v>Paper</v>
      </c>
      <c r="E672" s="4" t="s">
        <v>1450</v>
      </c>
      <c r="F672" s="9" t="str">
        <f>IF(regexMatch(A672,"[A-Za-z]*_y_.*")," Young",(IF(regexMatch(A672,"[A-Za-z]*_o_.*")," Old", "")))</f>
        <v/>
      </c>
      <c r="G672" s="16" t="str">
        <f>IF(regexMatch(A672,"[A-Za-z]*_f_.*")," Female", (IF(regexMatch(A672,"[A-Za-z]*_m_.*"), " Male", "")))</f>
        <v/>
      </c>
      <c r="H672" s="16" t="str">
        <f>IF(regexMatch(A672,".*_([0-9]+$)"), CONCATENATE(" ",VALUE(TRIM(CLEAN(RegexFindGroup(A672,".*_([0-9]*)"))))), "")</f>
        <v/>
      </c>
      <c r="I672" s="16" t="str">
        <f>IF(regexMatch(A672,"cs_.*")," (CS)", (IF(regexMatch(A672,"ig_.*"), " (IG)", "")))</f>
        <v xml:space="preserve"> (IG)</v>
      </c>
      <c r="J672" s="10" t="str">
        <f t="shared" si="21"/>
        <v>United Paper Man (IG)</v>
      </c>
    </row>
    <row r="673" spans="1:10" x14ac:dyDescent="0.25">
      <c r="A673" s="6" t="s">
        <v>1062</v>
      </c>
      <c r="B673" s="6" t="str">
        <f t="shared" si="22"/>
        <v>s_m_m_ups_01</v>
      </c>
      <c r="C673" s="6" t="s">
        <v>1063</v>
      </c>
      <c r="D673" s="7" t="str">
        <f>PROPER(C673)</f>
        <v>Ups</v>
      </c>
      <c r="E673" s="4" t="s">
        <v>1404</v>
      </c>
      <c r="F673" s="9"/>
      <c r="G673" s="16"/>
      <c r="H673" s="16" t="str">
        <f>IF(regexMatch(A673,".*_([0-9]+$)"), CONCATENATE(" ",VALUE(TRIM(CLEAN(RegexFindGroup(A673,".*_([0-9]*)"))))), "")</f>
        <v xml:space="preserve"> 1</v>
      </c>
      <c r="I673" s="16" t="str">
        <f>IF(regexMatch(A673,"cs_.*")," (CS)", (IF(regexMatch(A673,"ig_.*"), " (IG)", "")))</f>
        <v/>
      </c>
      <c r="J673" s="10" t="str">
        <f t="shared" si="21"/>
        <v>UPS Driver</v>
      </c>
    </row>
    <row r="674" spans="1:10" x14ac:dyDescent="0.25">
      <c r="A674" s="6" t="s">
        <v>1064</v>
      </c>
      <c r="B674" s="6" t="str">
        <f t="shared" si="22"/>
        <v>s_m_m_ups_02</v>
      </c>
      <c r="C674" s="6" t="s">
        <v>1063</v>
      </c>
      <c r="D674" s="7" t="str">
        <f>PROPER(C674)</f>
        <v>Ups</v>
      </c>
      <c r="E674" s="4" t="s">
        <v>1404</v>
      </c>
      <c r="F674" s="9"/>
      <c r="G674" s="16"/>
      <c r="H674" s="16" t="str">
        <f>IF(regexMatch(A674,".*_([0-9]+$)"), CONCATENATE(" ",VALUE(TRIM(CLEAN(RegexFindGroup(A674,".*_([0-9]*)"))))), "")</f>
        <v xml:space="preserve"> 2</v>
      </c>
      <c r="I674" s="16" t="str">
        <f>IF(regexMatch(A674,"cs_.*")," (CS)", (IF(regexMatch(A674,"ig_.*"), " (IG)", "")))</f>
        <v/>
      </c>
      <c r="J674" s="10" t="str">
        <f t="shared" si="21"/>
        <v>UPS Driver 2</v>
      </c>
    </row>
    <row r="675" spans="1:10" x14ac:dyDescent="0.25">
      <c r="A675" s="6" t="s">
        <v>122</v>
      </c>
      <c r="B675" s="6" t="str">
        <f t="shared" si="22"/>
        <v xml:space="preserve">	s_m_y_uscg_01</v>
      </c>
      <c r="C675" s="6" t="s">
        <v>121</v>
      </c>
      <c r="D675" s="7" t="str">
        <f>PROPER(C675)</f>
        <v xml:space="preserve">	Uscg</v>
      </c>
      <c r="E675" s="4" t="s">
        <v>1377</v>
      </c>
      <c r="F675" s="9"/>
      <c r="G675" s="16"/>
      <c r="H675" s="16" t="str">
        <f>IF(regexMatch(A675,".*_([0-9]+$)"), CONCATENATE(" ",VALUE(TRIM(CLEAN(RegexFindGroup(A675,".*_([0-9]*)"))))), "")</f>
        <v xml:space="preserve"> 1</v>
      </c>
      <c r="I675" s="16" t="str">
        <f>IF(regexMatch(A675,"cs_.*")," (CS)", (IF(regexMatch(A675,"ig_.*"), " (IG)", "")))</f>
        <v/>
      </c>
      <c r="J675" s="10" t="str">
        <f>TRIM(CONCATENATE(E675,F675,G675,IF(H675=" 1","",H675),I675))</f>
        <v>US Coastguard</v>
      </c>
    </row>
    <row r="676" spans="1:10" x14ac:dyDescent="0.25">
      <c r="A676" s="6" t="s">
        <v>1065</v>
      </c>
      <c r="B676" s="6" t="str">
        <f t="shared" si="22"/>
        <v>g_f_y_vagos_01</v>
      </c>
      <c r="C676" s="6" t="s">
        <v>1066</v>
      </c>
      <c r="D676" s="7" t="str">
        <f>PROPER(C676)</f>
        <v>Vagos</v>
      </c>
      <c r="E676" s="4" t="s">
        <v>1228</v>
      </c>
      <c r="F676" s="9"/>
      <c r="G676" s="16" t="str">
        <f>IF(regexMatch(A676,"[A-Za-z]*_f_.*")," Female", (IF(regexMatch(A676,"[A-Za-z]*_m_.*"), " Male", "")))</f>
        <v xml:space="preserve"> Female</v>
      </c>
      <c r="H676" s="16" t="str">
        <f>IF(regexMatch(A676,".*_([0-9]+$)"), CONCATENATE(" ",VALUE(TRIM(CLEAN(RegexFindGroup(A676,".*_([0-9]*)"))))), "")</f>
        <v xml:space="preserve"> 1</v>
      </c>
      <c r="I676" s="16" t="str">
        <f>IF(regexMatch(A676,"cs_.*")," (CS)", (IF(regexMatch(A676,"ig_.*"), " (IG)", "")))</f>
        <v/>
      </c>
      <c r="J676" s="10" t="str">
        <f t="shared" ref="J676:J701" si="23">TRIM(CONCATENATE(E676,F676,G676,IF(H676=" 1","",H676),I676))</f>
        <v>Vagos Female</v>
      </c>
    </row>
    <row r="677" spans="1:10" x14ac:dyDescent="0.25">
      <c r="A677" s="6" t="s">
        <v>1067</v>
      </c>
      <c r="B677" s="6" t="str">
        <f t="shared" si="22"/>
        <v>s_m_y_valet_01</v>
      </c>
      <c r="C677" s="6" t="s">
        <v>1068</v>
      </c>
      <c r="D677" s="7" t="str">
        <f>PROPER(C677)</f>
        <v>Valet</v>
      </c>
      <c r="E677" s="4" t="s">
        <v>1229</v>
      </c>
      <c r="F677" s="9"/>
      <c r="G677" s="16"/>
      <c r="H677" s="16" t="str">
        <f>IF(regexMatch(A677,".*_([0-9]+$)"), CONCATENATE(" ",VALUE(TRIM(CLEAN(RegexFindGroup(A677,".*_([0-9]*)"))))), "")</f>
        <v xml:space="preserve"> 1</v>
      </c>
      <c r="I677" s="16" t="str">
        <f>IF(regexMatch(A677,"cs_.*")," (CS)", (IF(regexMatch(A677,"ig_.*"), " (IG)", "")))</f>
        <v/>
      </c>
      <c r="J677" s="10" t="str">
        <f t="shared" si="23"/>
        <v>Valet</v>
      </c>
    </row>
    <row r="678" spans="1:10" x14ac:dyDescent="0.25">
      <c r="A678" s="6" t="s">
        <v>269</v>
      </c>
      <c r="B678" s="6" t="str">
        <f t="shared" si="22"/>
        <v>a_m_y_beachvesp_01</v>
      </c>
      <c r="C678" s="6" t="s">
        <v>270</v>
      </c>
      <c r="D678" s="7" t="str">
        <f>PROPER(C678)</f>
        <v>Beachvesp</v>
      </c>
      <c r="E678" s="4" t="s">
        <v>1300</v>
      </c>
      <c r="F678" s="9"/>
      <c r="G678" s="16" t="str">
        <f>IF(regexMatch(A678,"[A-Za-z]*_f_.*")," Female", (IF(regexMatch(A678,"[A-Za-z]*_m_.*"), " Male", "")))</f>
        <v xml:space="preserve"> Male</v>
      </c>
      <c r="H678" s="16" t="str">
        <f>IF(regexMatch(A678,".*_([0-9]+$)"), CONCATENATE(" ",VALUE(TRIM(CLEAN(RegexFindGroup(A678,".*_([0-9]*)"))))), "")</f>
        <v xml:space="preserve"> 1</v>
      </c>
      <c r="I678" s="16" t="str">
        <f>IF(regexMatch(A678,"cs_.*")," (CS)", (IF(regexMatch(A678,"ig_.*"), " (IG)", "")))</f>
        <v/>
      </c>
      <c r="J678" s="10" t="str">
        <f t="shared" si="23"/>
        <v>Vespucci Beach Male</v>
      </c>
    </row>
    <row r="679" spans="1:10" x14ac:dyDescent="0.25">
      <c r="A679" s="6" t="s">
        <v>271</v>
      </c>
      <c r="B679" s="6" t="str">
        <f t="shared" si="22"/>
        <v>a_m_y_beachvesp_02</v>
      </c>
      <c r="C679" s="6" t="s">
        <v>270</v>
      </c>
      <c r="D679" s="7" t="str">
        <f>PROPER(C679)</f>
        <v>Beachvesp</v>
      </c>
      <c r="E679" s="4" t="s">
        <v>1300</v>
      </c>
      <c r="F679" s="9"/>
      <c r="G679" s="16" t="str">
        <f>IF(regexMatch(A679,"[A-Za-z]*_f_.*")," Female", (IF(regexMatch(A679,"[A-Za-z]*_m_.*"), " Male", "")))</f>
        <v xml:space="preserve"> Male</v>
      </c>
      <c r="H679" s="16" t="str">
        <f>IF(regexMatch(A679,".*_([0-9]+$)"), CONCATENATE(" ",VALUE(TRIM(CLEAN(RegexFindGroup(A679,".*_([0-9]*)"))))), "")</f>
        <v xml:space="preserve"> 2</v>
      </c>
      <c r="I679" s="16" t="str">
        <f>IF(regexMatch(A679,"cs_.*")," (CS)", (IF(regexMatch(A679,"ig_.*"), " (IG)", "")))</f>
        <v/>
      </c>
      <c r="J679" s="10" t="str">
        <f t="shared" si="23"/>
        <v>Vespucci Beach Male 2</v>
      </c>
    </row>
    <row r="680" spans="1:10" x14ac:dyDescent="0.25">
      <c r="A680" s="6" t="s">
        <v>1069</v>
      </c>
      <c r="B680" s="6" t="str">
        <f t="shared" si="22"/>
        <v>a_m_y_vindouche_01</v>
      </c>
      <c r="C680" s="6" t="s">
        <v>1070</v>
      </c>
      <c r="D680" s="7" t="str">
        <f>PROPER(C680)</f>
        <v>Vindouche</v>
      </c>
      <c r="E680" s="4" t="s">
        <v>1390</v>
      </c>
      <c r="F680" s="9"/>
      <c r="G680" s="16"/>
      <c r="H680" s="16" t="str">
        <f>IF(regexMatch(A680,".*_([0-9]+$)"), CONCATENATE(" ",VALUE(TRIM(CLEAN(RegexFindGroup(A680,".*_([0-9]*)"))))), "")</f>
        <v xml:space="preserve"> 1</v>
      </c>
      <c r="I680" s="16" t="str">
        <f>IF(regexMatch(A680,"cs_.*")," (CS)", (IF(regexMatch(A680,"ig_.*"), " (IG)", "")))</f>
        <v/>
      </c>
      <c r="J680" s="10" t="str">
        <f t="shared" si="23"/>
        <v>Vinewood Douche</v>
      </c>
    </row>
    <row r="681" spans="1:10" x14ac:dyDescent="0.25">
      <c r="A681" s="6" t="s">
        <v>1071</v>
      </c>
      <c r="B681" s="6" t="str">
        <f t="shared" si="22"/>
        <v>a_f_y_vinewood_01</v>
      </c>
      <c r="C681" s="6" t="s">
        <v>1072</v>
      </c>
      <c r="D681" s="7" t="str">
        <f>PROPER(C681)</f>
        <v>Vinewood</v>
      </c>
      <c r="E681" s="4" t="s">
        <v>1230</v>
      </c>
      <c r="F681" s="9"/>
      <c r="G681" s="16" t="str">
        <f>IF(regexMatch(A681,"[A-Za-z]*_f_.*")," Female", (IF(regexMatch(A681,"[A-Za-z]*_m_.*"), " Male", "")))</f>
        <v xml:space="preserve"> Female</v>
      </c>
      <c r="H681" s="16" t="str">
        <f>IF(regexMatch(A681,".*_([0-9]+$)"), CONCATENATE(" ",VALUE(TRIM(CLEAN(RegexFindGroup(A681,".*_([0-9]*)"))))), "")</f>
        <v xml:space="preserve"> 1</v>
      </c>
      <c r="I681" s="16" t="str">
        <f>IF(regexMatch(A681,"cs_.*")," (CS)", (IF(regexMatch(A681,"ig_.*"), " (IG)", "")))</f>
        <v/>
      </c>
      <c r="J681" s="10" t="str">
        <f t="shared" si="23"/>
        <v>Vinewood Female</v>
      </c>
    </row>
    <row r="682" spans="1:10" x14ac:dyDescent="0.25">
      <c r="A682" s="6" t="s">
        <v>1073</v>
      </c>
      <c r="B682" s="6" t="str">
        <f t="shared" si="22"/>
        <v>a_f_y_vinewood_02</v>
      </c>
      <c r="C682" s="6" t="s">
        <v>1072</v>
      </c>
      <c r="D682" s="7" t="str">
        <f>PROPER(C682)</f>
        <v>Vinewood</v>
      </c>
      <c r="E682" s="4" t="s">
        <v>1230</v>
      </c>
      <c r="F682" s="9"/>
      <c r="G682" s="16" t="str">
        <f>IF(regexMatch(A682,"[A-Za-z]*_f_.*")," Female", (IF(regexMatch(A682,"[A-Za-z]*_m_.*"), " Male", "")))</f>
        <v xml:space="preserve"> Female</v>
      </c>
      <c r="H682" s="16" t="str">
        <f>IF(regexMatch(A682,".*_([0-9]+$)"), CONCATENATE(" ",VALUE(TRIM(CLEAN(RegexFindGroup(A682,".*_([0-9]*)"))))), "")</f>
        <v xml:space="preserve"> 2</v>
      </c>
      <c r="I682" s="16" t="str">
        <f>IF(regexMatch(A682,"cs_.*")," (CS)", (IF(regexMatch(A682,"ig_.*"), " (IG)", "")))</f>
        <v/>
      </c>
      <c r="J682" s="10" t="str">
        <f t="shared" si="23"/>
        <v>Vinewood Female 2</v>
      </c>
    </row>
    <row r="683" spans="1:10" x14ac:dyDescent="0.25">
      <c r="A683" s="6" t="s">
        <v>1074</v>
      </c>
      <c r="B683" s="6" t="str">
        <f t="shared" si="22"/>
        <v>a_f_y_vinewood_03</v>
      </c>
      <c r="C683" s="6" t="s">
        <v>1072</v>
      </c>
      <c r="D683" s="7" t="str">
        <f>PROPER(C683)</f>
        <v>Vinewood</v>
      </c>
      <c r="E683" s="4" t="s">
        <v>1230</v>
      </c>
      <c r="F683" s="9"/>
      <c r="G683" s="16" t="str">
        <f>IF(regexMatch(A683,"[A-Za-z]*_f_.*")," Female", (IF(regexMatch(A683,"[A-Za-z]*_m_.*"), " Male", "")))</f>
        <v xml:space="preserve"> Female</v>
      </c>
      <c r="H683" s="16" t="str">
        <f>IF(regexMatch(A683,".*_([0-9]+$)"), CONCATENATE(" ",VALUE(TRIM(CLEAN(RegexFindGroup(A683,".*_([0-9]*)"))))), "")</f>
        <v xml:space="preserve"> 3</v>
      </c>
      <c r="I683" s="16" t="str">
        <f>IF(regexMatch(A683,"cs_.*")," (CS)", (IF(regexMatch(A683,"ig_.*"), " (IG)", "")))</f>
        <v/>
      </c>
      <c r="J683" s="10" t="str">
        <f t="shared" si="23"/>
        <v>Vinewood Female 3</v>
      </c>
    </row>
    <row r="684" spans="1:10" x14ac:dyDescent="0.25">
      <c r="A684" s="6" t="s">
        <v>1075</v>
      </c>
      <c r="B684" s="6" t="str">
        <f t="shared" si="22"/>
        <v>a_f_y_vinewood_04</v>
      </c>
      <c r="C684" s="6" t="s">
        <v>1072</v>
      </c>
      <c r="D684" s="7" t="str">
        <f>PROPER(C684)</f>
        <v>Vinewood</v>
      </c>
      <c r="E684" s="4" t="s">
        <v>1230</v>
      </c>
      <c r="F684" s="9"/>
      <c r="G684" s="16" t="str">
        <f>IF(regexMatch(A684,"[A-Za-z]*_f_.*")," Female", (IF(regexMatch(A684,"[A-Za-z]*_m_.*"), " Male", "")))</f>
        <v xml:space="preserve"> Female</v>
      </c>
      <c r="H684" s="16" t="str">
        <f>IF(regexMatch(A684,".*_([0-9]+$)"), CONCATENATE(" ",VALUE(TRIM(CLEAN(RegexFindGroup(A684,".*_([0-9]*)"))))), "")</f>
        <v xml:space="preserve"> 4</v>
      </c>
      <c r="I684" s="16" t="str">
        <f>IF(regexMatch(A684,"cs_.*")," (CS)", (IF(regexMatch(A684,"ig_.*"), " (IG)", "")))</f>
        <v/>
      </c>
      <c r="J684" s="10" t="str">
        <f t="shared" si="23"/>
        <v>Vinewood Female 4</v>
      </c>
    </row>
    <row r="685" spans="1:10" x14ac:dyDescent="0.25">
      <c r="A685" s="6" t="s">
        <v>1076</v>
      </c>
      <c r="B685" s="6" t="str">
        <f t="shared" si="22"/>
        <v>a_m_y_vinewood_01</v>
      </c>
      <c r="C685" s="6" t="s">
        <v>1072</v>
      </c>
      <c r="D685" s="7" t="str">
        <f>PROPER(C685)</f>
        <v>Vinewood</v>
      </c>
      <c r="E685" s="4" t="s">
        <v>1230</v>
      </c>
      <c r="F685" s="9"/>
      <c r="G685" s="16" t="str">
        <f>IF(regexMatch(A685,"[A-Za-z]*_f_.*")," Female", (IF(regexMatch(A685,"[A-Za-z]*_m_.*"), " Male", "")))</f>
        <v xml:space="preserve"> Male</v>
      </c>
      <c r="H685" s="16" t="str">
        <f>IF(regexMatch(A685,".*_([0-9]+$)"), CONCATENATE(" ",VALUE(TRIM(CLEAN(RegexFindGroup(A685,".*_([0-9]*)"))))), "")</f>
        <v xml:space="preserve"> 1</v>
      </c>
      <c r="I685" s="16" t="str">
        <f>IF(regexMatch(A685,"cs_.*")," (CS)", (IF(regexMatch(A685,"ig_.*"), " (IG)", "")))</f>
        <v/>
      </c>
      <c r="J685" s="10" t="str">
        <f t="shared" si="23"/>
        <v>Vinewood Male</v>
      </c>
    </row>
    <row r="686" spans="1:10" x14ac:dyDescent="0.25">
      <c r="A686" s="6" t="s">
        <v>1077</v>
      </c>
      <c r="B686" s="6" t="str">
        <f t="shared" si="22"/>
        <v>a_m_y_vinewood_02</v>
      </c>
      <c r="C686" s="6" t="s">
        <v>1072</v>
      </c>
      <c r="D686" s="7" t="str">
        <f>PROPER(C686)</f>
        <v>Vinewood</v>
      </c>
      <c r="E686" s="4" t="s">
        <v>1230</v>
      </c>
      <c r="F686" s="9"/>
      <c r="G686" s="16" t="str">
        <f>IF(regexMatch(A686,"[A-Za-z]*_f_.*")," Female", (IF(regexMatch(A686,"[A-Za-z]*_m_.*"), " Male", "")))</f>
        <v xml:space="preserve"> Male</v>
      </c>
      <c r="H686" s="16" t="str">
        <f>IF(regexMatch(A686,".*_([0-9]+$)"), CONCATENATE(" ",VALUE(TRIM(CLEAN(RegexFindGroup(A686,".*_([0-9]*)"))))), "")</f>
        <v xml:space="preserve"> 2</v>
      </c>
      <c r="I686" s="16" t="str">
        <f>IF(regexMatch(A686,"cs_.*")," (CS)", (IF(regexMatch(A686,"ig_.*"), " (IG)", "")))</f>
        <v/>
      </c>
      <c r="J686" s="10" t="str">
        <f t="shared" si="23"/>
        <v>Vinewood Male 2</v>
      </c>
    </row>
    <row r="687" spans="1:10" x14ac:dyDescent="0.25">
      <c r="A687" s="6" t="s">
        <v>1078</v>
      </c>
      <c r="B687" s="6" t="str">
        <f t="shared" si="22"/>
        <v>a_m_y_vinewood_03</v>
      </c>
      <c r="C687" s="6" t="s">
        <v>1072</v>
      </c>
      <c r="D687" s="7" t="str">
        <f>PROPER(C687)</f>
        <v>Vinewood</v>
      </c>
      <c r="E687" s="4" t="s">
        <v>1230</v>
      </c>
      <c r="F687" s="9"/>
      <c r="G687" s="16" t="str">
        <f>IF(regexMatch(A687,"[A-Za-z]*_f_.*")," Female", (IF(regexMatch(A687,"[A-Za-z]*_m_.*"), " Male", "")))</f>
        <v xml:space="preserve"> Male</v>
      </c>
      <c r="H687" s="16" t="str">
        <f>IF(regexMatch(A687,".*_([0-9]+$)"), CONCATENATE(" ",VALUE(TRIM(CLEAN(RegexFindGroup(A687,".*_([0-9]*)"))))), "")</f>
        <v xml:space="preserve"> 3</v>
      </c>
      <c r="I687" s="16" t="str">
        <f>IF(regexMatch(A687,"cs_.*")," (CS)", (IF(regexMatch(A687,"ig_.*"), " (IG)", "")))</f>
        <v/>
      </c>
      <c r="J687" s="10" t="str">
        <f t="shared" si="23"/>
        <v>Vinewood Male 3</v>
      </c>
    </row>
    <row r="688" spans="1:10" x14ac:dyDescent="0.25">
      <c r="A688" s="6" t="s">
        <v>124</v>
      </c>
      <c r="B688" s="6" t="str">
        <f t="shared" si="22"/>
        <v xml:space="preserve">	a_m_y_vinewood_04</v>
      </c>
      <c r="C688" s="6" t="s">
        <v>123</v>
      </c>
      <c r="D688" s="7" t="str">
        <f>PROPER(C688)</f>
        <v xml:space="preserve">	Vinewood</v>
      </c>
      <c r="E688" s="4" t="s">
        <v>1230</v>
      </c>
      <c r="F688" s="9"/>
      <c r="G688" s="16" t="str">
        <f>IF(regexMatch(A688,"[A-Za-z]*_f_.*")," Female", (IF(regexMatch(A688,"[A-Za-z]*_m_.*"), " Male", "")))</f>
        <v xml:space="preserve"> Male</v>
      </c>
      <c r="H688" s="16" t="str">
        <f>IF(regexMatch(A688,".*_([0-9]+$)"), CONCATENATE(" ",VALUE(TRIM(CLEAN(RegexFindGroup(A688,".*_([0-9]*)"))))), "")</f>
        <v xml:space="preserve"> 4</v>
      </c>
      <c r="I688" s="16" t="str">
        <f>IF(regexMatch(A688,"cs_.*")," (CS)", (IF(regexMatch(A688,"ig_.*"), " (IG)", "")))</f>
        <v/>
      </c>
      <c r="J688" s="10" t="str">
        <f t="shared" si="23"/>
        <v>Vinewood Male 4</v>
      </c>
    </row>
    <row r="689" spans="1:10" x14ac:dyDescent="0.25">
      <c r="A689" s="6" t="s">
        <v>1079</v>
      </c>
      <c r="B689" s="6" t="str">
        <f t="shared" si="22"/>
        <v>cs_wade</v>
      </c>
      <c r="C689" s="6" t="s">
        <v>1080</v>
      </c>
      <c r="D689" s="7" t="str">
        <f>PROPER(C689)</f>
        <v>Wade</v>
      </c>
      <c r="E689" s="4" t="s">
        <v>1231</v>
      </c>
      <c r="F689" s="9" t="str">
        <f>IF(regexMatch(A689,"[A-Za-z]*_y_.*")," Young",(IF(regexMatch(A689,"[A-Za-z]*_o_.*")," Old", "")))</f>
        <v/>
      </c>
      <c r="G689" s="16" t="str">
        <f>IF(regexMatch(A689,"[A-Za-z]*_f_.*")," Female", (IF(regexMatch(A689,"[A-Za-z]*_m_.*"), " Male", "")))</f>
        <v/>
      </c>
      <c r="H689" s="16" t="str">
        <f>IF(regexMatch(A689,".*_([0-9]+$)"), CONCATENATE(" ",VALUE(TRIM(CLEAN(RegexFindGroup(A689,".*_([0-9]*)"))))), "")</f>
        <v/>
      </c>
      <c r="I689" s="16" t="str">
        <f>IF(regexMatch(A689,"cs_.*")," (CS)", (IF(regexMatch(A689,"ig_.*"), " (IG)", "")))</f>
        <v xml:space="preserve"> (CS)</v>
      </c>
      <c r="J689" s="10" t="str">
        <f t="shared" si="23"/>
        <v>Wade (CS)</v>
      </c>
    </row>
    <row r="690" spans="1:10" x14ac:dyDescent="0.25">
      <c r="A690" s="6" t="s">
        <v>1081</v>
      </c>
      <c r="B690" s="6" t="str">
        <f t="shared" si="22"/>
        <v>ig_wade</v>
      </c>
      <c r="C690" s="6" t="s">
        <v>1080</v>
      </c>
      <c r="D690" s="7" t="str">
        <f>PROPER(C690)</f>
        <v>Wade</v>
      </c>
      <c r="E690" s="4" t="s">
        <v>1231</v>
      </c>
      <c r="F690" s="9" t="str">
        <f>IF(regexMatch(A690,"[A-Za-z]*_y_.*")," Young",(IF(regexMatch(A690,"[A-Za-z]*_o_.*")," Old", "")))</f>
        <v/>
      </c>
      <c r="G690" s="16" t="str">
        <f>IF(regexMatch(A690,"[A-Za-z]*_f_.*")," Female", (IF(regexMatch(A690,"[A-Za-z]*_m_.*"), " Male", "")))</f>
        <v/>
      </c>
      <c r="H690" s="16" t="str">
        <f>IF(regexMatch(A690,".*_([0-9]+$)"), CONCATENATE(" ",VALUE(TRIM(CLEAN(RegexFindGroup(A690,".*_([0-9]*)"))))), "")</f>
        <v/>
      </c>
      <c r="I690" s="16" t="str">
        <f>IF(regexMatch(A690,"cs_.*")," (CS)", (IF(regexMatch(A690,"ig_.*"), " (IG)", "")))</f>
        <v xml:space="preserve"> (IG)</v>
      </c>
      <c r="J690" s="10" t="str">
        <f t="shared" si="23"/>
        <v>Wade (IG)</v>
      </c>
    </row>
    <row r="691" spans="1:10" x14ac:dyDescent="0.25">
      <c r="A691" s="6" t="s">
        <v>1082</v>
      </c>
      <c r="B691" s="6" t="str">
        <f t="shared" si="22"/>
        <v>s_m_y_waiter_01</v>
      </c>
      <c r="C691" s="6" t="s">
        <v>1083</v>
      </c>
      <c r="D691" s="7" t="str">
        <f>PROPER(C691)</f>
        <v>Waiter</v>
      </c>
      <c r="E691" s="4" t="s">
        <v>1232</v>
      </c>
      <c r="F691" s="9"/>
      <c r="G691" s="16"/>
      <c r="H691" s="16" t="str">
        <f>IF(regexMatch(A691,".*_([0-9]+$)"), CONCATENATE(" ",VALUE(TRIM(CLEAN(RegexFindGroup(A691,".*_([0-9]*)"))))), "")</f>
        <v xml:space="preserve"> 1</v>
      </c>
      <c r="I691" s="16" t="str">
        <f>IF(regexMatch(A691,"cs_.*")," (CS)", (IF(regexMatch(A691,"ig_.*"), " (IG)", "")))</f>
        <v/>
      </c>
      <c r="J691" s="10" t="str">
        <f t="shared" si="23"/>
        <v>Waiter</v>
      </c>
    </row>
    <row r="692" spans="1:10" x14ac:dyDescent="0.25">
      <c r="A692" s="6" t="s">
        <v>338</v>
      </c>
      <c r="B692" s="6" t="str">
        <f t="shared" si="22"/>
        <v>cs_chengsr</v>
      </c>
      <c r="C692" s="6" t="s">
        <v>339</v>
      </c>
      <c r="D692" s="7" t="str">
        <f>PROPER(C692)</f>
        <v>Chengsr</v>
      </c>
      <c r="E692" s="4" t="s">
        <v>1446</v>
      </c>
      <c r="F692" s="9" t="str">
        <f>IF(regexMatch(A692,"[A-Za-z]*_y_.*")," Young",(IF(regexMatch(A692,"[A-Za-z]*_o_.*")," Old", "")))</f>
        <v/>
      </c>
      <c r="G692" s="16" t="str">
        <f>IF(regexMatch(A692,"[A-Za-z]*_f_.*")," Female", (IF(regexMatch(A692,"[A-Za-z]*_m_.*"), " Male", "")))</f>
        <v/>
      </c>
      <c r="H692" s="16" t="str">
        <f>IF(regexMatch(A692,".*_([0-9]+$)"), CONCATENATE(" ",VALUE(TRIM(CLEAN(RegexFindGroup(A692,".*_([0-9]*)"))))), "")</f>
        <v/>
      </c>
      <c r="I692" s="16" t="str">
        <f>IF(regexMatch(A692,"cs_.*")," (CS)", (IF(regexMatch(A692,"ig_.*"), " (IG)", "")))</f>
        <v xml:space="preserve"> (CS)</v>
      </c>
      <c r="J692" s="10" t="str">
        <f t="shared" si="23"/>
        <v>Wei Cheng (CS)</v>
      </c>
    </row>
    <row r="693" spans="1:10" x14ac:dyDescent="0.25">
      <c r="A693" s="6" t="s">
        <v>340</v>
      </c>
      <c r="B693" s="6" t="str">
        <f t="shared" si="22"/>
        <v>ig_chengsr</v>
      </c>
      <c r="C693" s="6" t="s">
        <v>339</v>
      </c>
      <c r="D693" s="7" t="str">
        <f>PROPER(C693)</f>
        <v>Chengsr</v>
      </c>
      <c r="E693" s="4" t="s">
        <v>1446</v>
      </c>
      <c r="F693" s="9" t="str">
        <f>IF(regexMatch(A693,"[A-Za-z]*_y_.*")," Young",(IF(regexMatch(A693,"[A-Za-z]*_o_.*")," Old", "")))</f>
        <v/>
      </c>
      <c r="G693" s="16" t="str">
        <f>IF(regexMatch(A693,"[A-Za-z]*_f_.*")," Female", (IF(regexMatch(A693,"[A-Za-z]*_m_.*"), " Male", "")))</f>
        <v/>
      </c>
      <c r="H693" s="16" t="str">
        <f>IF(regexMatch(A693,".*_([0-9]+$)"), CONCATENATE(" ",VALUE(TRIM(CLEAN(RegexFindGroup(A693,".*_([0-9]*)"))))), "")</f>
        <v/>
      </c>
      <c r="I693" s="16" t="str">
        <f>IF(regexMatch(A693,"cs_.*")," (CS)", (IF(regexMatch(A693,"ig_.*"), " (IG)", "")))</f>
        <v xml:space="preserve"> (IG)</v>
      </c>
      <c r="J693" s="10" t="str">
        <f t="shared" si="23"/>
        <v>Wei Cheng (IG)</v>
      </c>
    </row>
    <row r="694" spans="1:10" x14ac:dyDescent="0.25">
      <c r="A694" s="6" t="s">
        <v>997</v>
      </c>
      <c r="B694" s="6" t="str">
        <f t="shared" si="22"/>
        <v>a_m_y_stwhi_01</v>
      </c>
      <c r="C694" s="6" t="s">
        <v>998</v>
      </c>
      <c r="D694" s="7" t="str">
        <f>PROPER(C694)</f>
        <v>Stwhi</v>
      </c>
      <c r="E694" s="4" t="s">
        <v>1355</v>
      </c>
      <c r="F694" s="9"/>
      <c r="G694" s="16" t="str">
        <f>IF(regexMatch(A694,"[A-Za-z]*_f_.*")," Female", (IF(regexMatch(A694,"[A-Za-z]*_m_.*"), " Male", "")))</f>
        <v xml:space="preserve"> Male</v>
      </c>
      <c r="H694" s="16" t="str">
        <f>IF(regexMatch(A694,".*_([0-9]+$)"), CONCATENATE(" ",VALUE(TRIM(CLEAN(RegexFindGroup(A694,".*_([0-9]*)"))))), "")</f>
        <v xml:space="preserve"> 1</v>
      </c>
      <c r="I694" s="16" t="str">
        <f>IF(regexMatch(A694,"cs_.*")," (CS)", (IF(regexMatch(A694,"ig_.*"), " (IG)", "")))</f>
        <v/>
      </c>
      <c r="J694" s="10" t="str">
        <f t="shared" si="23"/>
        <v>White Street Male</v>
      </c>
    </row>
    <row r="695" spans="1:10" x14ac:dyDescent="0.25">
      <c r="A695" s="6" t="s">
        <v>999</v>
      </c>
      <c r="B695" s="6" t="str">
        <f t="shared" si="22"/>
        <v>a_m_y_stwhi_02</v>
      </c>
      <c r="C695" s="6" t="s">
        <v>998</v>
      </c>
      <c r="D695" s="7" t="str">
        <f>PROPER(C695)</f>
        <v>Stwhi</v>
      </c>
      <c r="E695" s="4" t="s">
        <v>1355</v>
      </c>
      <c r="F695" s="9"/>
      <c r="G695" s="16" t="str">
        <f>IF(regexMatch(A695,"[A-Za-z]*_f_.*")," Female", (IF(regexMatch(A695,"[A-Za-z]*_m_.*"), " Male", "")))</f>
        <v xml:space="preserve"> Male</v>
      </c>
      <c r="H695" s="16" t="str">
        <f>IF(regexMatch(A695,".*_([0-9]+$)"), CONCATENATE(" ",VALUE(TRIM(CLEAN(RegexFindGroup(A695,".*_([0-9]*)"))))), "")</f>
        <v xml:space="preserve"> 2</v>
      </c>
      <c r="I695" s="16" t="str">
        <f>IF(regexMatch(A695,"cs_.*")," (CS)", (IF(regexMatch(A695,"ig_.*"), " (IG)", "")))</f>
        <v/>
      </c>
      <c r="J695" s="10" t="str">
        <f t="shared" si="23"/>
        <v>White Street Male 2</v>
      </c>
    </row>
    <row r="696" spans="1:10" x14ac:dyDescent="0.25">
      <c r="A696" s="6" t="s">
        <v>1086</v>
      </c>
      <c r="B696" s="6" t="str">
        <f t="shared" si="22"/>
        <v>s_m_y_winclean_01</v>
      </c>
      <c r="C696" s="6" t="s">
        <v>1087</v>
      </c>
      <c r="D696" s="7" t="str">
        <f>PROPER(C696)</f>
        <v>Winclean</v>
      </c>
      <c r="E696" s="4" t="s">
        <v>1260</v>
      </c>
      <c r="F696" s="9"/>
      <c r="G696" s="16"/>
      <c r="H696" s="16" t="str">
        <f>IF(regexMatch(A696,".*_([0-9]+$)"), CONCATENATE(" ",VALUE(TRIM(CLEAN(RegexFindGroup(A696,".*_([0-9]*)"))))), "")</f>
        <v xml:space="preserve"> 1</v>
      </c>
      <c r="I696" s="16" t="str">
        <f>IF(regexMatch(A696,"cs_.*")," (CS)", (IF(regexMatch(A696,"ig_.*"), " (IG)", "")))</f>
        <v/>
      </c>
      <c r="J696" s="10" t="str">
        <f t="shared" si="23"/>
        <v>Window Cleaner</v>
      </c>
    </row>
    <row r="697" spans="1:10" x14ac:dyDescent="0.25">
      <c r="A697" s="6" t="s">
        <v>1091</v>
      </c>
      <c r="B697" s="6" t="str">
        <f t="shared" si="22"/>
        <v>a_f_y_yoga_01</v>
      </c>
      <c r="C697" s="6" t="s">
        <v>1092</v>
      </c>
      <c r="D697" s="7" t="str">
        <f>PROPER(C697)</f>
        <v>Yoga</v>
      </c>
      <c r="E697" s="4" t="s">
        <v>1233</v>
      </c>
      <c r="F697" s="9"/>
      <c r="G697" s="16" t="str">
        <f>IF(regexMatch(A697,"[A-Za-z]*_f_.*")," Female", (IF(regexMatch(A697,"[A-Za-z]*_m_.*"), " Male", "")))</f>
        <v xml:space="preserve"> Female</v>
      </c>
      <c r="H697" s="16" t="str">
        <f>IF(regexMatch(A697,".*_([0-9]+$)"), CONCATENATE(" ",VALUE(TRIM(CLEAN(RegexFindGroup(A697,".*_([0-9]*)"))))), "")</f>
        <v xml:space="preserve"> 1</v>
      </c>
      <c r="I697" s="16" t="str">
        <f>IF(regexMatch(A697,"cs_.*")," (CS)", (IF(regexMatch(A697,"ig_.*"), " (IG)", "")))</f>
        <v/>
      </c>
      <c r="J697" s="10" t="str">
        <f t="shared" si="23"/>
        <v>Yoga Female</v>
      </c>
    </row>
    <row r="698" spans="1:10" x14ac:dyDescent="0.25">
      <c r="A698" s="6" t="s">
        <v>1093</v>
      </c>
      <c r="B698" s="6" t="str">
        <f t="shared" si="22"/>
        <v>a_m_y_yoga_01</v>
      </c>
      <c r="C698" s="6" t="s">
        <v>1092</v>
      </c>
      <c r="D698" s="7" t="str">
        <f>PROPER(C698)</f>
        <v>Yoga</v>
      </c>
      <c r="E698" s="4" t="s">
        <v>1233</v>
      </c>
      <c r="F698" s="9"/>
      <c r="G698" s="16" t="str">
        <f>IF(regexMatch(A698,"[A-Za-z]*_f_.*")," Female", (IF(regexMatch(A698,"[A-Za-z]*_m_.*"), " Male", "")))</f>
        <v xml:space="preserve"> Male</v>
      </c>
      <c r="H698" s="16" t="str">
        <f>IF(regexMatch(A698,".*_([0-9]+$)"), CONCATENATE(" ",VALUE(TRIM(CLEAN(RegexFindGroup(A698,".*_([0-9]*)"))))), "")</f>
        <v xml:space="preserve"> 1</v>
      </c>
      <c r="I698" s="16" t="str">
        <f>IF(regexMatch(A698,"cs_.*")," (CS)", (IF(regexMatch(A698,"ig_.*"), " (IG)", "")))</f>
        <v/>
      </c>
      <c r="J698" s="10" t="str">
        <f t="shared" si="23"/>
        <v>Yoga Male</v>
      </c>
    </row>
    <row r="699" spans="1:10" x14ac:dyDescent="0.25">
      <c r="A699" s="6" t="s">
        <v>1094</v>
      </c>
      <c r="B699" s="6" t="str">
        <f t="shared" si="22"/>
        <v>cs_zimbor</v>
      </c>
      <c r="C699" s="6" t="s">
        <v>1095</v>
      </c>
      <c r="D699" s="7" t="str">
        <f>PROPER(C699)</f>
        <v>Zimbor</v>
      </c>
      <c r="E699" s="4" t="s">
        <v>1234</v>
      </c>
      <c r="F699" s="9" t="str">
        <f>IF(regexMatch(A699,"[A-Za-z]*_y_.*")," Young",(IF(regexMatch(A699,"[A-Za-z]*_o_.*")," Old", "")))</f>
        <v/>
      </c>
      <c r="G699" s="16" t="str">
        <f>IF(regexMatch(A699,"[A-Za-z]*_f_.*")," Female", (IF(regexMatch(A699,"[A-Za-z]*_m_.*"), " Male", "")))</f>
        <v/>
      </c>
      <c r="H699" s="16" t="str">
        <f>IF(regexMatch(A699,".*_([0-9]+$)"), CONCATENATE(" ",VALUE(TRIM(CLEAN(RegexFindGroup(A699,".*_([0-9]*)"))))), "")</f>
        <v/>
      </c>
      <c r="I699" s="16" t="str">
        <f>IF(regexMatch(A699,"cs_.*")," (CS)", (IF(regexMatch(A699,"ig_.*"), " (IG)", "")))</f>
        <v xml:space="preserve"> (CS)</v>
      </c>
      <c r="J699" s="10" t="str">
        <f t="shared" si="23"/>
        <v>Zimbor (CS)</v>
      </c>
    </row>
    <row r="700" spans="1:10" x14ac:dyDescent="0.25">
      <c r="A700" s="6" t="s">
        <v>126</v>
      </c>
      <c r="B700" s="6" t="str">
        <f t="shared" si="22"/>
        <v xml:space="preserve">	ig_zimbor</v>
      </c>
      <c r="C700" s="6" t="s">
        <v>125</v>
      </c>
      <c r="D700" s="7" t="str">
        <f>PROPER(C700)</f>
        <v xml:space="preserve">	Zimbor</v>
      </c>
      <c r="E700" s="4" t="s">
        <v>1234</v>
      </c>
      <c r="F700" s="9" t="str">
        <f>IF(regexMatch(A700,"[A-Za-z]*_y_.*")," Young",(IF(regexMatch(A700,"[A-Za-z]*_o_.*")," Old", "")))</f>
        <v/>
      </c>
      <c r="G700" s="16" t="str">
        <f>IF(regexMatch(A700,"[A-Za-z]*_f_.*")," Female", (IF(regexMatch(A700,"[A-Za-z]*_m_.*"), " Male", "")))</f>
        <v/>
      </c>
      <c r="H700" s="16" t="str">
        <f>IF(regexMatch(A700,".*_([0-9]+$)"), CONCATENATE(" ",VALUE(TRIM(CLEAN(RegexFindGroup(A700,".*_([0-9]*)"))))), "")</f>
        <v/>
      </c>
      <c r="I700" s="16" t="str">
        <f>IF(regexMatch(A700,"cs_.*")," (CS)", (IF(regexMatch(A700,"ig_.*"), " (IG)", "")))</f>
        <v xml:space="preserve"> (IG)</v>
      </c>
      <c r="J700" s="10" t="str">
        <f t="shared" si="23"/>
        <v>Zimbor (IG)</v>
      </c>
    </row>
    <row r="701" spans="1:10" x14ac:dyDescent="0.25">
      <c r="A701" s="6" t="s">
        <v>1096</v>
      </c>
      <c r="B701" s="6" t="str">
        <f t="shared" si="22"/>
        <v>u_m_y_zombie_01</v>
      </c>
      <c r="C701" s="6" t="s">
        <v>1097</v>
      </c>
      <c r="D701" s="7" t="str">
        <f>PROPER(C701)</f>
        <v>Zombie</v>
      </c>
      <c r="E701" s="4" t="s">
        <v>1235</v>
      </c>
      <c r="F701" s="9"/>
      <c r="G701" s="16"/>
      <c r="H701" s="16" t="str">
        <f>IF(regexMatch(A701,".*_([0-9]+$)"), CONCATENATE(" ",VALUE(TRIM(CLEAN(RegexFindGroup(A701,".*_([0-9]*)"))))), "")</f>
        <v xml:space="preserve"> 1</v>
      </c>
      <c r="I701" s="16" t="str">
        <f>IF(regexMatch(A701,"cs_.*")," (CS)", (IF(regexMatch(A701,"ig_.*"), " (IG)", "")))</f>
        <v/>
      </c>
      <c r="J701" s="10" t="str">
        <f t="shared" si="23"/>
        <v>Zombie</v>
      </c>
    </row>
  </sheetData>
  <sortState ref="A39:J701">
    <sortCondition ref="J39:J701"/>
  </sortState>
  <mergeCells count="2">
    <mergeCell ref="D1:F1"/>
    <mergeCell ref="G1:I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">
                <anchor moveWithCells="1" sizeWithCells="1">
                  <from>
                    <xdr:col>0</xdr:col>
                    <xdr:colOff>266700</xdr:colOff>
                    <xdr:row>0</xdr:row>
                    <xdr:rowOff>247650</xdr:rowOff>
                  </from>
                  <to>
                    <xdr:col>2</xdr:col>
                    <xdr:colOff>733425</xdr:colOff>
                    <xdr:row>0</xdr:row>
                    <xdr:rowOff>733425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ped_ids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</dc:creator>
  <cp:lastModifiedBy>Rob Pridham</cp:lastModifiedBy>
  <dcterms:created xsi:type="dcterms:W3CDTF">2015-04-26T15:47:35Z</dcterms:created>
  <dcterms:modified xsi:type="dcterms:W3CDTF">2015-05-21T07:03:28Z</dcterms:modified>
</cp:coreProperties>
</file>